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ide" sheetId="1" state="visible" r:id="rId2"/>
    <sheet name="Rate Sheet" sheetId="2" state="visible" r:id="rId3"/>
    <sheet name="Requests" sheetId="3" state="visible" r:id="rId4"/>
    <sheet name="Source Extract" sheetId="4" state="visible" r:id="rId5"/>
  </sheets>
  <definedNames>
    <definedName function="false" hidden="true" localSheetId="2" name="_xlnm._FilterDatabase" vbProcedure="false">Requests!$A$5:$M$17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<sst xmlns="http://schemas.openxmlformats.org/spreadsheetml/2006/main" count="127" uniqueCount="98">
  <si>
    <t xml:space="preserve">Parcel-rate and quotation workbook</t>
  </si>
  <si>
    <t xml:space="preserve">Purpose</t>
  </si>
  <si>
    <t xml:space="preserve">Reusable retail quote calculator for the services and supported parcel conditions in review_brief.md.</t>
  </si>
  <si>
    <t xml:space="preserve">Source</t>
  </si>
  <si>
    <t xml:space="preserve">USPS Notice 123, effective July 12, 2026, supplied as USPS_Notice123_20260712_pages1_5_7.pdf.</t>
  </si>
  <si>
    <t xml:space="preserve">Included rates</t>
  </si>
  <si>
    <t xml:space="preserve">Priority Mail Retail: 1–10 lb bands, zones 1–8 (Notice 123 page 5). USPS Ground Advantage Retail: 4 oz, 8 oz, 12 oz, 15.999 oz, and 1–10 lb bands, zones 1–8 (page 7).</t>
  </si>
  <si>
    <t xml:space="preserve">How to use</t>
  </si>
  <si>
    <t xml:space="preserve">Edit the yellow input cells on Requests (weight, unit, or zone). Service prices, selected service, and totals recalculate from Rate Sheet. The lower price is selected; ties select USPS Ground Advantage.</t>
  </si>
  <si>
    <t xml:space="preserve">Scope checks</t>
  </si>
  <si>
    <t xml:space="preserve">Requests are flagged OUTSIDE SUPPORTED CONDITIONS when weight is not positive, exceeds 10 lb, unit is not oz/lb, or zone is not an integer 1–8. The supplied parcel assumptions (ordinary rectangular carton, length ≤20 in, volume ≤1,000 in³, length + girth ≤90 in, no extra services or special handling) are treated as fixed inputs per the brief.</t>
  </si>
  <si>
    <t xml:space="preserve">Workbook tabs</t>
  </si>
  <si>
    <t xml:space="preserve">Requests = editable quote calculator; Rate Sheet = extracted rates and lookup thresholds; Source Extract = source/page notes and transcription controls.</t>
  </si>
  <si>
    <t xml:space="preserve">Rate Sheet — Notice 123 retail rates</t>
  </si>
  <si>
    <t xml:space="preserve">Source: USPS_Notice123_20260712_pages1_5_7.pdf | Effective July 12, 2026 | Scope: zones 1–8 only</t>
  </si>
  <si>
    <t xml:space="preserve">Priority Mail Retail — Weight Not Over (lb)</t>
  </si>
  <si>
    <t xml:space="preserve">Band (lb)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</si>
  <si>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</si>
  <si>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</si>
  <si>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</si>
  <si>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</si>
  <si>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</si>
  <si>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Zone 6</t>
  </si>
  <si>
    <t xml:space="preserve">Zone 7</t>
  </si>
  <si>
    <t xml:space="preserve">Zone 8</t>
  </si>
  <si>
    <t xml:space="preserve">USPS Ground Advantage Retail — Weight Not Over</t>
  </si>
  <si>
    <t xml:space="preserve">Band</t>
  </si>
  <si>
    <t xml:space="preserve">Upper threshold (lb)</t>
  </si>
  <si>
    <t xml:space="preserve">4 oz</t>
  </si>
  <si>
    <t xml:space="preserve">8 oz</t>
  </si>
  <si>
    <t xml:space="preserve">12 oz</t>
  </si>
  <si>
    <t xml:space="preserve">15.999 oz</t>
  </si>
  <si>
    <t xml:space="preserve">1 lb</t>
  </si>
  <si>
    <t xml:space="preserve">2 lb</t>
  </si>
  <si>
    <t xml:space="preserve">3 lb</t>
  </si>
  <si>
    <t xml:space="preserve">4 lb</t>
  </si>
  <si>
    <t xml:space="preserve">5 lb</t>
  </si>
  <si>
    <t xml:space="preserve">6 lb</t>
  </si>
  <si>
    <t xml:space="preserve">7 lb</t>
  </si>
  <si>
    <t xml:space="preserve">8 lb</t>
  </si>
  <si>
    <t xml:space="preserve">9 lb</t>
  </si>
  <si>
    <t xml:space="preserve">10 lb</t>
  </si>
  <si>
    <t xml:space="preserve">Lookup note:</t>
  </si>
  <si>
    <t xml:space="preserve">Ground Advantage uses the first upper threshold at or above normalized weight. The 15.999 oz threshold is stored as 0.9999375 lb, immediately below the 1 lb band.</t>
  </si>
  <si>
    <t xml:space="preserve">Source controls:</t>
  </si>
  <si>
    <t xml:space="preserve">Priority values transcribed from Notice 123 page 5, columns zones 1–8. Ground Advantage values transcribed from page 7, columns zones 1–8. Source zone 9 columns are intentionally excluded because the brief limits this workbook to zones 1–8.</t>
  </si>
  <si>
    <t xml:space="preserve">Quotation Requests — editable calculator</t>
  </si>
  <si>
    <t xml:space="preserve">Batch total (selected prices)</t>
  </si>
  <si>
    <t xml:space="preserve">Priority total</t>
  </si>
  <si>
    <t xml:space="preserve">Ground Advantage total</t>
  </si>
  <si>
    <t xml:space="preserve">Yellow cells are editable inputs. Prices are retail, before any extras (none are modeled in this scope).</t>
  </si>
  <si>
    <t xml:space="preserve">Request ID</t>
  </si>
  <si>
    <t xml:space="preserve">Weight</t>
  </si>
  <si>
    <t xml:space="preserve">Unit</t>
  </si>
  <si>
    <t xml:space="preserve">Zone</t>
  </si>
  <si>
    <t xml:space="preserve">Origin</t>
  </si>
  <si>
    <t xml:space="preserve">Weight (lb)</t>
  </si>
  <si>
    <t xml:space="preserve">Priority band (lb)</t>
  </si>
  <si>
    <t xml:space="preserve">Priority Mail</t>
  </si>
  <si>
    <t xml:space="preserve">Ground band</t>
  </si>
  <si>
    <t xml:space="preserve">USPS Ground Advantage</t>
  </si>
  <si>
    <t xml:space="preserve">Selected price</t>
  </si>
  <si>
    <t xml:space="preserve">Status</t>
  </si>
  <si>
    <t xml:space="preserve">Selected service</t>
  </si>
  <si>
    <t xml:space="preserve">Q01</t>
  </si>
  <si>
    <t xml:space="preserve">oz</t>
  </si>
  <si>
    <t xml:space="preserve">project_authored_test_request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</si>
  <si>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</si>
  <si>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</si>
  <si>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</si>
  <si>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</si>
  <si>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</si>
  <si>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</si>
  <si>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</si>
  <si>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lb</t>
  </si>
  <si>
    <t xml:space="preserve">Q09</t>
  </si>
  <si>
    <t xml:space="preserve">Q10</t>
  </si>
  <si>
    <t xml:space="preserve">Q11</t>
  </si>
  <si>
    <t xml:space="preserve">Q12</t>
  </si>
  <si>
    <t xml:space="preserve">Source Extract and transcription notes</t>
  </si>
  <si>
    <t xml:space="preserve">File</t>
  </si>
  <si>
    <t xml:space="preserve">USPS_Notice123_20260712_pages1_5_7.pdf</t>
  </si>
  <si>
    <t xml:space="preserve">Effective date</t>
  </si>
  <si>
    <t xml:space="preserve">July 12, 2026</t>
  </si>
  <si>
    <t xml:space="preserve">Rate pages used</t>
  </si>
  <si>
    <t xml:space="preserve">Page 5: Priority Mail Retail; Page 7: USPS Ground Advantage-Retail</t>
  </si>
  <si>
    <t xml:space="preserve">Priority source heading</t>
  </si>
  <si>
    <t xml:space="preserve">Priority Mail — Retail—Letters, Large Envelopes &amp; Parcels; Weight Not Over (lbs.); Zone 1,2,3,4,5,6,7,8,9</t>
  </si>
  <si>
    <t xml:space="preserve">Ground source heading</t>
  </si>
  <si>
    <t xml:space="preserve">USPS Ground Advantage-Retail; Retail-Parcels; Weight Not Over; Zone 1,2,3,4,5,6,7,8,9</t>
  </si>
  <si>
    <t xml:space="preserve">Priority transcription</t>
  </si>
  <si>
    <t xml:space="preserve">Rate Sheet rows 6–15 reproduce the first ten pound bands from page 5. All amounts are dollars and cents.</t>
  </si>
  <si>
    <t xml:space="preserve">Ground transcription</t>
  </si>
  <si>
    <t xml:space="preserve">Rate Sheet rows 20–33 reproduce the 4 oz through 15.999 oz thresholds and 1–10 lb bands from page 7. The source labels weight units as pounds unless otherwise indicated.</t>
  </si>
  <si>
    <t xml:space="preserve">Excluded source conditions</t>
  </si>
  <si>
    <t xml:space="preserve">No flat-rate packaging, special origin/destination treatment, Alaska/Limited Overland Route pricing, nonstandard characteristics, hazardous/perishable/live contents, or extra services are modeled, consistent with review_brief.md.</t>
  </si>
  <si>
    <t xml:space="preserve">Review tip</t>
  </si>
  <si>
    <t xml:space="preserve">Compare the visible Rate Sheet values directly to pages 5 and 7 of the supplied PDF. The Requests formulas reference these tables, so edits are transparent and rates are not hidden in formulas.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</si>
</sst>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@"/>
    <numFmt numFmtId="168" formatCode="0.0000000"/>
    <numFmt numFmtId="169" formatCode="\$#,##0.00"/>
    <numFmt numFmtId="170" formatCode="0.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8"/>
      </bottom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006100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GroundRates" displayName="GroundRates" ref="A19:J33" headerRowCount="1" totalsRowCount="0" totalsRowShown="0">
  <autoFilter ref="A19:J33"/>
  <tableColumns count="10">
    <tableColumn id="1" name="Band"/>
    <tableColumn id="2" name="Upper threshold (lb)"/>
    <tableColumn id="3" name="Zone 1"/>
    <tableColumn id="4" name="Zone 2"/>
    <tableColumn id="5" name="Zone 3"/>
    <tableColumn id="6" name="Zone 4"/>
    <tableColumn id="7" name="Zone 5"/>
    <tableColumn id="8" name="Zone 6"/>
    <tableColumn id="9" name="Zone 7"/>
    <tableColumn id="10" name="Zone 8"/>
  </tableColumns>
</table>
</file>

<file path=xl/tables/table2.xml><?xml version="1.0" encoding="utf-8"?>
<table xmlns="http://schemas.openxmlformats.org/spreadsheetml/2006/main" id="2" name="PriorityRates" displayName="PriorityRates" ref="A5:I15" headerRowCount="1" totalsRowCount="0" totalsRowShown="0">
  <autoFilter ref="A5:I15"/>
  <tableColumns count="9">
    <tableColumn id="1" name="Band (lb)"/>
    <tableColumn id="2" name="Zone 1"/>
    <tableColumn id="3" name="Zone 2"/>
    <tableColumn id="4" name="Zone 3"/>
    <tableColumn id="5" name="Zone 4"/>
    <tableColumn id="6" name="Zone 5"/>
    <tableColumn id="7" name="Zone 6"/>
    <tableColumn id="8" name="Zone 7"/>
    <tableColumn id="9" name="Zone 8"/>
  </tableColumns>
</table>
</file>

<file path=xl/tables/table3.xml><?xml version="1.0" encoding="utf-8"?>
<table xmlns="http://schemas.openxmlformats.org/spreadsheetml/2006/main" id="3" name="QuoteRequests" displayName="QuoteRequests" ref="A5:M17" headerRowCount="1" totalsRowCount="0" totalsRowShown="0">
  <autoFilter ref="A5:M17"/>
  <tableColumns count="13">
    <tableColumn id="1" name="Request ID"/>
    <tableColumn id="2" name="Weight"/>
    <tableColumn id="3" name="Unit"/>
    <tableColumn id="4" name="Zone"/>
    <tableColumn id="5" name="Origin"/>
    <tableColumn id="6" name="Weight (lb)"/>
    <tableColumn id="7" name="Priority band (lb)"/>
    <tableColumn id="8" name="Priority Mail"/>
    <tableColumn id="9" name="Ground band"/>
    <tableColumn id="10" name="USPS Ground Advantage"/>
    <tableColumn id="11" name="Selected price"/>
    <tableColumn id="12" name="Status"/>
    <tableColumn id="13" name="Selected service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2" t="s">
        <v>1</v>
      </c>
      <c r="B3" s="3" t="s">
        <v>2</v>
      </c>
    </row>
    <row r="5" customFormat="false" ht="24" hidden="false" customHeight="true" outlineLevel="0" collapsed="false">
      <c r="A5" s="2" t="s">
        <v>3</v>
      </c>
      <c r="B5" s="3" t="s">
        <v>4</v>
      </c>
    </row>
    <row r="7" customFormat="false" ht="37.5" hidden="false" customHeight="true" outlineLevel="0" collapsed="false">
      <c r="A7" s="2" t="s">
        <v>5</v>
      </c>
      <c r="B7" s="3" t="s">
        <v>6</v>
      </c>
    </row>
    <row r="9" customFormat="false" ht="37.5" hidden="false" customHeight="true" outlineLevel="0" collapsed="false">
      <c r="A9" s="2" t="s">
        <v>7</v>
      </c>
      <c r="B9" s="3" t="s">
        <v>8</v>
      </c>
    </row>
    <row r="11" customFormat="false" ht="37.5" hidden="false" customHeight="true" outlineLevel="0" collapsed="false">
      <c r="A11" s="2" t="s">
        <v>9</v>
      </c>
      <c r="B11" s="3" t="s">
        <v>10</v>
      </c>
    </row>
    <row r="13" customFormat="false" ht="24" hidden="false" customHeight="true" outlineLevel="0" collapsed="false">
      <c r="A13" s="2" t="s">
        <v>11</v>
      </c>
      <c r="B13" s="3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2"/>
    <col collapsed="false" customWidth="true" hidden="false" outlineLevel="0" max="10" min="3" style="0" width="12"/>
  </cols>
  <sheetData>
    <row r="1" customFormat="false" ht="15" hidden="false" customHeight="fals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4" t="s">
        <v>14</v>
      </c>
      <c r="B2" s="4"/>
      <c r="C2" s="4"/>
      <c r="D2" s="4"/>
      <c r="E2" s="4"/>
      <c r="F2" s="4"/>
      <c r="G2" s="4"/>
      <c r="H2" s="4"/>
      <c r="I2" s="4"/>
    </row>
    <row r="4" customFormat="false" ht="15" hidden="false" customHeight="false" outlineLevel="0" collapsed="false">
      <c r="A4" s="5" t="s">
        <v>15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</row>
    <row r="6" customFormat="false" ht="15" hidden="false" customHeight="false" outlineLevel="0" collapsed="false">
      <c r="A6" s="7" t="n">
        <v>1</v>
      </c>
      <c r="B6" s="8" t="n">
        <v>11</v>
      </c>
      <c r="C6" s="8" t="n">
        <v>11.5</v>
      </c>
      <c r="D6" s="8" t="n">
        <v>11.65</v>
      </c>
      <c r="E6" s="8" t="n">
        <v>11.9</v>
      </c>
      <c r="F6" s="8" t="n">
        <v>13.05</v>
      </c>
      <c r="G6" s="8" t="n">
        <v>14.5</v>
      </c>
      <c r="H6" s="8" t="n">
        <v>15.6</v>
      </c>
      <c r="I6" s="8" t="n">
        <v>16.95</v>
      </c>
    </row>
    <row r="7" customFormat="false" ht="15" hidden="false" customHeight="false" outlineLevel="0" collapsed="false">
      <c r="A7" s="7" t="n">
        <v>2</v>
      </c>
      <c r="B7" s="8" t="n">
        <v>11.95</v>
      </c>
      <c r="C7" s="8" t="n">
        <v>12.65</v>
      </c>
      <c r="D7" s="8" t="n">
        <v>13.45</v>
      </c>
      <c r="E7" s="8" t="n">
        <v>14.35</v>
      </c>
      <c r="F7" s="8" t="n">
        <v>16.85</v>
      </c>
      <c r="G7" s="8" t="n">
        <v>18.15</v>
      </c>
      <c r="H7" s="8" t="n">
        <v>19.45</v>
      </c>
      <c r="I7" s="8" t="n">
        <v>21.55</v>
      </c>
    </row>
    <row r="8" customFormat="false" ht="15" hidden="false" customHeight="false" outlineLevel="0" collapsed="false">
      <c r="A8" s="7" t="n">
        <v>3</v>
      </c>
      <c r="B8" s="8" t="n">
        <v>12.45</v>
      </c>
      <c r="C8" s="8" t="n">
        <v>13.3</v>
      </c>
      <c r="D8" s="8" t="n">
        <v>14</v>
      </c>
      <c r="E8" s="8" t="n">
        <v>15.15</v>
      </c>
      <c r="F8" s="8" t="n">
        <v>18.05</v>
      </c>
      <c r="G8" s="8" t="n">
        <v>20.95</v>
      </c>
      <c r="H8" s="8" t="n">
        <v>23.85</v>
      </c>
      <c r="I8" s="8" t="n">
        <v>27.1</v>
      </c>
    </row>
    <row r="9" customFormat="false" ht="15" hidden="false" customHeight="false" outlineLevel="0" collapsed="false">
      <c r="A9" s="7" t="n">
        <v>4</v>
      </c>
      <c r="B9" s="8" t="n">
        <v>13.45</v>
      </c>
      <c r="C9" s="8" t="n">
        <v>14.05</v>
      </c>
      <c r="D9" s="8" t="n">
        <v>15.05</v>
      </c>
      <c r="E9" s="8" t="n">
        <v>16.35</v>
      </c>
      <c r="F9" s="8" t="n">
        <v>20.75</v>
      </c>
      <c r="G9" s="8" t="n">
        <v>25.35</v>
      </c>
      <c r="H9" s="8" t="n">
        <v>28.4</v>
      </c>
      <c r="I9" s="8" t="n">
        <v>31.85</v>
      </c>
    </row>
    <row r="10" customFormat="false" ht="15" hidden="false" customHeight="false" outlineLevel="0" collapsed="false">
      <c r="A10" s="7" t="n">
        <v>5</v>
      </c>
      <c r="B10" s="8" t="n">
        <v>14.3</v>
      </c>
      <c r="C10" s="8" t="n">
        <v>14.95</v>
      </c>
      <c r="D10" s="8" t="n">
        <v>16.05</v>
      </c>
      <c r="E10" s="8" t="n">
        <v>17.5</v>
      </c>
      <c r="F10" s="8" t="n">
        <v>22.1</v>
      </c>
      <c r="G10" s="8" t="n">
        <v>27</v>
      </c>
      <c r="H10" s="8" t="n">
        <v>32.7</v>
      </c>
      <c r="I10" s="8" t="n">
        <v>36.9</v>
      </c>
    </row>
    <row r="11" customFormat="false" ht="15" hidden="false" customHeight="false" outlineLevel="0" collapsed="false">
      <c r="A11" s="7" t="n">
        <v>6</v>
      </c>
      <c r="B11" s="8" t="n">
        <v>14.9</v>
      </c>
      <c r="C11" s="8" t="n">
        <v>15.35</v>
      </c>
      <c r="D11" s="8" t="n">
        <v>16.45</v>
      </c>
      <c r="E11" s="8" t="n">
        <v>18.2</v>
      </c>
      <c r="F11" s="8" t="n">
        <v>23.25</v>
      </c>
      <c r="G11" s="8" t="n">
        <v>29.65</v>
      </c>
      <c r="H11" s="8" t="n">
        <v>37</v>
      </c>
      <c r="I11" s="8" t="n">
        <v>41.85</v>
      </c>
    </row>
    <row r="12" customFormat="false" ht="15" hidden="false" customHeight="false" outlineLevel="0" collapsed="false">
      <c r="A12" s="7" t="n">
        <v>7</v>
      </c>
      <c r="B12" s="8" t="n">
        <v>15.55</v>
      </c>
      <c r="C12" s="8" t="n">
        <v>16.05</v>
      </c>
      <c r="D12" s="8" t="n">
        <v>17.1</v>
      </c>
      <c r="E12" s="8" t="n">
        <v>19.05</v>
      </c>
      <c r="F12" s="8" t="n">
        <v>25.1</v>
      </c>
      <c r="G12" s="8" t="n">
        <v>32.3</v>
      </c>
      <c r="H12" s="8" t="n">
        <v>41.15</v>
      </c>
      <c r="I12" s="8" t="n">
        <v>46.75</v>
      </c>
    </row>
    <row r="13" customFormat="false" ht="15" hidden="false" customHeight="false" outlineLevel="0" collapsed="false">
      <c r="A13" s="7" t="n">
        <v>8</v>
      </c>
      <c r="B13" s="8" t="n">
        <v>16.25</v>
      </c>
      <c r="C13" s="8" t="n">
        <v>16.5</v>
      </c>
      <c r="D13" s="8" t="n">
        <v>17.6</v>
      </c>
      <c r="E13" s="8" t="n">
        <v>19.7</v>
      </c>
      <c r="F13" s="8" t="n">
        <v>26.4</v>
      </c>
      <c r="G13" s="8" t="n">
        <v>35.1</v>
      </c>
      <c r="H13" s="8" t="n">
        <v>45.35</v>
      </c>
      <c r="I13" s="8" t="n">
        <v>51.7</v>
      </c>
    </row>
    <row r="14" customFormat="false" ht="15" hidden="false" customHeight="false" outlineLevel="0" collapsed="false">
      <c r="A14" s="7" t="n">
        <v>9</v>
      </c>
      <c r="B14" s="8" t="n">
        <v>16.85</v>
      </c>
      <c r="C14" s="8" t="n">
        <v>17.15</v>
      </c>
      <c r="D14" s="8" t="n">
        <v>18.1</v>
      </c>
      <c r="E14" s="8" t="n">
        <v>20.85</v>
      </c>
      <c r="F14" s="8" t="n">
        <v>27.45</v>
      </c>
      <c r="G14" s="8" t="n">
        <v>37.7</v>
      </c>
      <c r="H14" s="8" t="n">
        <v>49.45</v>
      </c>
      <c r="I14" s="8" t="n">
        <v>56.45</v>
      </c>
    </row>
    <row r="15" customFormat="false" ht="15" hidden="false" customHeight="false" outlineLevel="0" collapsed="false">
      <c r="A15" s="7" t="n">
        <v>10</v>
      </c>
      <c r="B15" s="8" t="n">
        <v>17.8</v>
      </c>
      <c r="C15" s="8" t="n">
        <v>18.25</v>
      </c>
      <c r="D15" s="8" t="n">
        <v>19.2</v>
      </c>
      <c r="E15" s="8" t="n">
        <v>21.75</v>
      </c>
      <c r="F15" s="8" t="n">
        <v>28.65</v>
      </c>
      <c r="G15" s="8" t="n">
        <v>40.6</v>
      </c>
      <c r="H15" s="8" t="n">
        <v>53.55</v>
      </c>
      <c r="I15" s="8" t="n">
        <v>61.3</v>
      </c>
    </row>
    <row r="18" customFormat="false" ht="15" hidden="false" customHeight="false" outlineLevel="0" collapsed="false">
      <c r="A18" s="5" t="s">
        <v>25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6" t="s">
        <v>26</v>
      </c>
      <c r="B19" s="6" t="s">
        <v>27</v>
      </c>
      <c r="C19" s="6" t="s">
        <v>17</v>
      </c>
      <c r="D19" s="6" t="s">
        <v>18</v>
      </c>
      <c r="E19" s="6" t="s">
        <v>19</v>
      </c>
      <c r="F19" s="6" t="s">
        <v>20</v>
      </c>
      <c r="G19" s="6" t="s">
        <v>21</v>
      </c>
      <c r="H19" s="6" t="s">
        <v>22</v>
      </c>
      <c r="I19" s="6" t="s">
        <v>23</v>
      </c>
      <c r="J19" s="6" t="s">
        <v>24</v>
      </c>
    </row>
    <row r="20" customFormat="false" ht="15" hidden="false" customHeight="false" outlineLevel="0" collapsed="false">
      <c r="A20" s="9" t="s">
        <v>28</v>
      </c>
      <c r="B20" s="10" t="n">
        <v>0.25</v>
      </c>
      <c r="C20" s="8" t="n">
        <v>7.9</v>
      </c>
      <c r="D20" s="8" t="n">
        <v>8.05</v>
      </c>
      <c r="E20" s="8" t="n">
        <v>8.15</v>
      </c>
      <c r="F20" s="8" t="n">
        <v>8.3</v>
      </c>
      <c r="G20" s="8" t="n">
        <v>8.6</v>
      </c>
      <c r="H20" s="8" t="n">
        <v>8.75</v>
      </c>
      <c r="I20" s="8" t="n">
        <v>8.95</v>
      </c>
      <c r="J20" s="8" t="n">
        <v>9.45</v>
      </c>
    </row>
    <row r="21" customFormat="false" ht="15" hidden="false" customHeight="false" outlineLevel="0" collapsed="false">
      <c r="A21" s="9" t="s">
        <v>29</v>
      </c>
      <c r="B21" s="10" t="n">
        <v>0.5</v>
      </c>
      <c r="C21" s="8" t="n">
        <v>7.9</v>
      </c>
      <c r="D21" s="8" t="n">
        <v>8.05</v>
      </c>
      <c r="E21" s="8" t="n">
        <v>8.15</v>
      </c>
      <c r="F21" s="8" t="n">
        <v>8.3</v>
      </c>
      <c r="G21" s="8" t="n">
        <v>8.6</v>
      </c>
      <c r="H21" s="8" t="n">
        <v>8.75</v>
      </c>
      <c r="I21" s="8" t="n">
        <v>8.95</v>
      </c>
      <c r="J21" s="8" t="n">
        <v>9.45</v>
      </c>
    </row>
    <row r="22" customFormat="false" ht="15" hidden="false" customHeight="false" outlineLevel="0" collapsed="false">
      <c r="A22" s="9" t="s">
        <v>30</v>
      </c>
      <c r="B22" s="10" t="n">
        <v>0.75</v>
      </c>
      <c r="C22" s="8" t="n">
        <v>9.55</v>
      </c>
      <c r="D22" s="8" t="n">
        <v>9.95</v>
      </c>
      <c r="E22" s="8" t="n">
        <v>10.2</v>
      </c>
      <c r="F22" s="8" t="n">
        <v>10.6</v>
      </c>
      <c r="G22" s="8" t="n">
        <v>10.95</v>
      </c>
      <c r="H22" s="8" t="n">
        <v>11.35</v>
      </c>
      <c r="I22" s="8" t="n">
        <v>11.95</v>
      </c>
      <c r="J22" s="8" t="n">
        <v>12.9</v>
      </c>
    </row>
    <row r="23" customFormat="false" ht="15" hidden="false" customHeight="false" outlineLevel="0" collapsed="false">
      <c r="A23" s="9" t="s">
        <v>31</v>
      </c>
      <c r="B23" s="10" t="n">
        <v>0.9999375</v>
      </c>
      <c r="C23" s="8" t="n">
        <v>9.55</v>
      </c>
      <c r="D23" s="8" t="n">
        <v>9.95</v>
      </c>
      <c r="E23" s="8" t="n">
        <v>10.2</v>
      </c>
      <c r="F23" s="8" t="n">
        <v>10.6</v>
      </c>
      <c r="G23" s="8" t="n">
        <v>10.95</v>
      </c>
      <c r="H23" s="8" t="n">
        <v>11.35</v>
      </c>
      <c r="I23" s="8" t="n">
        <v>11.95</v>
      </c>
      <c r="J23" s="8" t="n">
        <v>12.9</v>
      </c>
    </row>
    <row r="24" customFormat="false" ht="15" hidden="false" customHeight="false" outlineLevel="0" collapsed="false">
      <c r="A24" s="9" t="s">
        <v>32</v>
      </c>
      <c r="B24" s="10" t="n">
        <v>1</v>
      </c>
      <c r="C24" s="8" t="n">
        <v>9.55</v>
      </c>
      <c r="D24" s="8" t="n">
        <v>9.95</v>
      </c>
      <c r="E24" s="8" t="n">
        <v>10.2</v>
      </c>
      <c r="F24" s="8" t="n">
        <v>10.6</v>
      </c>
      <c r="G24" s="8" t="n">
        <v>10.95</v>
      </c>
      <c r="H24" s="8" t="n">
        <v>11.35</v>
      </c>
      <c r="I24" s="8" t="n">
        <v>11.95</v>
      </c>
      <c r="J24" s="8" t="n">
        <v>12.9</v>
      </c>
    </row>
    <row r="25" customFormat="false" ht="15" hidden="false" customHeight="false" outlineLevel="0" collapsed="false">
      <c r="A25" s="9" t="s">
        <v>33</v>
      </c>
      <c r="B25" s="10" t="n">
        <v>2</v>
      </c>
      <c r="C25" s="8" t="n">
        <v>10.8</v>
      </c>
      <c r="D25" s="8" t="n">
        <v>11.5</v>
      </c>
      <c r="E25" s="8" t="n">
        <v>12.2</v>
      </c>
      <c r="F25" s="8" t="n">
        <v>13</v>
      </c>
      <c r="G25" s="8" t="n">
        <v>14.1</v>
      </c>
      <c r="H25" s="8" t="n">
        <v>15.1</v>
      </c>
      <c r="I25" s="8" t="n">
        <v>16.45</v>
      </c>
      <c r="J25" s="8" t="n">
        <v>19.05</v>
      </c>
    </row>
    <row r="26" customFormat="false" ht="15" hidden="false" customHeight="false" outlineLevel="0" collapsed="false">
      <c r="A26" s="9" t="s">
        <v>34</v>
      </c>
      <c r="B26" s="10" t="n">
        <v>3</v>
      </c>
      <c r="C26" s="8" t="n">
        <v>11.3</v>
      </c>
      <c r="D26" s="8" t="n">
        <v>12</v>
      </c>
      <c r="E26" s="8" t="n">
        <v>12.65</v>
      </c>
      <c r="F26" s="8" t="n">
        <v>13.7</v>
      </c>
      <c r="G26" s="8" t="n">
        <v>14.95</v>
      </c>
      <c r="H26" s="8" t="n">
        <v>16.45</v>
      </c>
      <c r="I26" s="8" t="n">
        <v>18.95</v>
      </c>
      <c r="J26" s="8" t="n">
        <v>22.4</v>
      </c>
    </row>
    <row r="27" customFormat="false" ht="15" hidden="false" customHeight="false" outlineLevel="0" collapsed="false">
      <c r="A27" s="9" t="s">
        <v>35</v>
      </c>
      <c r="B27" s="10" t="n">
        <v>4</v>
      </c>
      <c r="C27" s="8" t="n">
        <v>12.25</v>
      </c>
      <c r="D27" s="8" t="n">
        <v>12.75</v>
      </c>
      <c r="E27" s="8" t="n">
        <v>13.65</v>
      </c>
      <c r="F27" s="8" t="n">
        <v>14.85</v>
      </c>
      <c r="G27" s="8" t="n">
        <v>16.4</v>
      </c>
      <c r="H27" s="8" t="n">
        <v>18.3</v>
      </c>
      <c r="I27" s="8" t="n">
        <v>20.9</v>
      </c>
      <c r="J27" s="8" t="n">
        <v>24.25</v>
      </c>
    </row>
    <row r="28" customFormat="false" ht="15" hidden="false" customHeight="false" outlineLevel="0" collapsed="false">
      <c r="A28" s="9" t="s">
        <v>36</v>
      </c>
      <c r="B28" s="10" t="n">
        <v>5</v>
      </c>
      <c r="C28" s="8" t="n">
        <v>12.95</v>
      </c>
      <c r="D28" s="8" t="n">
        <v>13.55</v>
      </c>
      <c r="E28" s="8" t="n">
        <v>14.55</v>
      </c>
      <c r="F28" s="8" t="n">
        <v>15.8</v>
      </c>
      <c r="G28" s="8" t="n">
        <v>17.45</v>
      </c>
      <c r="H28" s="8" t="n">
        <v>19.6</v>
      </c>
      <c r="I28" s="8" t="n">
        <v>22.4</v>
      </c>
      <c r="J28" s="8" t="n">
        <v>26.05</v>
      </c>
    </row>
    <row r="29" customFormat="false" ht="15" hidden="false" customHeight="false" outlineLevel="0" collapsed="false">
      <c r="A29" s="9" t="s">
        <v>37</v>
      </c>
      <c r="B29" s="10" t="n">
        <v>6</v>
      </c>
      <c r="C29" s="8" t="n">
        <v>13.5</v>
      </c>
      <c r="D29" s="8" t="n">
        <v>13.9</v>
      </c>
      <c r="E29" s="8" t="n">
        <v>14.85</v>
      </c>
      <c r="F29" s="8" t="n">
        <v>16.35</v>
      </c>
      <c r="G29" s="8" t="n">
        <v>18.4</v>
      </c>
      <c r="H29" s="8" t="n">
        <v>21.05</v>
      </c>
      <c r="I29" s="8" t="n">
        <v>24.35</v>
      </c>
      <c r="J29" s="8" t="n">
        <v>28.35</v>
      </c>
    </row>
    <row r="30" customFormat="false" ht="15" hidden="false" customHeight="false" outlineLevel="0" collapsed="false">
      <c r="A30" s="9" t="s">
        <v>38</v>
      </c>
      <c r="B30" s="10" t="n">
        <v>7</v>
      </c>
      <c r="C30" s="8" t="n">
        <v>14</v>
      </c>
      <c r="D30" s="8" t="n">
        <v>14.4</v>
      </c>
      <c r="E30" s="8" t="n">
        <v>15.4</v>
      </c>
      <c r="F30" s="8" t="n">
        <v>17.1</v>
      </c>
      <c r="G30" s="8" t="n">
        <v>19.45</v>
      </c>
      <c r="H30" s="8" t="n">
        <v>22.55</v>
      </c>
      <c r="I30" s="8" t="n">
        <v>26.25</v>
      </c>
      <c r="J30" s="8" t="n">
        <v>30.6</v>
      </c>
    </row>
    <row r="31" customFormat="false" ht="15" hidden="false" customHeight="false" outlineLevel="0" collapsed="false">
      <c r="A31" s="9" t="s">
        <v>39</v>
      </c>
      <c r="B31" s="10" t="n">
        <v>8</v>
      </c>
      <c r="C31" s="8" t="n">
        <v>14.6</v>
      </c>
      <c r="D31" s="8" t="n">
        <v>14.85</v>
      </c>
      <c r="E31" s="8" t="n">
        <v>15.8</v>
      </c>
      <c r="F31" s="8" t="n">
        <v>17.65</v>
      </c>
      <c r="G31" s="8" t="n">
        <v>20.4</v>
      </c>
      <c r="H31" s="8" t="n">
        <v>24.1</v>
      </c>
      <c r="I31" s="8" t="n">
        <v>28.45</v>
      </c>
      <c r="J31" s="8" t="n">
        <v>33.15</v>
      </c>
    </row>
    <row r="32" customFormat="false" ht="15" hidden="false" customHeight="false" outlineLevel="0" collapsed="false">
      <c r="A32" s="9" t="s">
        <v>40</v>
      </c>
      <c r="B32" s="10" t="n">
        <v>9</v>
      </c>
      <c r="C32" s="8" t="n">
        <v>15.1</v>
      </c>
      <c r="D32" s="8" t="n">
        <v>15.4</v>
      </c>
      <c r="E32" s="8" t="n">
        <v>16.25</v>
      </c>
      <c r="F32" s="8" t="n">
        <v>18.3</v>
      </c>
      <c r="G32" s="8" t="n">
        <v>21.4</v>
      </c>
      <c r="H32" s="8" t="n">
        <v>25.55</v>
      </c>
      <c r="I32" s="8" t="n">
        <v>30.75</v>
      </c>
      <c r="J32" s="8" t="n">
        <v>35.7</v>
      </c>
    </row>
    <row r="33" customFormat="false" ht="15" hidden="false" customHeight="false" outlineLevel="0" collapsed="false">
      <c r="A33" s="9" t="s">
        <v>41</v>
      </c>
      <c r="B33" s="10" t="n">
        <v>10</v>
      </c>
      <c r="C33" s="8" t="n">
        <v>15.95</v>
      </c>
      <c r="D33" s="8" t="n">
        <v>16.3</v>
      </c>
      <c r="E33" s="8" t="n">
        <v>17.25</v>
      </c>
      <c r="F33" s="8" t="n">
        <v>19.4</v>
      </c>
      <c r="G33" s="8" t="n">
        <v>22.85</v>
      </c>
      <c r="H33" s="8" t="n">
        <v>27.5</v>
      </c>
      <c r="I33" s="8" t="n">
        <v>33.3</v>
      </c>
      <c r="J33" s="8" t="n">
        <v>39.45</v>
      </c>
    </row>
    <row r="35" customFormat="false" ht="15" hidden="false" customHeight="true" outlineLevel="0" collapsed="false">
      <c r="A35" s="2" t="s">
        <v>42</v>
      </c>
      <c r="B35" s="11" t="s">
        <v>43</v>
      </c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true" outlineLevel="0" collapsed="false">
      <c r="A37" s="2" t="s">
        <v>44</v>
      </c>
      <c r="B37" s="11" t="s">
        <v>45</v>
      </c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B38" s="11"/>
      <c r="C38" s="11"/>
      <c r="D38" s="11"/>
      <c r="E38" s="11"/>
      <c r="F38" s="11"/>
      <c r="G38" s="11"/>
      <c r="H38" s="11"/>
      <c r="I38" s="11"/>
    </row>
  </sheetData>
  <mergeCells count="6">
    <mergeCell ref="A1:I1"/>
    <mergeCell ref="A2:I2"/>
    <mergeCell ref="A4:I4"/>
    <mergeCell ref="A18:J18"/>
    <mergeCell ref="B35:I36"/>
    <mergeCell ref="B37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1"/>
    <col collapsed="false" customWidth="true" hidden="false" outlineLevel="0" max="11" min="11" style="0" width="15"/>
    <col collapsed="false" customWidth="true" hidden="false" outlineLevel="0" max="12" min="12" style="0" width="31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47</v>
      </c>
      <c r="B2" s="12" t="n">
        <f aca="false">SUM(K6:K17)</f>
        <v>164.55</v>
      </c>
      <c r="D2" s="2" t="s">
        <v>48</v>
      </c>
      <c r="E2" s="12" t="n">
        <f aca="false">SUM(H6:H17)</f>
        <v>219.9</v>
      </c>
      <c r="G2" s="2" t="s">
        <v>49</v>
      </c>
      <c r="H2" s="12" t="n">
        <f aca="false">SUM(J6:J17)</f>
        <v>164.55</v>
      </c>
    </row>
    <row r="3" customFormat="false" ht="15" hidden="false" customHeight="false" outlineLevel="0" collapsed="false">
      <c r="A3" s="4" t="s">
        <v>50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customFormat="false" ht="36" hidden="false" customHeight="true" outlineLevel="0" collapsed="false">
      <c r="A5" s="6" t="s">
        <v>51</v>
      </c>
      <c r="B5" s="6" t="s">
        <v>52</v>
      </c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59</v>
      </c>
      <c r="J5" s="6" t="s">
        <v>60</v>
      </c>
      <c r="K5" s="6" t="s">
        <v>61</v>
      </c>
      <c r="L5" s="6" t="s">
        <v>62</v>
      </c>
      <c r="M5" s="6" t="s">
        <v>63</v>
      </c>
    </row>
    <row r="6" customFormat="false" ht="21.75" hidden="false" customHeight="true" outlineLevel="0" collapsed="false">
      <c r="A6" s="13" t="s">
        <v>64</v>
      </c>
      <c r="B6" s="14" t="n">
        <v>4</v>
      </c>
      <c r="C6" s="13" t="s">
        <v>65</v>
      </c>
      <c r="D6" s="14" t="n">
        <v>1</v>
      </c>
      <c r="E6" s="13" t="s">
        <v>66</v>
      </c>
      <c r="F6" s="15" t="n">
        <f aca="false">IF(OR(B6="",C6=""),"",IF(C6="oz",B6/16,IF(C6="lb",B6,"")))</f>
        <v>0.25</v>
      </c>
      <c r="G6" s="13" t="n">
        <f aca="false">IF(OR(L6&lt;&gt;"OK",F6=""),"",ROUNDUP(F6,0))</f>
        <v>1</v>
      </c>
      <c r="H6" s="16" t="n">
        <f aca="false">IF(OR(G6="",D6=""),"",IFERROR(INDEX('Rate Sheet'!$B$6:$I$15,MATCH(G6,'Rate Sheet'!$A$6:$A$15,0),MATCH("Zone "&amp;D6,'Rate Sheet'!$B$5:$I$5,0)),""))</f>
        <v>11</v>
      </c>
      <c r="I6" s="13" t="str">
        <f aca="false">IF(OR(L6&lt;&gt;"OK",F6=""),"",IFERROR(INDEX('Rate Sheet'!$A$20:$A$33,IF(F6&lt;='Rate Sheet'!$B$20,1,MATCH(F6,'Rate Sheet'!$B$20:$B$33,1)+IF(F6=INDEX('Rate Sheet'!$B$20:$B$33,MATCH(F6,'Rate Sheet'!$B$20:$B$33,1),1),0,1))),""))</f>
        <v>4 oz</v>
      </c>
      <c r="J6" s="16" t="n">
        <f aca="false">IF(OR(I6="",D6=""),"",IFERROR(INDEX('Rate Sheet'!$C$20:$J$33,IF(F6&lt;='Rate Sheet'!$B$20,1,MATCH(F6,'Rate Sheet'!$B$20:$B$33,1)+IF(F6=INDEX('Rate Sheet'!$B$20:$B$33,MATCH(F6,'Rate Sheet'!$B$20:$B$33,1),1),0,1)),MATCH("Zone "&amp;D6,'Rate Sheet'!$C$19:$J$19,0)),""))</f>
        <v>7.9</v>
      </c>
      <c r="K6" s="16" t="n">
        <f aca="false">IF(OR(L6&lt;&gt;"OK",COUNT(H6,J6)&lt;2),"",MIN(H6,J6))</f>
        <v>7.9</v>
      </c>
      <c r="L6" s="17" t="str">
        <f aca="false">IF(AND(ISNUMBER(B6),B6&gt;0,OR(C6="oz",C6="lb"),ISNUMBER(D6),D6=INT(D6),D6&gt;=1,D6&lt;=8,ISNUMBER(F6),F6&lt;=10),"OK","OUTSIDE SUPPORTED CONDITIONS")</f>
        <v>OK</v>
      </c>
      <c r="M6" s="13" t="str">
        <f aca="false">IF(OR(L6&lt;&gt;"OK",COUNT(H6,J6)&lt;2),"",IF(H6&lt;J6,"Priority Mail","USPS Ground Advantage"))</f>
        <v>USPS Ground Advantage</v>
      </c>
    </row>
    <row r="7" customFormat="false" ht="21.75" hidden="false" customHeight="true" outlineLevel="0" collapsed="false">
      <c r="A7" s="13" t="s">
        <v>67</v>
      </c>
      <c r="B7" s="14" t="n">
        <v>4.1</v>
      </c>
      <c r="C7" s="13" t="s">
        <v>65</v>
      </c>
      <c r="D7" s="14" t="n">
        <v>2</v>
      </c>
      <c r="E7" s="13" t="s">
        <v>66</v>
      </c>
      <c r="F7" s="15" t="n">
        <f aca="false">IF(OR(B7="",C7=""),"",IF(C7="oz",B7/16,IF(C7="lb",B7,"")))</f>
        <v>0.25625</v>
      </c>
      <c r="G7" s="13" t="n">
        <f aca="false">IF(OR(L7&lt;&gt;"OK",F7=""),"",ROUNDUP(F7,0))</f>
        <v>1</v>
      </c>
      <c r="H7" s="16" t="n">
        <f aca="false">IF(OR(G7="",D7=""),"",IFERROR(INDEX('Rate Sheet'!$B$6:$I$15,MATCH(G7,'Rate Sheet'!$A$6:$A$15,0),MATCH("Zone "&amp;D7,'Rate Sheet'!$B$5:$I$5,0)),""))</f>
        <v>11.5</v>
      </c>
      <c r="I7" s="13" t="str">
        <f aca="false">IF(OR(L7&lt;&gt;"OK",F7=""),"",IFERROR(INDEX('Rate Sheet'!$A$20:$A$33,IF(F7&lt;='Rate Sheet'!$B$20,1,MATCH(F7,'Rate Sheet'!$B$20:$B$33,1)+IF(F7=INDEX('Rate Sheet'!$B$20:$B$33,MATCH(F7,'Rate Sheet'!$B$20:$B$33,1),1),0,1))),""))</f>
        <v>8 oz</v>
      </c>
      <c r="J7" s="16" t="n">
        <f aca="false">IF(OR(I7="",D7=""),"",IFERROR(INDEX('Rate Sheet'!$C$20:$J$33,IF(F7&lt;='Rate Sheet'!$B$20,1,MATCH(F7,'Rate Sheet'!$B$20:$B$33,1)+IF(F7=INDEX('Rate Sheet'!$B$20:$B$33,MATCH(F7,'Rate Sheet'!$B$20:$B$33,1),1),0,1)),MATCH("Zone "&amp;D7,'Rate Sheet'!$C$19:$J$19,0)),""))</f>
        <v>8.05</v>
      </c>
      <c r="K7" s="16" t="n">
        <f aca="false">IF(OR(L7&lt;&gt;"OK",COUNT(H7,J7)&lt;2),"",MIN(H7,J7))</f>
        <v>8.05</v>
      </c>
      <c r="L7" s="17" t="str">
        <f aca="false">IF(AND(ISNUMBER(B7),B7&gt;0,OR(C7="oz",C7="lb"),ISNUMBER(D7),D7=INT(D7),D7&gt;=1,D7&lt;=8,ISNUMBER(F7),F7&lt;=10),"OK","OUTSIDE SUPPORTED CONDITIONS")</f>
        <v>OK</v>
      </c>
      <c r="M7" s="13" t="str">
        <f aca="false">IF(OR(L7&lt;&gt;"OK",COUNT(H7,J7)&lt;2),"",IF(H7&lt;J7,"Priority Mail","USPS Ground Advantage"))</f>
        <v>USPS Ground Advantage</v>
      </c>
    </row>
    <row r="8" customFormat="false" ht="21.75" hidden="false" customHeight="true" outlineLevel="0" collapsed="false">
      <c r="A8" s="13" t="s">
        <v>68</v>
      </c>
      <c r="B8" s="14" t="n">
        <v>8</v>
      </c>
      <c r="C8" s="13" t="s">
        <v>65</v>
      </c>
      <c r="D8" s="14" t="n">
        <v>8</v>
      </c>
      <c r="E8" s="13" t="s">
        <v>66</v>
      </c>
      <c r="F8" s="15" t="n">
        <f aca="false">IF(OR(B8="",C8=""),"",IF(C8="oz",B8/16,IF(C8="lb",B8,"")))</f>
        <v>0.5</v>
      </c>
      <c r="G8" s="13" t="n">
        <f aca="false">IF(OR(L8&lt;&gt;"OK",F8=""),"",ROUNDUP(F8,0))</f>
        <v>1</v>
      </c>
      <c r="H8" s="16" t="n">
        <f aca="false">IF(OR(G8="",D8=""),"",IFERROR(INDEX('Rate Sheet'!$B$6:$I$15,MATCH(G8,'Rate Sheet'!$A$6:$A$15,0),MATCH("Zone "&amp;D8,'Rate Sheet'!$B$5:$I$5,0)),""))</f>
        <v>16.95</v>
      </c>
      <c r="I8" s="13" t="str">
        <f aca="false">IF(OR(L8&lt;&gt;"OK",F8=""),"",IFERROR(INDEX('Rate Sheet'!$A$20:$A$33,IF(F8&lt;='Rate Sheet'!$B$20,1,MATCH(F8,'Rate Sheet'!$B$20:$B$33,1)+IF(F8=INDEX('Rate Sheet'!$B$20:$B$33,MATCH(F8,'Rate Sheet'!$B$20:$B$33,1),1),0,1))),""))</f>
        <v>8 oz</v>
      </c>
      <c r="J8" s="16" t="n">
        <f aca="false">IF(OR(I8="",D8=""),"",IFERROR(INDEX('Rate Sheet'!$C$20:$J$33,IF(F8&lt;='Rate Sheet'!$B$20,1,MATCH(F8,'Rate Sheet'!$B$20:$B$33,1)+IF(F8=INDEX('Rate Sheet'!$B$20:$B$33,MATCH(F8,'Rate Sheet'!$B$20:$B$33,1),1),0,1)),MATCH("Zone "&amp;D8,'Rate Sheet'!$C$19:$J$19,0)),""))</f>
        <v>9.45</v>
      </c>
      <c r="K8" s="16" t="n">
        <f aca="false">IF(OR(L8&lt;&gt;"OK",COUNT(H8,J8)&lt;2),"",MIN(H8,J8))</f>
        <v>9.45</v>
      </c>
      <c r="L8" s="17" t="str">
        <f aca="false">IF(AND(ISNUMBER(B8),B8&gt;0,OR(C8="oz",C8="lb"),ISNUMBER(D8),D8=INT(D8),D8&gt;=1,D8&lt;=8,ISNUMBER(F8),F8&lt;=10),"OK","OUTSIDE SUPPORTED CONDITIONS")</f>
        <v>OK</v>
      </c>
      <c r="M8" s="13" t="str">
        <f aca="false">IF(OR(L8&lt;&gt;"OK",COUNT(H8,J8)&lt;2),"",IF(H8&lt;J8,"Priority Mail","USPS Ground Advantage"))</f>
        <v>USPS Ground Advantage</v>
      </c>
    </row>
    <row r="9" customFormat="false" ht="21.75" hidden="false" customHeight="true" outlineLevel="0" collapsed="false">
      <c r="A9" s="13" t="s">
        <v>69</v>
      </c>
      <c r="B9" s="14" t="n">
        <v>8.1</v>
      </c>
      <c r="C9" s="13" t="s">
        <v>65</v>
      </c>
      <c r="D9" s="14" t="n">
        <v>8</v>
      </c>
      <c r="E9" s="13" t="s">
        <v>66</v>
      </c>
      <c r="F9" s="15" t="n">
        <f aca="false">IF(OR(B9="",C9=""),"",IF(C9="oz",B9/16,IF(C9="lb",B9,"")))</f>
        <v>0.50625</v>
      </c>
      <c r="G9" s="13" t="n">
        <f aca="false">IF(OR(L9&lt;&gt;"OK",F9=""),"",ROUNDUP(F9,0))</f>
        <v>1</v>
      </c>
      <c r="H9" s="16" t="n">
        <f aca="false">IF(OR(G9="",D9=""),"",IFERROR(INDEX('Rate Sheet'!$B$6:$I$15,MATCH(G9,'Rate Sheet'!$A$6:$A$15,0),MATCH("Zone "&amp;D9,'Rate Sheet'!$B$5:$I$5,0)),""))</f>
        <v>16.95</v>
      </c>
      <c r="I9" s="13" t="str">
        <f aca="false">IF(OR(L9&lt;&gt;"OK",F9=""),"",IFERROR(INDEX('Rate Sheet'!$A$20:$A$33,IF(F9&lt;='Rate Sheet'!$B$20,1,MATCH(F9,'Rate Sheet'!$B$20:$B$33,1)+IF(F9=INDEX('Rate Sheet'!$B$20:$B$33,MATCH(F9,'Rate Sheet'!$B$20:$B$33,1),1),0,1))),""))</f>
        <v>12 oz</v>
      </c>
      <c r="J9" s="16" t="n">
        <f aca="false">IF(OR(I9="",D9=""),"",IFERROR(INDEX('Rate Sheet'!$C$20:$J$33,IF(F9&lt;='Rate Sheet'!$B$20,1,MATCH(F9,'Rate Sheet'!$B$20:$B$33,1)+IF(F9=INDEX('Rate Sheet'!$B$20:$B$33,MATCH(F9,'Rate Sheet'!$B$20:$B$33,1),1),0,1)),MATCH("Zone "&amp;D9,'Rate Sheet'!$C$19:$J$19,0)),""))</f>
        <v>12.9</v>
      </c>
      <c r="K9" s="16" t="n">
        <f aca="false">IF(OR(L9&lt;&gt;"OK",COUNT(H9,J9)&lt;2),"",MIN(H9,J9))</f>
        <v>12.9</v>
      </c>
      <c r="L9" s="17" t="str">
        <f aca="false">IF(AND(ISNUMBER(B9),B9&gt;0,OR(C9="oz",C9="lb"),ISNUMBER(D9),D9=INT(D9),D9&gt;=1,D9&lt;=8,ISNUMBER(F9),F9&lt;=10),"OK","OUTSIDE SUPPORTED CONDITIONS")</f>
        <v>OK</v>
      </c>
      <c r="M9" s="13" t="str">
        <f aca="false">IF(OR(L9&lt;&gt;"OK",COUNT(H9,J9)&lt;2),"",IF(H9&lt;J9,"Priority Mail","USPS Ground Advantage"))</f>
        <v>USPS Ground Advantage</v>
      </c>
    </row>
    <row r="10" customFormat="false" ht="21.75" hidden="false" customHeight="true" outlineLevel="0" collapsed="false">
      <c r="A10" s="13" t="s">
        <v>70</v>
      </c>
      <c r="B10" s="14" t="n">
        <v>12</v>
      </c>
      <c r="C10" s="13" t="s">
        <v>65</v>
      </c>
      <c r="D10" s="14" t="n">
        <v>4</v>
      </c>
      <c r="E10" s="13" t="s">
        <v>66</v>
      </c>
      <c r="F10" s="15" t="n">
        <f aca="false">IF(OR(B10="",C10=""),"",IF(C10="oz",B10/16,IF(C10="lb",B10,"")))</f>
        <v>0.75</v>
      </c>
      <c r="G10" s="13" t="n">
        <f aca="false">IF(OR(L10&lt;&gt;"OK",F10=""),"",ROUNDUP(F10,0))</f>
        <v>1</v>
      </c>
      <c r="H10" s="16" t="n">
        <f aca="false">IF(OR(G10="",D10=""),"",IFERROR(INDEX('Rate Sheet'!$B$6:$I$15,MATCH(G10,'Rate Sheet'!$A$6:$A$15,0),MATCH("Zone "&amp;D10,'Rate Sheet'!$B$5:$I$5,0)),""))</f>
        <v>11.9</v>
      </c>
      <c r="I10" s="13" t="str">
        <f aca="false">IF(OR(L10&lt;&gt;"OK",F10=""),"",IFERROR(INDEX('Rate Sheet'!$A$20:$A$33,IF(F10&lt;='Rate Sheet'!$B$20,1,MATCH(F10,'Rate Sheet'!$B$20:$B$33,1)+IF(F10=INDEX('Rate Sheet'!$B$20:$B$33,MATCH(F10,'Rate Sheet'!$B$20:$B$33,1),1),0,1))),""))</f>
        <v>12 oz</v>
      </c>
      <c r="J10" s="16" t="n">
        <f aca="false">IF(OR(I10="",D10=""),"",IFERROR(INDEX('Rate Sheet'!$C$20:$J$33,IF(F10&lt;='Rate Sheet'!$B$20,1,MATCH(F10,'Rate Sheet'!$B$20:$B$33,1)+IF(F10=INDEX('Rate Sheet'!$B$20:$B$33,MATCH(F10,'Rate Sheet'!$B$20:$B$33,1),1),0,1)),MATCH("Zone "&amp;D10,'Rate Sheet'!$C$19:$J$19,0)),""))</f>
        <v>10.6</v>
      </c>
      <c r="K10" s="16" t="n">
        <f aca="false">IF(OR(L10&lt;&gt;"OK",COUNT(H10,J10)&lt;2),"",MIN(H10,J10))</f>
        <v>10.6</v>
      </c>
      <c r="L10" s="17" t="str">
        <f aca="false">IF(AND(ISNUMBER(B10),B10&gt;0,OR(C10="oz",C10="lb"),ISNUMBER(D10),D10=INT(D10),D10&gt;=1,D10&lt;=8,ISNUMBER(F10),F10&lt;=10),"OK","OUTSIDE SUPPORTED CONDITIONS")</f>
        <v>OK</v>
      </c>
      <c r="M10" s="13" t="str">
        <f aca="false">IF(OR(L10&lt;&gt;"OK",COUNT(H10,J10)&lt;2),"",IF(H10&lt;J10,"Priority Mail","USPS Ground Advantage"))</f>
        <v>USPS Ground Advantage</v>
      </c>
    </row>
    <row r="11" customFormat="false" ht="21.75" hidden="false" customHeight="true" outlineLevel="0" collapsed="false">
      <c r="A11" s="13" t="s">
        <v>71</v>
      </c>
      <c r="B11" s="14" t="n">
        <v>12.1</v>
      </c>
      <c r="C11" s="13" t="s">
        <v>65</v>
      </c>
      <c r="D11" s="14" t="n">
        <v>5</v>
      </c>
      <c r="E11" s="13" t="s">
        <v>66</v>
      </c>
      <c r="F11" s="15" t="n">
        <f aca="false">IF(OR(B11="",C11=""),"",IF(C11="oz",B11/16,IF(C11="lb",B11,"")))</f>
        <v>0.75625</v>
      </c>
      <c r="G11" s="13" t="n">
        <f aca="false">IF(OR(L11&lt;&gt;"OK",F11=""),"",ROUNDUP(F11,0))</f>
        <v>1</v>
      </c>
      <c r="H11" s="16" t="n">
        <f aca="false">IF(OR(G11="",D11=""),"",IFERROR(INDEX('Rate Sheet'!$B$6:$I$15,MATCH(G11,'Rate Sheet'!$A$6:$A$15,0),MATCH("Zone "&amp;D11,'Rate Sheet'!$B$5:$I$5,0)),""))</f>
        <v>13.05</v>
      </c>
      <c r="I11" s="13" t="str">
        <f aca="false">IF(OR(L11&lt;&gt;"OK",F11=""),"",IFERROR(INDEX('Rate Sheet'!$A$20:$A$33,IF(F11&lt;='Rate Sheet'!$B$20,1,MATCH(F11,'Rate Sheet'!$B$20:$B$33,1)+IF(F11=INDEX('Rate Sheet'!$B$20:$B$33,MATCH(F11,'Rate Sheet'!$B$20:$B$33,1),1),0,1))),""))</f>
        <v>15.999 oz</v>
      </c>
      <c r="J11" s="16" t="n">
        <f aca="false">IF(OR(I11="",D11=""),"",IFERROR(INDEX('Rate Sheet'!$C$20:$J$33,IF(F11&lt;='Rate Sheet'!$B$20,1,MATCH(F11,'Rate Sheet'!$B$20:$B$33,1)+IF(F11=INDEX('Rate Sheet'!$B$20:$B$33,MATCH(F11,'Rate Sheet'!$B$20:$B$33,1),1),0,1)),MATCH("Zone "&amp;D11,'Rate Sheet'!$C$19:$J$19,0)),""))</f>
        <v>10.95</v>
      </c>
      <c r="K11" s="16" t="n">
        <f aca="false">IF(OR(L11&lt;&gt;"OK",COUNT(H11,J11)&lt;2),"",MIN(H11,J11))</f>
        <v>10.95</v>
      </c>
      <c r="L11" s="17" t="str">
        <f aca="false">IF(AND(ISNUMBER(B11),B11&gt;0,OR(C11="oz",C11="lb"),ISNUMBER(D11),D11=INT(D11),D11&gt;=1,D11&lt;=8,ISNUMBER(F11),F11&lt;=10),"OK","OUTSIDE SUPPORTED CONDITIONS")</f>
        <v>OK</v>
      </c>
      <c r="M11" s="13" t="str">
        <f aca="false">IF(OR(L11&lt;&gt;"OK",COUNT(H11,J11)&lt;2),"",IF(H11&lt;J11,"Priority Mail","USPS Ground Advantage"))</f>
        <v>USPS Ground Advantage</v>
      </c>
    </row>
    <row r="12" customFormat="false" ht="21.75" hidden="false" customHeight="true" outlineLevel="0" collapsed="false">
      <c r="A12" s="13" t="s">
        <v>72</v>
      </c>
      <c r="B12" s="14" t="n">
        <v>15.999</v>
      </c>
      <c r="C12" s="13" t="s">
        <v>65</v>
      </c>
      <c r="D12" s="14" t="n">
        <v>6</v>
      </c>
      <c r="E12" s="13" t="s">
        <v>66</v>
      </c>
      <c r="F12" s="15" t="n">
        <f aca="false">IF(OR(B12="",C12=""),"",IF(C12="oz",B12/16,IF(C12="lb",B12,"")))</f>
        <v>0.9999375</v>
      </c>
      <c r="G12" s="13" t="n">
        <f aca="false">IF(OR(L12&lt;&gt;"OK",F12=""),"",ROUNDUP(F12,0))</f>
        <v>1</v>
      </c>
      <c r="H12" s="16" t="n">
        <f aca="false">IF(OR(G12="",D12=""),"",IFERROR(INDEX('Rate Sheet'!$B$6:$I$15,MATCH(G12,'Rate Sheet'!$A$6:$A$15,0),MATCH("Zone "&amp;D12,'Rate Sheet'!$B$5:$I$5,0)),""))</f>
        <v>14.5</v>
      </c>
      <c r="I12" s="13" t="str">
        <f aca="false">IF(OR(L12&lt;&gt;"OK",F12=""),"",IFERROR(INDEX('Rate Sheet'!$A$20:$A$33,IF(F12&lt;='Rate Sheet'!$B$20,1,MATCH(F12,'Rate Sheet'!$B$20:$B$33,1)+IF(F12=INDEX('Rate Sheet'!$B$20:$B$33,MATCH(F12,'Rate Sheet'!$B$20:$B$33,1),1),0,1))),""))</f>
        <v>15.999 oz</v>
      </c>
      <c r="J12" s="16" t="n">
        <f aca="false">IF(OR(I12="",D12=""),"",IFERROR(INDEX('Rate Sheet'!$C$20:$J$33,IF(F12&lt;='Rate Sheet'!$B$20,1,MATCH(F12,'Rate Sheet'!$B$20:$B$33,1)+IF(F12=INDEX('Rate Sheet'!$B$20:$B$33,MATCH(F12,'Rate Sheet'!$B$20:$B$33,1),1),0,1)),MATCH("Zone "&amp;D12,'Rate Sheet'!$C$19:$J$19,0)),""))</f>
        <v>11.35</v>
      </c>
      <c r="K12" s="16" t="n">
        <f aca="false">IF(OR(L12&lt;&gt;"OK",COUNT(H12,J12)&lt;2),"",MIN(H12,J12))</f>
        <v>11.35</v>
      </c>
      <c r="L12" s="17" t="str">
        <f aca="false">IF(AND(ISNUMBER(B12),B12&gt;0,OR(C12="oz",C12="lb"),ISNUMBER(D12),D12=INT(D12),D12&gt;=1,D12&lt;=8,ISNUMBER(F12),F12&lt;=10),"OK","OUTSIDE SUPPORTED CONDITIONS")</f>
        <v>OK</v>
      </c>
      <c r="M12" s="13" t="str">
        <f aca="false">IF(OR(L12&lt;&gt;"OK",COUNT(H12,J12)&lt;2),"",IF(H12&lt;J12,"Priority Mail","USPS Ground Advantage"))</f>
        <v>USPS Ground Advantage</v>
      </c>
    </row>
    <row r="13" customFormat="false" ht="21.75" hidden="false" customHeight="true" outlineLevel="0" collapsed="false">
      <c r="A13" s="13" t="s">
        <v>73</v>
      </c>
      <c r="B13" s="14" t="n">
        <v>1</v>
      </c>
      <c r="C13" s="13" t="s">
        <v>74</v>
      </c>
      <c r="D13" s="14" t="n">
        <v>6</v>
      </c>
      <c r="E13" s="13" t="s">
        <v>66</v>
      </c>
      <c r="F13" s="15" t="n">
        <f aca="false">IF(OR(B13="",C13=""),"",IF(C13="oz",B13/16,IF(C13="lb",B13,"")))</f>
        <v>1</v>
      </c>
      <c r="G13" s="13" t="n">
        <f aca="false">IF(OR(L13&lt;&gt;"OK",F13=""),"",ROUNDUP(F13,0))</f>
        <v>1</v>
      </c>
      <c r="H13" s="16" t="n">
        <f aca="false">IF(OR(G13="",D13=""),"",IFERROR(INDEX('Rate Sheet'!$B$6:$I$15,MATCH(G13,'Rate Sheet'!$A$6:$A$15,0),MATCH("Zone "&amp;D13,'Rate Sheet'!$B$5:$I$5,0)),""))</f>
        <v>14.5</v>
      </c>
      <c r="I13" s="13" t="str">
        <f aca="false">IF(OR(L13&lt;&gt;"OK",F13=""),"",IFERROR(INDEX('Rate Sheet'!$A$20:$A$33,IF(F13&lt;='Rate Sheet'!$B$20,1,MATCH(F13,'Rate Sheet'!$B$20:$B$33,1)+IF(F13=INDEX('Rate Sheet'!$B$20:$B$33,MATCH(F13,'Rate Sheet'!$B$20:$B$33,1),1),0,1))),""))</f>
        <v>1 lb</v>
      </c>
      <c r="J13" s="16" t="n">
        <f aca="false">IF(OR(I13="",D13=""),"",IFERROR(INDEX('Rate Sheet'!$C$20:$J$33,IF(F13&lt;='Rate Sheet'!$B$20,1,MATCH(F13,'Rate Sheet'!$B$20:$B$33,1)+IF(F13=INDEX('Rate Sheet'!$B$20:$B$33,MATCH(F13,'Rate Sheet'!$B$20:$B$33,1),1),0,1)),MATCH("Zone "&amp;D13,'Rate Sheet'!$C$19:$J$19,0)),""))</f>
        <v>11.35</v>
      </c>
      <c r="K13" s="16" t="n">
        <f aca="false">IF(OR(L13&lt;&gt;"OK",COUNT(H13,J13)&lt;2),"",MIN(H13,J13))</f>
        <v>11.35</v>
      </c>
      <c r="L13" s="17" t="str">
        <f aca="false">IF(AND(ISNUMBER(B13),B13&gt;0,OR(C13="oz",C13="lb"),ISNUMBER(D13),D13=INT(D13),D13&gt;=1,D13&lt;=8,ISNUMBER(F13),F13&lt;=10),"OK","OUTSIDE SUPPORTED CONDITIONS")</f>
        <v>OK</v>
      </c>
      <c r="M13" s="13" t="str">
        <f aca="false">IF(OR(L13&lt;&gt;"OK",COUNT(H13,J13)&lt;2),"",IF(H13&lt;J13,"Priority Mail","USPS Ground Advantage"))</f>
        <v>USPS Ground Advantage</v>
      </c>
    </row>
    <row r="14" customFormat="false" ht="21.75" hidden="false" customHeight="true" outlineLevel="0" collapsed="false">
      <c r="A14" s="13" t="s">
        <v>75</v>
      </c>
      <c r="B14" s="14" t="n">
        <v>1.01</v>
      </c>
      <c r="C14" s="13" t="s">
        <v>74</v>
      </c>
      <c r="D14" s="14" t="n">
        <v>7</v>
      </c>
      <c r="E14" s="13" t="s">
        <v>66</v>
      </c>
      <c r="F14" s="15" t="n">
        <f aca="false">IF(OR(B14="",C14=""),"",IF(C14="oz",B14/16,IF(C14="lb",B14,"")))</f>
        <v>1.01</v>
      </c>
      <c r="G14" s="13" t="n">
        <f aca="false">IF(OR(L14&lt;&gt;"OK",F14=""),"",ROUNDUP(F14,0))</f>
        <v>2</v>
      </c>
      <c r="H14" s="16" t="n">
        <f aca="false">IF(OR(G14="",D14=""),"",IFERROR(INDEX('Rate Sheet'!$B$6:$I$15,MATCH(G14,'Rate Sheet'!$A$6:$A$15,0),MATCH("Zone "&amp;D14,'Rate Sheet'!$B$5:$I$5,0)),""))</f>
        <v>19.45</v>
      </c>
      <c r="I14" s="13" t="str">
        <f aca="false">IF(OR(L14&lt;&gt;"OK",F14=""),"",IFERROR(INDEX('Rate Sheet'!$A$20:$A$33,IF(F14&lt;='Rate Sheet'!$B$20,1,MATCH(F14,'Rate Sheet'!$B$20:$B$33,1)+IF(F14=INDEX('Rate Sheet'!$B$20:$B$33,MATCH(F14,'Rate Sheet'!$B$20:$B$33,1),1),0,1))),""))</f>
        <v>2 lb</v>
      </c>
      <c r="J14" s="16" t="n">
        <f aca="false">IF(OR(I14="",D14=""),"",IFERROR(INDEX('Rate Sheet'!$C$20:$J$33,IF(F14&lt;='Rate Sheet'!$B$20,1,MATCH(F14,'Rate Sheet'!$B$20:$B$33,1)+IF(F14=INDEX('Rate Sheet'!$B$20:$B$33,MATCH(F14,'Rate Sheet'!$B$20:$B$33,1),1),0,1)),MATCH("Zone "&amp;D14,'Rate Sheet'!$C$19:$J$19,0)),""))</f>
        <v>16.45</v>
      </c>
      <c r="K14" s="16" t="n">
        <f aca="false">IF(OR(L14&lt;&gt;"OK",COUNT(H14,J14)&lt;2),"",MIN(H14,J14))</f>
        <v>16.45</v>
      </c>
      <c r="L14" s="17" t="str">
        <f aca="false">IF(AND(ISNUMBER(B14),B14&gt;0,OR(C14="oz",C14="lb"),ISNUMBER(D14),D14=INT(D14),D14&gt;=1,D14&lt;=8,ISNUMBER(F14),F14&lt;=10),"OK","OUTSIDE SUPPORTED CONDITIONS")</f>
        <v>OK</v>
      </c>
      <c r="M14" s="13" t="str">
        <f aca="false">IF(OR(L14&lt;&gt;"OK",COUNT(H14,J14)&lt;2),"",IF(H14&lt;J14,"Priority Mail","USPS Ground Advantage"))</f>
        <v>USPS Ground Advantage</v>
      </c>
    </row>
    <row r="15" customFormat="false" ht="21.75" hidden="false" customHeight="true" outlineLevel="0" collapsed="false">
      <c r="A15" s="13" t="s">
        <v>76</v>
      </c>
      <c r="B15" s="14" t="n">
        <v>2</v>
      </c>
      <c r="C15" s="13" t="s">
        <v>74</v>
      </c>
      <c r="D15" s="14" t="n">
        <v>3</v>
      </c>
      <c r="E15" s="13" t="s">
        <v>66</v>
      </c>
      <c r="F15" s="15" t="n">
        <f aca="false">IF(OR(B15="",C15=""),"",IF(C15="oz",B15/16,IF(C15="lb",B15,"")))</f>
        <v>2</v>
      </c>
      <c r="G15" s="13" t="n">
        <f aca="false">IF(OR(L15&lt;&gt;"OK",F15=""),"",ROUNDUP(F15,0))</f>
        <v>2</v>
      </c>
      <c r="H15" s="16" t="n">
        <f aca="false">IF(OR(G15="",D15=""),"",IFERROR(INDEX('Rate Sheet'!$B$6:$I$15,MATCH(G15,'Rate Sheet'!$A$6:$A$15,0),MATCH("Zone "&amp;D15,'Rate Sheet'!$B$5:$I$5,0)),""))</f>
        <v>13.45</v>
      </c>
      <c r="I15" s="13" t="str">
        <f aca="false">IF(OR(L15&lt;&gt;"OK",F15=""),"",IFERROR(INDEX('Rate Sheet'!$A$20:$A$33,IF(F15&lt;='Rate Sheet'!$B$20,1,MATCH(F15,'Rate Sheet'!$B$20:$B$33,1)+IF(F15=INDEX('Rate Sheet'!$B$20:$B$33,MATCH(F15,'Rate Sheet'!$B$20:$B$33,1),1),0,1))),""))</f>
        <v>2 lb</v>
      </c>
      <c r="J15" s="16" t="n">
        <f aca="false">IF(OR(I15="",D15=""),"",IFERROR(INDEX('Rate Sheet'!$C$20:$J$33,IF(F15&lt;='Rate Sheet'!$B$20,1,MATCH(F15,'Rate Sheet'!$B$20:$B$33,1)+IF(F15=INDEX('Rate Sheet'!$B$20:$B$33,MATCH(F15,'Rate Sheet'!$B$20:$B$33,1),1),0,1)),MATCH("Zone "&amp;D15,'Rate Sheet'!$C$19:$J$19,0)),""))</f>
        <v>12.2</v>
      </c>
      <c r="K15" s="16" t="n">
        <f aca="false">IF(OR(L15&lt;&gt;"OK",COUNT(H15,J15)&lt;2),"",MIN(H15,J15))</f>
        <v>12.2</v>
      </c>
      <c r="L15" s="17" t="str">
        <f aca="false">IF(AND(ISNUMBER(B15),B15&gt;0,OR(C15="oz",C15="lb"),ISNUMBER(D15),D15=INT(D15),D15&gt;=1,D15&lt;=8,ISNUMBER(F15),F15&lt;=10),"OK","OUTSIDE SUPPORTED CONDITIONS")</f>
        <v>OK</v>
      </c>
      <c r="M15" s="13" t="str">
        <f aca="false">IF(OR(L15&lt;&gt;"OK",COUNT(H15,J15)&lt;2),"",IF(H15&lt;J15,"Priority Mail","USPS Ground Advantage"))</f>
        <v>USPS Ground Advantage</v>
      </c>
    </row>
    <row r="16" customFormat="false" ht="21.75" hidden="false" customHeight="true" outlineLevel="0" collapsed="false">
      <c r="A16" s="13" t="s">
        <v>77</v>
      </c>
      <c r="B16" s="14" t="n">
        <v>5.5</v>
      </c>
      <c r="C16" s="13" t="s">
        <v>74</v>
      </c>
      <c r="D16" s="14" t="n">
        <v>2</v>
      </c>
      <c r="E16" s="13" t="s">
        <v>66</v>
      </c>
      <c r="F16" s="15" t="n">
        <f aca="false">IF(OR(B16="",C16=""),"",IF(C16="oz",B16/16,IF(C16="lb",B16,"")))</f>
        <v>5.5</v>
      </c>
      <c r="G16" s="13" t="n">
        <f aca="false">IF(OR(L16&lt;&gt;"OK",F16=""),"",ROUNDUP(F16,0))</f>
        <v>6</v>
      </c>
      <c r="H16" s="16" t="n">
        <f aca="false">IF(OR(G16="",D16=""),"",IFERROR(INDEX('Rate Sheet'!$B$6:$I$15,MATCH(G16,'Rate Sheet'!$A$6:$A$15,0),MATCH("Zone "&amp;D16,'Rate Sheet'!$B$5:$I$5,0)),""))</f>
        <v>15.35</v>
      </c>
      <c r="I16" s="13" t="str">
        <f aca="false">IF(OR(L16&lt;&gt;"OK",F16=""),"",IFERROR(INDEX('Rate Sheet'!$A$20:$A$33,IF(F16&lt;='Rate Sheet'!$B$20,1,MATCH(F16,'Rate Sheet'!$B$20:$B$33,1)+IF(F16=INDEX('Rate Sheet'!$B$20:$B$33,MATCH(F16,'Rate Sheet'!$B$20:$B$33,1),1),0,1))),""))</f>
        <v>6 lb</v>
      </c>
      <c r="J16" s="16" t="n">
        <f aca="false">IF(OR(I16="",D16=""),"",IFERROR(INDEX('Rate Sheet'!$C$20:$J$33,IF(F16&lt;='Rate Sheet'!$B$20,1,MATCH(F16,'Rate Sheet'!$B$20:$B$33,1)+IF(F16=INDEX('Rate Sheet'!$B$20:$B$33,MATCH(F16,'Rate Sheet'!$B$20:$B$33,1),1),0,1)),MATCH("Zone "&amp;D16,'Rate Sheet'!$C$19:$J$19,0)),""))</f>
        <v>13.9</v>
      </c>
      <c r="K16" s="16" t="n">
        <f aca="false">IF(OR(L16&lt;&gt;"OK",COUNT(H16,J16)&lt;2),"",MIN(H16,J16))</f>
        <v>13.9</v>
      </c>
      <c r="L16" s="17" t="str">
        <f aca="false">IF(AND(ISNUMBER(B16),B16&gt;0,OR(C16="oz",C16="lb"),ISNUMBER(D16),D16=INT(D16),D16&gt;=1,D16&lt;=8,ISNUMBER(F16),F16&lt;=10),"OK","OUTSIDE SUPPORTED CONDITIONS")</f>
        <v>OK</v>
      </c>
      <c r="M16" s="13" t="str">
        <f aca="false">IF(OR(L16&lt;&gt;"OK",COUNT(H16,J16)&lt;2),"",IF(H16&lt;J16,"Priority Mail","USPS Ground Advantage"))</f>
        <v>USPS Ground Advantage</v>
      </c>
    </row>
    <row r="17" customFormat="false" ht="21.75" hidden="false" customHeight="true" outlineLevel="0" collapsed="false">
      <c r="A17" s="13" t="s">
        <v>78</v>
      </c>
      <c r="B17" s="14" t="n">
        <v>10</v>
      </c>
      <c r="C17" s="13" t="s">
        <v>74</v>
      </c>
      <c r="D17" s="14" t="n">
        <v>8</v>
      </c>
      <c r="E17" s="13" t="s">
        <v>66</v>
      </c>
      <c r="F17" s="15" t="n">
        <f aca="false">IF(OR(B17="",C17=""),"",IF(C17="oz",B17/16,IF(C17="lb",B17,"")))</f>
        <v>10</v>
      </c>
      <c r="G17" s="13" t="n">
        <f aca="false">IF(OR(L17&lt;&gt;"OK",F17=""),"",ROUNDUP(F17,0))</f>
        <v>10</v>
      </c>
      <c r="H17" s="16" t="n">
        <f aca="false">IF(OR(G17="",D17=""),"",IFERROR(INDEX('Rate Sheet'!$B$6:$I$15,MATCH(G17,'Rate Sheet'!$A$6:$A$15,0),MATCH("Zone "&amp;D17,'Rate Sheet'!$B$5:$I$5,0)),""))</f>
        <v>61.3</v>
      </c>
      <c r="I17" s="13" t="str">
        <f aca="false">IF(OR(L17&lt;&gt;"OK",F17=""),"",IFERROR(INDEX('Rate Sheet'!$A$20:$A$33,IF(F17&lt;='Rate Sheet'!$B$20,1,MATCH(F17,'Rate Sheet'!$B$20:$B$33,1)+IF(F17=INDEX('Rate Sheet'!$B$20:$B$33,MATCH(F17,'Rate Sheet'!$B$20:$B$33,1),1),0,1))),""))</f>
        <v>10 lb</v>
      </c>
      <c r="J17" s="16" t="n">
        <f aca="false">IF(OR(I17="",D17=""),"",IFERROR(INDEX('Rate Sheet'!$C$20:$J$33,IF(F17&lt;='Rate Sheet'!$B$20,1,MATCH(F17,'Rate Sheet'!$B$20:$B$33,1)+IF(F17=INDEX('Rate Sheet'!$B$20:$B$33,MATCH(F17,'Rate Sheet'!$B$20:$B$33,1),1),0,1)),MATCH("Zone "&amp;D17,'Rate Sheet'!$C$19:$J$19,0)),""))</f>
        <v>39.45</v>
      </c>
      <c r="K17" s="16" t="n">
        <f aca="false">IF(OR(L17&lt;&gt;"OK",COUNT(H17,J17)&lt;2),"",MIN(H17,J17))</f>
        <v>39.45</v>
      </c>
      <c r="L17" s="17" t="str">
        <f aca="false">IF(AND(ISNUMBER(B17),B17&gt;0,OR(C17="oz",C17="lb"),ISNUMBER(D17),D17=INT(D17),D17&gt;=1,D17&lt;=8,ISNUMBER(F17),F17&lt;=10),"OK","OUTSIDE SUPPORTED CONDITIONS")</f>
        <v>OK</v>
      </c>
      <c r="M17" s="13" t="str">
        <f aca="false">IF(OR(L17&lt;&gt;"OK",COUNT(H17,J17)&lt;2),"",IF(H17&lt;J17,"Priority Mail","USPS Ground Advantage"))</f>
        <v>USPS Ground Advantage</v>
      </c>
    </row>
  </sheetData>
  <autoFilter ref="A5:M17"/>
  <mergeCells count="2">
    <mergeCell ref="A1:M1"/>
    <mergeCell ref="A3:M3"/>
  </mergeCells>
  <conditionalFormatting sqref="L6:L1000">
    <cfRule type="expression" priority="2" aboveAverage="0" equalAverage="0" bottom="0" percent="0" rank="0" text="" dxfId="7">
      <formula>$L6="OUTSIDE SUPPORTED CONDITIONS"</formula>
    </cfRule>
    <cfRule type="expression" priority="3" aboveAverage="0" equalAverage="0" bottom="0" percent="0" rank="0" text="" dxfId="8">
      <formula>$L6="OK"</formula>
    </cfRule>
  </conditionalFormatting>
  <dataValidations count="3">
    <dataValidation allowBlank="false" error="Unit must be oz or lb." errorStyle="stop" errorTitle="Unsupported unit" operator="between" prompt="Choose oz or lb." promptTitle="Weight unit" showDropDown="false" showErrorMessage="false" showInputMessage="false" sqref="C6:C1000" type="list">
      <formula1>"oz,lb"</formula1>
      <formula2>0</formula2>
    </dataValidation>
    <dataValidation allowBlank="false" error="Zone must be an integer from 1 to 8." errorStyle="stop" errorTitle="Unsupported zone" operator="between" showDropDown="false" showErrorMessage="false" showInputMessage="false" sqref="D6:D1000" type="whole">
      <formula1>1</formula1>
      <formula2>8</formula2>
    </dataValidation>
    <dataValidation allowBlank="false" error="Weight must be positive. The status column will also flag values above 10 lb." errorStyle="stop" errorTitle="Invalid weight" operator="greaterThan" showDropDown="false" showErrorMessage="false" showInputMessage="false" sqref="B6:B10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79</v>
      </c>
      <c r="B1" s="1"/>
      <c r="C1" s="1"/>
      <c r="D1" s="1"/>
    </row>
    <row r="3" customFormat="false" ht="21.75" hidden="false" customHeight="true" outlineLevel="0" collapsed="false">
      <c r="A3" s="2" t="s">
        <v>80</v>
      </c>
      <c r="B3" s="18" t="s">
        <v>81</v>
      </c>
    </row>
    <row r="4" customFormat="false" ht="21.75" hidden="false" customHeight="true" outlineLevel="0" collapsed="false">
      <c r="A4" s="2" t="s">
        <v>82</v>
      </c>
      <c r="B4" s="18" t="s">
        <v>83</v>
      </c>
    </row>
    <row r="5" customFormat="false" ht="21.75" hidden="false" customHeight="true" outlineLevel="0" collapsed="false">
      <c r="A5" s="2" t="s">
        <v>84</v>
      </c>
      <c r="B5" s="18" t="s">
        <v>85</v>
      </c>
    </row>
    <row r="7" customFormat="false" ht="31.5" hidden="false" customHeight="true" outlineLevel="0" collapsed="false">
      <c r="A7" s="2" t="s">
        <v>86</v>
      </c>
      <c r="B7" s="18" t="s">
        <v>87</v>
      </c>
    </row>
    <row r="8" customFormat="false" ht="31.5" hidden="false" customHeight="true" outlineLevel="0" collapsed="false">
      <c r="A8" s="2" t="s">
        <v>88</v>
      </c>
      <c r="B8" s="18" t="s">
        <v>89</v>
      </c>
    </row>
    <row r="10" customFormat="false" ht="31.5" hidden="false" customHeight="true" outlineLevel="0" collapsed="false">
      <c r="A10" s="2" t="s">
        <v>90</v>
      </c>
      <c r="B10" s="18" t="s">
        <v>91</v>
      </c>
    </row>
    <row r="11" customFormat="false" ht="31.5" hidden="false" customHeight="true" outlineLevel="0" collapsed="false">
      <c r="A11" s="2" t="s">
        <v>92</v>
      </c>
      <c r="B11" s="18" t="s">
        <v>93</v>
      </c>
    </row>
    <row r="13" customFormat="false" ht="31.5" hidden="false" customHeight="true" outlineLevel="0" collapsed="false">
      <c r="A13" s="2" t="s">
        <v>94</v>
      </c>
      <c r="B13" s="18" t="s">
        <v>95</v>
      </c>
    </row>
    <row r="14" customFormat="false" ht="31.5" hidden="false" customHeight="true" outlineLevel="0" collapsed="false">
      <c r="A14" s="2" t="s">
        <v>96</v>
      </c>
      <c r="B14" s="18" t="s">
        <v>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2026-09-05T22:33:09Z</dcterms:created>
  <dc:creator>OpenAI</dc:creator>
  <dc:description/>
  <dc:language>en-US</dc:language>
  <cp:lastModifiedBy/>
  <dcterms:modified xsi:type="dcterms:W3CDTF">2026-09-05T22:33:09Z</dcterms:modified>
  <cp:revision>0</cp:revision>
  <dc:subject>USPS Notice 123 retail rates and reusable quotation calculator</dc:subject>
  <dc:title>Parcel-rate and quotation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