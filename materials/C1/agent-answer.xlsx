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iew Summary" sheetId="1" state="visible" r:id="rId2"/>
    <sheet name="Cost Breakdown" sheetId="2" state="visible" r:id="rId3"/>
    <sheet name="Review Inputs" sheetId="3" state="visible" r:id="rId4"/>
    <sheet name="Working Calculation" sheetId="4" state="visible" r:id="rId5"/>
    <sheet name="Reconciliation" sheetId="5" state="visible" r:id="rId6"/>
    <sheet name="Source References" sheetId="6" state="visible" r:id="rId7"/>
  </sheets>
  <definedNames>
    <definedName function="false" hidden="false" localSheetId="1" name="_xlnm.Print_Area" vbProcedure="false">'Cost Breakdown'!$A$1:$J$23</definedName>
    <definedName function="false" hidden="true" localSheetId="1" name="_xlnm._FilterDatabase" vbProcedure="false">'Cost Breakdown'!$A$6:$J$21</definedName>
    <definedName function="false" hidden="false" localSheetId="4" name="_xlnm.Print_Area" vbProcedure="false">Reconciliation!$A$1:$F$18</definedName>
    <definedName function="false" hidden="false" localSheetId="2" name="_xlnm.Print_Area" vbProcedure="false">'Review Inputs'!$A$1:$I$32</definedName>
    <definedName function="false" hidden="true" localSheetId="2" name="_xlnm._FilterDatabase" vbProcedure="false">'Review Inputs'!$A$6:$I$12</definedName>
    <definedName function="false" hidden="false" localSheetId="0" name="_xlnm.Print_Area" vbProcedure="false">'Review Summary'!$A$1:$H$31</definedName>
    <definedName function="false" hidden="false" localSheetId="5" name="_xlnm.Print_Area" vbProcedure="false">'Source References'!$A$1:$F$51</definedName>
    <definedName function="false" hidden="false" localSheetId="5" name="_xlnm.Print_Titles" vbProcedure="false">'Source References'!$1:$4</definedName>
    <definedName function="false" hidden="true" localSheetId="5" name="_xlnm._FilterDatabase" vbProcedure="false">'Source References'!$A$4:$F$51</definedName>
    <definedName function="false" hidden="false" localSheetId="3" name="_xlnm.Print_Area" vbProcedure="false">'Working Calculation'!$A$1:$H$23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7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8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0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1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2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3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4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5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6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7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8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19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20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element amount. Source amount remains unchanged in the adjacent column.</t>
        </r>
      </text>
    </comment>
    <comment ref="E21" authorId="0">
      <text>
        <r>
          <rPr>
            <sz val="11"/>
            <color rgb="FF000000"/>
            <rFont val="Calibri"/>
            <family val="2"/>
            <charset val="1"/>
          </rPr>
          <t xml:space="preserve">Calculated from the M&amp;E package inputs and the unallocated source balance on Review Inputs.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8" authorId="0">
      <text>
        <r>
          <rPr>
            <sz val="11"/>
            <color rgb="FF000000"/>
            <rFont val="Calibri"/>
            <family val="2"/>
            <charset val="1"/>
          </rPr>
          <t xml:space="preserve">Editable option price, excluding VAT and subsequent additions.</t>
        </r>
      </text>
    </comment>
    <comment ref="D25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allowance input. Formulas update throughout the workbook.</t>
        </r>
      </text>
    </comment>
    <comment ref="D26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allowance input. Formulas update throughout the workbook.</t>
        </r>
      </text>
    </comment>
    <comment ref="D28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allowance input. Formulas update throughout the workbook.</t>
        </r>
      </text>
    </comment>
    <comment ref="D31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allowance input. Formulas update throughout the workbook.</t>
        </r>
      </text>
    </comment>
    <comment ref="E7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package price. Enter GBP excluding VAT and subsequent additions.</t>
        </r>
      </text>
    </comment>
    <comment ref="E8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package price. Enter GBP excluding VAT and subsequent additions.</t>
        </r>
      </text>
    </commen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package price. Enter GBP excluding VAT and subsequent additions.</t>
        </r>
      </text>
    </comment>
    <comment ref="E10" authorId="0">
      <text>
        <r>
          <rPr>
            <sz val="11"/>
            <color rgb="FF000000"/>
            <rFont val="Calibri"/>
            <family val="2"/>
            <charset val="1"/>
          </rPr>
          <t xml:space="preserve">Editable current package price. Enter GBP excluding VAT and subsequent additions.</t>
        </r>
      </text>
    </comment>
    <comment ref="E18" authorId="0">
      <text>
        <r>
          <rPr>
            <sz val="11"/>
            <color rgb="FF000000"/>
            <rFont val="Calibri"/>
            <family val="2"/>
            <charset val="1"/>
          </rPr>
          <t xml:space="preserve">Choose Pending, Approved or Rejected. Only Approved enters the current cost limit.</t>
        </r>
      </text>
    </comment>
  </commentList>
</comments>
</file>

<file path=xl/sharedStrings.xml><?xml version="1.0" encoding="utf-8"?>
<sst xmlns="http://schemas.openxmlformats.org/spreadsheetml/2006/main" count="684" uniqueCount="428">
  <si>
    <t xml:space="preserve">Revised cost review</t>
  </si>
  <si>
    <t xml:space="preserve">Municipal Building, The Moor, Falmouth | October 2024 Revision A compared with current review position | GBP, VAT excluded</t>
  </si>
  <si>
    <t xml:space="preserve">ORIGINAL PRINTED</t>
  </si>
  <si>
    <t xml:space="preserve">CURRENT REVIEW</t>
  </si>
  <si>
    <t xml:space="preserve">MOVEMENT</t>
  </si>
  <si>
    <t xml:space="preserve">PENDING OPTION (DIRECT)</t>
  </si>
  <si>
    <t xml:space="preserve">Review position</t>
  </si>
  <si>
    <t xml:space="preserve">Item</t>
  </si>
  <si>
    <t xml:space="preserve">Original / source</t>
  </si>
  <si>
    <t xml:space="preserve">Earlier review</t>
  </si>
  <si>
    <t xml:space="preserve">Current review</t>
  </si>
  <si>
    <t xml:space="preserve">Movement</t>
  </si>
  <si>
    <t xml:space="preserve">Position</t>
  </si>
  <si>
    <t xml:space="preserve">Limit treatment</t>
  </si>
  <si>
    <t xml:space="preserve">Source</t>
  </si>
  <si>
    <t xml:space="preserve">Heating and ASHP</t>
  </si>
  <si>
    <t xml:space="preserve">Included</t>
  </si>
  <si>
    <t xml:space="preserve">Replaces source package within M&amp;E</t>
  </si>
  <si>
    <t xml:space="preserve">REV-01</t>
  </si>
  <si>
    <t xml:space="preserve">Ventilation</t>
  </si>
  <si>
    <t xml:space="preserve">-</t>
  </si>
  <si>
    <t xml:space="preserve">Unchanged memorandum sum</t>
  </si>
  <si>
    <t xml:space="preserve">All other elemental works</t>
  </si>
  <si>
    <t xml:space="preserve">Unchanged by default; editable</t>
  </si>
  <si>
    <t xml:space="preserve">Design-development risk</t>
  </si>
  <si>
    <t xml:space="preserve">% of base cost</t>
  </si>
  <si>
    <t xml:space="preserve">REV-02</t>
  </si>
  <si>
    <t xml:space="preserve">Asbestos removal</t>
  </si>
  <si>
    <t xml:space="preserve">Excluded</t>
  </si>
  <si>
    <t xml:space="preserve">Outside current limit unless Approved</t>
  </si>
  <si>
    <t xml:space="preserve">REV-03</t>
  </si>
  <si>
    <t xml:space="preserve">Decision view</t>
  </si>
  <si>
    <t xml:space="preserve">Current review cost limit</t>
  </si>
  <si>
    <t xml:space="preserve">Original full-precision recalculation</t>
  </si>
  <si>
    <t xml:space="preserve">Price date</t>
  </si>
  <si>
    <t xml:space="preserve">4Q24; inflation to 1Q25</t>
  </si>
  <si>
    <t xml:space="preserve">Gross impact if all pending options approved</t>
  </si>
  <si>
    <t xml:space="preserve">Current full-precision calculation</t>
  </si>
  <si>
    <t xml:space="preserve">VAT</t>
  </si>
  <si>
    <t xml:space="preserve">Indicative cost limit including pending options</t>
  </si>
  <si>
    <t xml:space="preserve">Reconciliation check</t>
  </si>
  <si>
    <t xml:space="preserve">Estimate status</t>
  </si>
  <si>
    <t xml:space="preserve">Guide of probable current cost</t>
  </si>
  <si>
    <t xml:space="preserve">Use and limitations</t>
  </si>
  <si>
    <t xml:space="preserve">• Edit yellow cells on Review Inputs and Cost Breakdown during the meeting; linked totals and reconciliation update automatically.</t>
  </si>
  <si>
    <t xml:space="preserve">• The current limit includes the £458,000 heating/ASHP package and 12% design-development risk. The £18,000 asbestos option is Pending and excluded.</t>
  </si>
  <si>
    <t xml:space="preserve">• Provisional sums are memorandum detail already included within elemental costs. The £3,000 M&amp;E balance is held without assigning it to an unsupported category.</t>
  </si>
  <si>
    <t xml:space="preserve">• The estimate remains subject to all Revision A notes, qualifications and exclusions. Source values are traceable on Source References.</t>
  </si>
  <si>
    <t xml:space="preserve">Elemental cost breakdown</t>
  </si>
  <si>
    <t xml:space="preserve">Original printed elemental analysis alongside the current review position. Current M&amp;E is linked to package inputs.</t>
  </si>
  <si>
    <t xml:space="preserve">RTP scope of works</t>
  </si>
  <si>
    <t xml:space="preserve">Ref</t>
  </si>
  <si>
    <t xml:space="preserve">Element</t>
  </si>
  <si>
    <t xml:space="preserve">Original %</t>
  </si>
  <si>
    <t xml:space="preserve">Original amount</t>
  </si>
  <si>
    <t xml:space="preserve">Current amount</t>
  </si>
  <si>
    <t xml:space="preserve">Current %</t>
  </si>
  <si>
    <t xml:space="preserve">Review note</t>
  </si>
  <si>
    <t xml:space="preserve">EL-01</t>
  </si>
  <si>
    <t xml:space="preserve">Grade 2 Listing</t>
  </si>
  <si>
    <t xml:space="preserve">Unpriced</t>
  </si>
  <si>
    <t xml:space="preserve">SRC-04</t>
  </si>
  <si>
    <t xml:space="preserve">Source dash retained.</t>
  </si>
  <si>
    <t xml:space="preserve">EL-02</t>
  </si>
  <si>
    <t xml:space="preserve">Pitched Roof</t>
  </si>
  <si>
    <t xml:space="preserve">Included - unchanged</t>
  </si>
  <si>
    <t xml:space="preserve">Current defaults to source amount.</t>
  </si>
  <si>
    <t xml:space="preserve">EL-03</t>
  </si>
  <si>
    <t xml:space="preserve">Central Lantern Feature</t>
  </si>
  <si>
    <t xml:space="preserve">EL-04</t>
  </si>
  <si>
    <t xml:space="preserve">Rear Roof (refer to Pitched Roof for costs)</t>
  </si>
  <si>
    <t xml:space="preserve">Source cross-reference retained.</t>
  </si>
  <si>
    <t xml:space="preserve">EL-05</t>
  </si>
  <si>
    <t xml:space="preserve">Valley and Parapet Gutters</t>
  </si>
  <si>
    <t xml:space="preserve">EL-06</t>
  </si>
  <si>
    <t xml:space="preserve">Parapet Walls</t>
  </si>
  <si>
    <t xml:space="preserve">EL-07</t>
  </si>
  <si>
    <t xml:space="preserve">Rainwater Goods</t>
  </si>
  <si>
    <t xml:space="preserve">EL-08</t>
  </si>
  <si>
    <t xml:space="preserve">Masonry</t>
  </si>
  <si>
    <t xml:space="preserve">EL-09</t>
  </si>
  <si>
    <t xml:space="preserve">Rendered Masonry</t>
  </si>
  <si>
    <t xml:space="preserve">EL-10</t>
  </si>
  <si>
    <t xml:space="preserve">Windows</t>
  </si>
  <si>
    <t xml:space="preserve">EL-11</t>
  </si>
  <si>
    <t xml:space="preserve">Rooflights</t>
  </si>
  <si>
    <t xml:space="preserve">Spelling normalised; amount unchanged.</t>
  </si>
  <si>
    <t xml:space="preserve">EL-12</t>
  </si>
  <si>
    <t xml:space="preserve">Lantern Light and Skylight</t>
  </si>
  <si>
    <t xml:space="preserve">EL-13</t>
  </si>
  <si>
    <t xml:space="preserve">Doors</t>
  </si>
  <si>
    <t xml:space="preserve">EL-14</t>
  </si>
  <si>
    <t xml:space="preserve">Walls</t>
  </si>
  <si>
    <t xml:space="preserve">EL-15</t>
  </si>
  <si>
    <t xml:space="preserve">Mechanical and Electrical Services</t>
  </si>
  <si>
    <t xml:space="preserve">Included - revised</t>
  </si>
  <si>
    <t xml:space="preserve">SRC-03 / SRC-04 / REV-01</t>
  </si>
  <si>
    <t xml:space="preserve">Source element plus net movement in listed M&amp;E package inputs; residual balance held unchanged.</t>
  </si>
  <si>
    <t xml:space="preserve">TOTAL</t>
  </si>
  <si>
    <t xml:space="preserve">RTP Scope of Works - Total</t>
  </si>
  <si>
    <t xml:space="preserve">Current elemental total</t>
  </si>
  <si>
    <t xml:space="preserve">Original amount is the printed total; current total excludes unapproved options.</t>
  </si>
  <si>
    <t xml:space="preserve">Check: sum of original lines less printed total</t>
  </si>
  <si>
    <t xml:space="preserve">Expected £0.</t>
  </si>
  <si>
    <t xml:space="preserve">Review inputs</t>
  </si>
  <si>
    <t xml:space="preserve">Yellow cells are meeting inputs. Current defaults follow the review correspondence dated in the supplied benchmark.</t>
  </si>
  <si>
    <t xml:space="preserve">Included M&amp;E package pricing</t>
  </si>
  <si>
    <t xml:space="preserve">Package / memorandum item</t>
  </si>
  <si>
    <t xml:space="preserve">Source amount</t>
  </si>
  <si>
    <t xml:space="preserve">Current input</t>
  </si>
  <si>
    <t xml:space="preserve">Treatment / qualification</t>
  </si>
  <si>
    <t xml:space="preserve">PKG-01</t>
  </si>
  <si>
    <t xml:space="preserve">Electrical power and lighting</t>
  </si>
  <si>
    <t xml:space="preserve">SRC-03</t>
  </si>
  <si>
    <t xml:space="preserve">Memorandum provisional sum within M&amp;E; unchanged in review.</t>
  </si>
  <si>
    <t xml:space="preserve">PKG-02</t>
  </si>
  <si>
    <t xml:space="preserve">Water services</t>
  </si>
  <si>
    <t xml:space="preserve">PKG-03</t>
  </si>
  <si>
    <t xml:space="preserve">Heating and air-source heat pump</t>
  </si>
  <si>
    <t xml:space="preserve">SRC-03 / REV-01</t>
  </si>
  <si>
    <t xml:space="preserve">£472,000 earlier review is superseded. Current package replaces £432,000 source allowance.</t>
  </si>
  <si>
    <t xml:space="preserve">PKG-04</t>
  </si>
  <si>
    <t xml:space="preserve">Memorandum provisional sum within M&amp;E; correspondence says unchanged.</t>
  </si>
  <si>
    <t xml:space="preserve">PKG-SUB</t>
  </si>
  <si>
    <t xml:space="preserve">Listed M&amp;E memorandum items subtotal</t>
  </si>
  <si>
    <t xml:space="preserve">Subtotal only; these amounts are already included in the elemental M&amp;E total.</t>
  </si>
  <si>
    <t xml:space="preserve">PKG-BAL</t>
  </si>
  <si>
    <t xml:space="preserve">M&amp;E elemental balance not allocated by source</t>
  </si>
  <si>
    <t xml:space="preserve">Included - held</t>
  </si>
  <si>
    <t xml:space="preserve">SRC-03 / SRC-04</t>
  </si>
  <si>
    <t xml:space="preserve">Difference between the £619,250 element and listed M&amp;E memorandum sums. No allocation is assumed.</t>
  </si>
  <si>
    <t xml:space="preserve">Options awaiting decision</t>
  </si>
  <si>
    <t xml:space="preserve">Option</t>
  </si>
  <si>
    <t xml:space="preserve">Original treatment</t>
  </si>
  <si>
    <t xml:space="preserve">Current price</t>
  </si>
  <si>
    <t xml:space="preserve">Decision</t>
  </si>
  <si>
    <t xml:space="preserve">Included now</t>
  </si>
  <si>
    <t xml:space="preserve">Pending amount</t>
  </si>
  <si>
    <t xml:space="preserve">Gross limit impact</t>
  </si>
  <si>
    <t xml:space="preserve">Source / treatment</t>
  </si>
  <si>
    <t xml:space="preserve">OPT-01</t>
  </si>
  <si>
    <t xml:space="preserve">Pending</t>
  </si>
  <si>
    <t xml:space="preserve">SRC-02 / REV-03: outside current limit until approved; price excludes subsequent additions and VAT.</t>
  </si>
  <si>
    <t xml:space="preserve">Allowances and additions</t>
  </si>
  <si>
    <t xml:space="preserve">Allowance / addition</t>
  </si>
  <si>
    <t xml:space="preserve">Source basis</t>
  </si>
  <si>
    <t xml:space="preserve">Working basis</t>
  </si>
  <si>
    <t xml:space="preserve">Qualification</t>
  </si>
  <si>
    <t xml:space="preserve">ALL-01</t>
  </si>
  <si>
    <t xml:space="preserve">Main contractor preliminaries</t>
  </si>
  <si>
    <t xml:space="preserve">Fixed amount</t>
  </si>
  <si>
    <t xml:space="preserve">SRC-01</t>
  </si>
  <si>
    <t xml:space="preserve">Held unchanged unless edited.</t>
  </si>
  <si>
    <t xml:space="preserve">ALL-02</t>
  </si>
  <si>
    <t xml:space="preserve">Main contractor overheads &amp; profit</t>
  </si>
  <si>
    <t xml:space="preserve">% of works plus preliminaries</t>
  </si>
  <si>
    <t xml:space="preserve">Original basis retained.</t>
  </si>
  <si>
    <t xml:space="preserve">ALL-03</t>
  </si>
  <si>
    <t xml:space="preserve">Project consultants fees</t>
  </si>
  <si>
    <t xml:space="preserve">SRC-01 / SRC-02</t>
  </si>
  <si>
    <t xml:space="preserve">No amount included.</t>
  </si>
  <si>
    <t xml:space="preserve">ALL-04</t>
  </si>
  <si>
    <t xml:space="preserve">% of base cost estimate</t>
  </si>
  <si>
    <t xml:space="preserve">SRC-01 / REV-02</t>
  </si>
  <si>
    <t xml:space="preserve">Current rate directed by review correspondence.</t>
  </si>
  <si>
    <t xml:space="preserve">ALL-05</t>
  </si>
  <si>
    <t xml:space="preserve">Construction risks</t>
  </si>
  <si>
    <t xml:space="preserve">Source dash</t>
  </si>
  <si>
    <t xml:space="preserve">Unpriced source dash retained; no amount included.</t>
  </si>
  <si>
    <t xml:space="preserve">ALL-06</t>
  </si>
  <si>
    <t xml:space="preserve">Employer change risks</t>
  </si>
  <si>
    <t xml:space="preserve">ALL-07</t>
  </si>
  <si>
    <t xml:space="preserve">Inflation allowance 4Q24 to 1Q25</t>
  </si>
  <si>
    <t xml:space="preserve">% of cost limit before inflation</t>
  </si>
  <si>
    <t xml:space="preserve">Original rate and basis retained.</t>
  </si>
  <si>
    <t xml:space="preserve">ALL-08</t>
  </si>
  <si>
    <t xml:space="preserve">Cost limit is VAT excluded.</t>
  </si>
  <si>
    <t xml:space="preserve">Working calculation</t>
  </si>
  <si>
    <t xml:space="preserve">Full-precision calculations are retained. GBP columns display whole pounds; the option scenario includes all currently pending options.</t>
  </si>
  <si>
    <t xml:space="preserve">Estimate summary chain</t>
  </si>
  <si>
    <t xml:space="preserve">Cost chain</t>
  </si>
  <si>
    <t xml:space="preserve">Basis</t>
  </si>
  <si>
    <t xml:space="preserve">Original printed</t>
  </si>
  <si>
    <t xml:space="preserve">Original recalculated</t>
  </si>
  <si>
    <t xml:space="preserve">Current + pending options</t>
  </si>
  <si>
    <t xml:space="preserve">Movement vs recalculated</t>
  </si>
  <si>
    <t xml:space="preserve">Elemental building works</t>
  </si>
  <si>
    <t xml:space="preserve">Cost Breakdown</t>
  </si>
  <si>
    <t xml:space="preserve">Approved / pending options</t>
  </si>
  <si>
    <t xml:space="preserve">Decision-controlled</t>
  </si>
  <si>
    <t xml:space="preserve">Building Works</t>
  </si>
  <si>
    <t xml:space="preserve">Elemental works + included options</t>
  </si>
  <si>
    <t xml:space="preserve">Main Contractors Preliminaries</t>
  </si>
  <si>
    <t xml:space="preserve">Cost before overheads &amp; profit</t>
  </si>
  <si>
    <t xml:space="preserve">Building works + preliminaries</t>
  </si>
  <si>
    <t xml:space="preserve">Calculated</t>
  </si>
  <si>
    <t xml:space="preserve">Main Contractors Overheads &amp; Profit</t>
  </si>
  <si>
    <t xml:space="preserve">% of works + preliminaries</t>
  </si>
  <si>
    <t xml:space="preserve">Building Works Estimate</t>
  </si>
  <si>
    <t xml:space="preserve">Cost before OHP + OHP</t>
  </si>
  <si>
    <t xml:space="preserve">Project Consultants Fees</t>
  </si>
  <si>
    <t xml:space="preserve">Base Cost Estimate</t>
  </si>
  <si>
    <t xml:space="preserve">Building works estimate</t>
  </si>
  <si>
    <t xml:space="preserve">Design Development Risks</t>
  </si>
  <si>
    <t xml:space="preserve">Construction Risks</t>
  </si>
  <si>
    <t xml:space="preserve">Source dash retained</t>
  </si>
  <si>
    <t xml:space="preserve">Employer Change Risks</t>
  </si>
  <si>
    <t xml:space="preserve">COST LIMIT (Inflation Excluded)</t>
  </si>
  <si>
    <t xml:space="preserve">Base + design risk</t>
  </si>
  <si>
    <t xml:space="preserve">Inflation Allowance - 4Q24 to 1Q25</t>
  </si>
  <si>
    <t xml:space="preserve">% of pre-inflation limit</t>
  </si>
  <si>
    <t xml:space="preserve">COST LIMIT (VAT Excluded)</t>
  </si>
  <si>
    <t xml:space="preserve">Pre-inflation limit + inflation</t>
  </si>
  <si>
    <t xml:space="preserve">SRC-01 / current review</t>
  </si>
  <si>
    <t xml:space="preserve">Precision note</t>
  </si>
  <si>
    <t xml:space="preserve">The original printed £1,971,278 reconciles to a full-precision recalculation of</t>
  </si>
  <si>
    <t xml:space="preserve">Printed less recalculated</t>
  </si>
  <si>
    <t xml:space="preserve">The source summary rounds displayed components; calculations retain underlying precision.</t>
  </si>
  <si>
    <t xml:space="preserve">Cost-limit reconciliation</t>
  </si>
  <si>
    <t xml:space="preserve">Bridge from the original printed VAT-excluded cost limit to the current review position.</t>
  </si>
  <si>
    <t xml:space="preserve">Movement bridge</t>
  </si>
  <si>
    <t xml:space="preserve">Step</t>
  </si>
  <si>
    <t xml:space="preserve">Movement basis</t>
  </si>
  <si>
    <t xml:space="preserve">Running balance</t>
  </si>
  <si>
    <t xml:space="preserve">Source / formula</t>
  </si>
  <si>
    <t xml:space="preserve">Comment</t>
  </si>
  <si>
    <t xml:space="preserve">Original printed cost limit</t>
  </si>
  <si>
    <t xml:space="preserve">October 2024 Revision A</t>
  </si>
  <si>
    <t xml:space="preserve">Printed source fact.</t>
  </si>
  <si>
    <t xml:space="preserve">Precision adjustment</t>
  </si>
  <si>
    <t xml:space="preserve">Move to full-precision original recalculation</t>
  </si>
  <si>
    <t xml:space="preserve">Working Calculation</t>
  </si>
  <si>
    <t xml:space="preserve">Keeps printed-to-recalculated rounding visible.</t>
  </si>
  <si>
    <t xml:space="preserve">Elemental package movement</t>
  </si>
  <si>
    <t xml:space="preserve">Current elemental total less original</t>
  </si>
  <si>
    <t xml:space="preserve">Includes heating/ASHP movement and any meeting edits to elemental/package inputs.</t>
  </si>
  <si>
    <t xml:space="preserve">Approved options</t>
  </si>
  <si>
    <t xml:space="preserve">Decision-controlled direct works</t>
  </si>
  <si>
    <t xml:space="preserve">Pending options remain £0 here.</t>
  </si>
  <si>
    <t xml:space="preserve">Preliminaries movement</t>
  </si>
  <si>
    <t xml:space="preserve">Current amount less original</t>
  </si>
  <si>
    <t xml:space="preserve">Review Inputs</t>
  </si>
  <si>
    <t xml:space="preserve">Fixed amount by default.</t>
  </si>
  <si>
    <t xml:space="preserve">OHP movement</t>
  </si>
  <si>
    <t xml:space="preserve">Current OHP less recalculated original OHP</t>
  </si>
  <si>
    <t xml:space="preserve">Captures rate, base and option effects.</t>
  </si>
  <si>
    <t xml:space="preserve">Design risk movement</t>
  </si>
  <si>
    <t xml:space="preserve">Current design risk less recalculated original risk</t>
  </si>
  <si>
    <t xml:space="preserve">Current default increases rate from 10% to 12%.</t>
  </si>
  <si>
    <t xml:space="preserve">Inflation movement</t>
  </si>
  <si>
    <t xml:space="preserve">Current inflation less recalculated original inflation</t>
  </si>
  <si>
    <t xml:space="preserve">Original 1% basis retained by default.</t>
  </si>
  <si>
    <t xml:space="preserve">Reconciled current position</t>
  </si>
  <si>
    <t xml:space="preserve">Full precision</t>
  </si>
  <si>
    <t xml:space="preserve">Running balance should equal current working calculation.</t>
  </si>
  <si>
    <t xml:space="preserve">Running balance less current working calculation</t>
  </si>
  <si>
    <t xml:space="preserve">Expected £0.000.</t>
  </si>
  <si>
    <t xml:space="preserve">Current review displayed</t>
  </si>
  <si>
    <t xml:space="preserve">Rounded to whole pounds</t>
  </si>
  <si>
    <t xml:space="preserve">Workbook presentation basis.</t>
  </si>
  <si>
    <t xml:space="preserve">Movement vs original printed</t>
  </si>
  <si>
    <t xml:space="preserve">Displayed current less printed source total</t>
  </si>
  <si>
    <t xml:space="preserve">Headline movement.</t>
  </si>
  <si>
    <t xml:space="preserve">Source references</t>
  </si>
  <si>
    <t xml:space="preserve">Trace register for source amounts, assumptions, exclusions, review directions and workbook treatment.</t>
  </si>
  <si>
    <t xml:space="preserve">ID</t>
  </si>
  <si>
    <t xml:space="preserve">Source file</t>
  </si>
  <si>
    <t xml:space="preserve">Locator</t>
  </si>
  <si>
    <t xml:space="preserve">Category</t>
  </si>
  <si>
    <t xml:space="preserve">Source fact / qualification</t>
  </si>
  <si>
    <t xml:space="preserve">Workbook treatment</t>
  </si>
  <si>
    <t xml:space="preserve">Falmouth_OCE_October2024_RevA.pdf</t>
  </si>
  <si>
    <t xml:space="preserve">PDF p2, Summary</t>
  </si>
  <si>
    <t xml:space="preserve">Printed summary</t>
  </si>
  <si>
    <t xml:space="preserve">Building works £1,430,225; preliminaries £182,800; OHP 10% / £161,303; Building Works Estimate and Base Cost Estimate £1,774,328; design risk 10% / £177,433; inflation-excluded limit £1,951,760; inflation 1% / £19,518; VAT-excluded limit £1,971,278. Consultants fees excluded; construction and employer change risks shown as dashes.</t>
  </si>
  <si>
    <t xml:space="preserve">Printed values retained; separate full-precision recalculation shown.</t>
  </si>
  <si>
    <t xml:space="preserve">SRC-02</t>
  </si>
  <si>
    <t xml:space="preserve">PDF p3, Notes / exclusions</t>
  </si>
  <si>
    <t xml:space="preserve">Basis and exclusions</t>
  </si>
  <si>
    <t xml:space="preserve">Estimate is a guide of probable current cost and should be studied with the Quantity Surveyor. VAT and professional fees are excluded. Asbestos removal is excluded in item r).</t>
  </si>
  <si>
    <t xml:space="preserve">Qualifications retained; asbestos shown as a separate option.</t>
  </si>
  <si>
    <t xml:space="preserve">PDF p4, Basis of Estimate</t>
  </si>
  <si>
    <t xml:space="preserve">M&amp;E source amounts</t>
  </si>
  <si>
    <t xml:space="preserve">Indicative ZLC Energy heating/ASHP pricing £432,000 excluding VAT. Memorandum provisional sums: electrical £85,750; water £43,500; heating £432,000; ventilation £55,000. These sums are included within elemental costs.</t>
  </si>
  <si>
    <t xml:space="preserve">Package movements adjust the £619,250 M&amp;E element by difference; no unsupported allocation is made.</t>
  </si>
  <si>
    <t xml:space="preserve">PDF p5, Elemental Analysis</t>
  </si>
  <si>
    <t xml:space="preserve">Elemental source</t>
  </si>
  <si>
    <t xml:space="preserve">Fifteen printed elemental lines total £1,430,225; Mechanical and Electrical Services is £619,250 (43.30%).</t>
  </si>
  <si>
    <t xml:space="preserve">All printed amounts and percentages are retained on Cost Breakdown.</t>
  </si>
  <si>
    <t xml:space="preserve">review_correspondence.md</t>
  </si>
  <si>
    <t xml:space="preserve">Paragraph 2</t>
  </si>
  <si>
    <t xml:space="preserve">Current package review</t>
  </si>
  <si>
    <t xml:space="preserve">Earlier heating/ASHP review price £472,000 superseded by current £458,000. Ventilation and all other works unchanged.</t>
  </si>
  <si>
    <t xml:space="preserve">Current heating input £458,000; earlier review shown for context only.</t>
  </si>
  <si>
    <t xml:space="preserve">Paragraph 3</t>
  </si>
  <si>
    <t xml:space="preserve">Current risk review</t>
  </si>
  <si>
    <t xml:space="preserve">Use 12% design-development risk. Other allowance rates and bases remain as original.</t>
  </si>
  <si>
    <t xml:space="preserve">Current design risk input 12%; other defaults retained.</t>
  </si>
  <si>
    <t xml:space="preserve">Paragraphs 4-5</t>
  </si>
  <si>
    <t xml:space="preserve">Option / price basis</t>
  </si>
  <si>
    <t xml:space="preserve">Asbestos-removal option £18,000 awaits decision and is not approved for current limit. Package/option prices are at original price date and exclude VAT and subsequent fee or allowance additions.</t>
  </si>
  <si>
    <t xml:space="preserve">Pending by default; approval control adds price before OHP, risk and inflation.</t>
  </si>
  <si>
    <t xml:space="preserve">BRF-01</t>
  </si>
  <si>
    <t xml:space="preserve">review_brief.md</t>
  </si>
  <si>
    <t xml:space="preserve">All paragraphs</t>
  </si>
  <si>
    <t xml:space="preserve">Workpaper convention</t>
  </si>
  <si>
    <t xml:space="preserve">Preserve source facts, dashes, exclusions and memorandum treatment; retain precision and show rounding; keep pending options outside current limit; maintain estimate limitations.</t>
  </si>
  <si>
    <t xml:space="preserve">Applied across workbook.</t>
  </si>
  <si>
    <t xml:space="preserve">BAS-01</t>
  </si>
  <si>
    <t xml:space="preserve">PDF p3</t>
  </si>
  <si>
    <t xml:space="preserve">Design information</t>
  </si>
  <si>
    <t xml:space="preserve">Based purely on pre-planning drawings from RTP Chartered Building Surveyors; no input from another designer for this project type.</t>
  </si>
  <si>
    <t xml:space="preserve">Retained as qualification.</t>
  </si>
  <si>
    <t xml:space="preserve">BAS-02</t>
  </si>
  <si>
    <t xml:space="preserve">Procurement / phasing</t>
  </si>
  <si>
    <t xml:space="preserve">Works assumed in a single phase by a local medium-sized bona-fide contractor proficient in this project type.</t>
  </si>
  <si>
    <t xml:space="preserve">BAS-03</t>
  </si>
  <si>
    <t xml:space="preserve">Programme</t>
  </si>
  <si>
    <t xml:space="preserve">Contract duration assumed not to exceed 45 weeks.</t>
  </si>
  <si>
    <t xml:space="preserve">BAS-04</t>
  </si>
  <si>
    <t xml:space="preserve">Price basis</t>
  </si>
  <si>
    <t xml:space="preserve">Present rates are 4Q24 with inflation allowance to 1Q25. BCIS indices were considered unrepresentative of Cornwall cost increases.</t>
  </si>
  <si>
    <t xml:space="preserve">1% source inflation allowance retained by default.</t>
  </si>
  <si>
    <t xml:space="preserve">BAS-05</t>
  </si>
  <si>
    <t xml:space="preserve">Provisional sums</t>
  </si>
  <si>
    <t xml:space="preserve">Provisional sums are included for several items and listed in the Basis of Estimate.</t>
  </si>
  <si>
    <t xml:space="preserve">Shown as memorandum detail; not double counted.</t>
  </si>
  <si>
    <t xml:space="preserve">PS-01</t>
  </si>
  <si>
    <t xml:space="preserve">PDF p4</t>
  </si>
  <si>
    <t xml:space="preserve">Provisional sum</t>
  </si>
  <si>
    <t xml:space="preserve">Structural appraisal of existing timbers £2,000.</t>
  </si>
  <si>
    <t xml:space="preserve">Memorandum only; included in elemental costs.</t>
  </si>
  <si>
    <t xml:space="preserve">PS-02</t>
  </si>
  <si>
    <t xml:space="preserve">Improve ventilation to opening vents on central lantern £1,000.</t>
  </si>
  <si>
    <t xml:space="preserve">PS-03</t>
  </si>
  <si>
    <t xml:space="preserve">General repairs to central lantern £2,000.</t>
  </si>
  <si>
    <t xml:space="preserve">PS-04</t>
  </si>
  <si>
    <t xml:space="preserve">Venturi System £10,000.</t>
  </si>
  <si>
    <t xml:space="preserve">PS-05</t>
  </si>
  <si>
    <t xml:space="preserve">Bird deterrent measures £25,000.</t>
  </si>
  <si>
    <t xml:space="preserve">PS-06</t>
  </si>
  <si>
    <t xml:space="preserve">Repairs to external cills £1,500.</t>
  </si>
  <si>
    <t xml:space="preserve">PS-07</t>
  </si>
  <si>
    <t xml:space="preserve">External doors (pair of), 3 nr, £15,000.</t>
  </si>
  <si>
    <t xml:space="preserve">PS-08</t>
  </si>
  <si>
    <t xml:space="preserve">External area for heating plant £2,500.</t>
  </si>
  <si>
    <t xml:space="preserve">PS-09</t>
  </si>
  <si>
    <t xml:space="preserve">Electrical power and lighting £85,750.</t>
  </si>
  <si>
    <t xml:space="preserve">Editable package input; included within M&amp;E element.</t>
  </si>
  <si>
    <t xml:space="preserve">PS-10</t>
  </si>
  <si>
    <t xml:space="preserve">Water services £43,500.</t>
  </si>
  <si>
    <t xml:space="preserve">PS-11</t>
  </si>
  <si>
    <t xml:space="preserve">Heating £432,000.</t>
  </si>
  <si>
    <t xml:space="preserve">Replaced by current £458,000 review input.</t>
  </si>
  <si>
    <t xml:space="preserve">PS-12</t>
  </si>
  <si>
    <t xml:space="preserve">Ventilation £55,000.</t>
  </si>
  <si>
    <t xml:space="preserve">Editable package input; held unchanged by default.</t>
  </si>
  <si>
    <t xml:space="preserve">PS-13</t>
  </si>
  <si>
    <t xml:space="preserve">M&amp;E exclusions</t>
  </si>
  <si>
    <t xml:space="preserve">Above-ground drainage, fire safety, security/access control, AWC call alarms, lightning protection and lift works are all excluded.</t>
  </si>
  <si>
    <t xml:space="preserve">PS-14</t>
  </si>
  <si>
    <t xml:space="preserve">Scaffolding (enclosed) £160,000.</t>
  </si>
  <si>
    <t xml:space="preserve">EX-a</t>
  </si>
  <si>
    <t xml:space="preserve">PDF p3, exclusion a</t>
  </si>
  <si>
    <t xml:space="preserve">Exclusion</t>
  </si>
  <si>
    <t xml:space="preserve">Objets d'art and all other art/decorative installations.</t>
  </si>
  <si>
    <t xml:space="preserve">EX-b</t>
  </si>
  <si>
    <t xml:space="preserve">PDF p3, exclusion b</t>
  </si>
  <si>
    <t xml:space="preserve">Additional fit-out items beyond those listed, including specialist joinery.</t>
  </si>
  <si>
    <t xml:space="preserve">EX-c</t>
  </si>
  <si>
    <t xml:space="preserve">PDF p3, exclusion c</t>
  </si>
  <si>
    <t xml:space="preserve">CCTV and smart systems.</t>
  </si>
  <si>
    <t xml:space="preserve">EX-d</t>
  </si>
  <si>
    <t xml:space="preserve">PDF p3, exclusion d</t>
  </si>
  <si>
    <t xml:space="preserve">Specialist lighting installations and fittings beyond standard.</t>
  </si>
  <si>
    <t xml:space="preserve">EX-e</t>
  </si>
  <si>
    <t xml:space="preserve">PDF p3, exclusion e</t>
  </si>
  <si>
    <t xml:space="preserve">Soil investigation/contamination reports and resulting requirements other than noted.</t>
  </si>
  <si>
    <t xml:space="preserve">EX-f</t>
  </si>
  <si>
    <t xml:space="preserve">PDF p3, exclusion f</t>
  </si>
  <si>
    <t xml:space="preserve">Decanting of building/rooms and re-installation.</t>
  </si>
  <si>
    <t xml:space="preserve">EX-g</t>
  </si>
  <si>
    <t xml:space="preserve">PDF p3, exclusion g</t>
  </si>
  <si>
    <t xml:space="preserve">M&amp;E consultant or structural engineer design/specification/reports; no design concluded.</t>
  </si>
  <si>
    <t xml:space="preserve">EX-h</t>
  </si>
  <si>
    <t xml:space="preserve">PDF p3, exclusion h</t>
  </si>
  <si>
    <t xml:space="preserve">Works/costs from onerous planning conditions, particularly material specification.</t>
  </si>
  <si>
    <t xml:space="preserve">EX-i</t>
  </si>
  <si>
    <t xml:space="preserve">PDF p3, exclusion i</t>
  </si>
  <si>
    <t xml:space="preserve">Professional fees including Architect, Structural Engineer and Quantity Surveyor.</t>
  </si>
  <si>
    <t xml:space="preserve">EX-j</t>
  </si>
  <si>
    <t xml:space="preserve">PDF p3, exclusion j</t>
  </si>
  <si>
    <t xml:space="preserve">Ecologist fees.</t>
  </si>
  <si>
    <t xml:space="preserve">EX-k</t>
  </si>
  <si>
    <t xml:space="preserve">PDF p3, exclusion k</t>
  </si>
  <si>
    <t xml:space="preserve">Cornwall Council planning/building regulations application/inspection fees.</t>
  </si>
  <si>
    <t xml:space="preserve">EX-l</t>
  </si>
  <si>
    <t xml:space="preserve">PDF p3, exclusion l</t>
  </si>
  <si>
    <t xml:space="preserve">Legal fees.</t>
  </si>
  <si>
    <t xml:space="preserve">EX-m</t>
  </si>
  <si>
    <t xml:space="preserve">PDF p3, exclusion m</t>
  </si>
  <si>
    <t xml:space="preserve">Interest and other financing costs.</t>
  </si>
  <si>
    <t xml:space="preserve">EX-n</t>
  </si>
  <si>
    <t xml:space="preserve">PDF p3, exclusion n</t>
  </si>
  <si>
    <t xml:space="preserve">Increased costs from foreign trade tariffs surrounding the UK's withdrawal from the EU.</t>
  </si>
  <si>
    <t xml:space="preserve">EX-o</t>
  </si>
  <si>
    <t xml:space="preserve">PDF p3, exclusion o</t>
  </si>
  <si>
    <t xml:space="preserve">Increased costs arising from conflicts in Ukraine and the Middle East and impacts on procurement and labour.</t>
  </si>
  <si>
    <t xml:space="preserve">EX-p</t>
  </si>
  <si>
    <t xml:space="preserve">PDF p3, exclusion p</t>
  </si>
  <si>
    <t xml:space="preserve">Value Added Tax where applicable.</t>
  </si>
  <si>
    <t xml:space="preserve">EX-q</t>
  </si>
  <si>
    <t xml:space="preserve">PDF p3, exclusion q</t>
  </si>
  <si>
    <t xml:space="preserve">Works in relation to dry rot treatment.</t>
  </si>
  <si>
    <t xml:space="preserve">EX-r</t>
  </si>
  <si>
    <t xml:space="preserve">PDF p3, exclusion r</t>
  </si>
  <si>
    <t xml:space="preserve">Asbestos removal.</t>
  </si>
  <si>
    <t xml:space="preserve">Separate pending option per REV-03.</t>
  </si>
  <si>
    <t xml:space="preserve">DOC-01</t>
  </si>
  <si>
    <t xml:space="preserve">PDF p4, Drawings &amp; Documents</t>
  </si>
  <si>
    <t xml:space="preserve">Design documents</t>
  </si>
  <si>
    <t xml:space="preserve">RTP drawings P240045-200; P240045-201 Rev A; P240045-202 Rev A; P240045-203 Rev A; Scope of Works for 2024 Renovation and Thermal Upgrade Works.</t>
  </si>
  <si>
    <t xml:space="preserve">Source design basis only.</t>
  </si>
  <si>
    <t xml:space="preserve">QTE-01</t>
  </si>
  <si>
    <t xml:space="preserve">PDF p4, Quotations received</t>
  </si>
  <si>
    <t xml:space="preserve">Market evidence</t>
  </si>
  <si>
    <t xml:space="preserve">References quotations from SSQ Riverstone, Alutec, RM Developments, Storm, Charlestown Joinery and Roofmaker (dates stated in source).</t>
  </si>
  <si>
    <t xml:space="preserve">No independent re-pricing performed.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</si>
</sst>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;[RED]&quot;(£&quot;#,##0\);\-"/>
    <numFmt numFmtId="166" formatCode="0.00%"/>
    <numFmt numFmtId="167" formatCode="\£#,##0.000;[RED]&quot;(£&quot;#,##0.000\);\-"/>
    <numFmt numFmtId="168" formatCode="\£#,##0.000;[RED]&quot;(£&quot;#,##0.000\);\£0.000"/>
    <numFmt numFmtId="169" formatCode="\£#,##0;[RED]&quot;(£&quot;#,##0\);\£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 Display"/>
      <family val="0"/>
      <charset val="1"/>
    </font>
    <font>
      <i val="true"/>
      <sz val="10"/>
      <color rgb="FF3F4A54"/>
      <name val="Aptos"/>
      <family val="0"/>
      <charset val="1"/>
    </font>
    <font>
      <b val="true"/>
      <sz val="9"/>
      <color rgb="FFFFFFFF"/>
      <name val="Aptos"/>
      <family val="0"/>
      <charset val="1"/>
    </font>
    <font>
      <b val="true"/>
      <sz val="18"/>
      <color rgb="FF17324D"/>
      <name val="Aptos Display"/>
      <family val="0"/>
      <charset val="1"/>
    </font>
    <font>
      <b val="true"/>
      <sz val="11"/>
      <color rgb="FFFFFFFF"/>
      <name val="Aptos"/>
      <family val="0"/>
      <charset val="1"/>
    </font>
    <font>
      <sz val="9"/>
      <color rgb="FF3F4A54"/>
      <name val="Aptos"/>
      <family val="0"/>
      <charset val="1"/>
    </font>
    <font>
      <b val="true"/>
      <sz val="9"/>
      <color rgb="FF3F4A54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sz val="9"/>
      <color rgb="FF1F4E78"/>
      <name val="Aptos"/>
      <family val="0"/>
      <charset val="1"/>
    </font>
    <font>
      <b val="true"/>
      <sz val="9"/>
      <color rgb="FF17324D"/>
      <name val="Aptos"/>
      <family val="0"/>
      <charset val="1"/>
    </font>
    <font>
      <sz val="12"/>
      <color rgb="FF0000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7324D"/>
        <bgColor rgb="FF1F4E78"/>
      </patternFill>
    </fill>
    <fill>
      <patternFill patternType="solid">
        <fgColor rgb="FFDCEAF4"/>
        <bgColor rgb="FFDDEFEA"/>
      </patternFill>
    </fill>
    <fill>
      <patternFill patternType="solid">
        <fgColor rgb="FFDDEFEA"/>
        <bgColor rgb="FFDCEAF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F6690"/>
        <bgColor rgb="FF1F4E78"/>
      </patternFill>
    </fill>
    <fill>
      <patternFill patternType="solid">
        <fgColor rgb="FFE7EAED"/>
        <bgColor rgb="FFDCEAF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0D6"/>
      </left>
      <right style="thin">
        <color rgb="FFC9D0D6"/>
      </right>
      <top style="thin">
        <color rgb="FFC9D0D6"/>
      </top>
      <bottom style="thin">
        <color rgb="FFC9D0D6"/>
      </bottom>
      <diagonal/>
    </border>
    <border diagonalUp="false" diagonalDown="false">
      <left/>
      <right/>
      <top/>
      <bottom style="medium">
        <color rgb="FF17324D"/>
      </bottom>
      <diagonal/>
    </border>
    <border diagonalUp="false" diagonalDown="false">
      <left/>
      <right/>
      <top/>
      <bottom style="thin">
        <color rgb="FFC9D0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8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3" fillId="4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ill>
        <patternFill>
          <bgColor rgb="FFFCE4D6"/>
        </patternFill>
      </fill>
    </dxf>
    <dxf>
      <fill>
        <patternFill patternType="solid">
          <fgColor rgb="FF17324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F4A54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CEAF4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1F4E78"/>
        </patternFill>
      </fill>
    </dxf>
    <dxf>
      <fill>
        <patternFill patternType="solid">
          <fgColor rgb="FFE7EA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DDEFEA"/>
      <rgbColor rgb="FF660066"/>
      <rgbColor rgb="FFFF8080"/>
      <rgbColor rgb="FF2F6690"/>
      <rgbColor rgb="FFC9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4"/>
      <rgbColor rgb="FFE7EAED"/>
      <rgbColor rgb="FFFCE4D6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8064A2"/>
      <rgbColor rgb="FFA5A5A5"/>
      <rgbColor rgb="FF17324D"/>
      <rgbColor rgb="FF70AD47"/>
      <rgbColor rgb="FF003300"/>
      <rgbColor rgb="FF333300"/>
      <rgbColor rgb="FF993300"/>
      <rgbColor rgb="FF993366"/>
      <rgbColor rgb="FF1F4E78"/>
      <rgbColor rgb="FF3F4A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../../app/input/Falmouth_OCE_October2024_RevA.pdf" TargetMode="External"/><Relationship Id="rId2" Type="http://schemas.openxmlformats.org/officeDocument/2006/relationships/hyperlink" Target="../../app/input/Falmouth_OCE_October2024_RevA.pdf" TargetMode="External"/><Relationship Id="rId3" Type="http://schemas.openxmlformats.org/officeDocument/2006/relationships/hyperlink" Target="../../app/input/Falmouth_OCE_October2024_RevA.pdf" TargetMode="External"/><Relationship Id="rId4" Type="http://schemas.openxmlformats.org/officeDocument/2006/relationships/hyperlink" Target="../../app/input/Falmouth_OCE_October2024_RevA.pdf" TargetMode="External"/><Relationship Id="rId5" Type="http://schemas.openxmlformats.org/officeDocument/2006/relationships/hyperlink" Target="../../app/input/review_correspondence.md" TargetMode="External"/><Relationship Id="rId6" Type="http://schemas.openxmlformats.org/officeDocument/2006/relationships/hyperlink" Target="../../app/input/review_correspondence.md" TargetMode="External"/><Relationship Id="rId7" Type="http://schemas.openxmlformats.org/officeDocument/2006/relationships/hyperlink" Target="../../app/input/review_correspondence.md" TargetMode="External"/><Relationship Id="rId8" Type="http://schemas.openxmlformats.org/officeDocument/2006/relationships/hyperlink" Target="../../app/input/review_brief.md" TargetMode="External"/><Relationship Id="rId9" Type="http://schemas.openxmlformats.org/officeDocument/2006/relationships/hyperlink" Target="../../app/input/Falmouth_OCE_October2024_RevA.pdf" TargetMode="External"/><Relationship Id="rId10" Type="http://schemas.openxmlformats.org/officeDocument/2006/relationships/hyperlink" Target="../../app/input/Falmouth_OCE_October2024_RevA.pdf" TargetMode="External"/><Relationship Id="rId11" Type="http://schemas.openxmlformats.org/officeDocument/2006/relationships/hyperlink" Target="../../app/input/Falmouth_OCE_October2024_RevA.pdf" TargetMode="External"/><Relationship Id="rId12" Type="http://schemas.openxmlformats.org/officeDocument/2006/relationships/hyperlink" Target="../../app/input/Falmouth_OCE_October2024_RevA.pdf" TargetMode="External"/><Relationship Id="rId13" Type="http://schemas.openxmlformats.org/officeDocument/2006/relationships/hyperlink" Target="../../app/input/Falmouth_OCE_October2024_RevA.pdf" TargetMode="External"/><Relationship Id="rId14" Type="http://schemas.openxmlformats.org/officeDocument/2006/relationships/hyperlink" Target="../../app/input/Falmouth_OCE_October2024_RevA.pdf" TargetMode="External"/><Relationship Id="rId15" Type="http://schemas.openxmlformats.org/officeDocument/2006/relationships/hyperlink" Target="../../app/input/Falmouth_OCE_October2024_RevA.pdf" TargetMode="External"/><Relationship Id="rId16" Type="http://schemas.openxmlformats.org/officeDocument/2006/relationships/hyperlink" Target="../../app/input/Falmouth_OCE_October2024_RevA.pdf" TargetMode="External"/><Relationship Id="rId17" Type="http://schemas.openxmlformats.org/officeDocument/2006/relationships/hyperlink" Target="../../app/input/Falmouth_OCE_October2024_RevA.pdf" TargetMode="External"/><Relationship Id="rId18" Type="http://schemas.openxmlformats.org/officeDocument/2006/relationships/hyperlink" Target="../../app/input/Falmouth_OCE_October2024_RevA.pdf" TargetMode="External"/><Relationship Id="rId19" Type="http://schemas.openxmlformats.org/officeDocument/2006/relationships/hyperlink" Target="../../app/input/Falmouth_OCE_October2024_RevA.pdf" TargetMode="External"/><Relationship Id="rId20" Type="http://schemas.openxmlformats.org/officeDocument/2006/relationships/hyperlink" Target="../../app/input/Falmouth_OCE_October2024_RevA.pdf" TargetMode="External"/><Relationship Id="rId21" Type="http://schemas.openxmlformats.org/officeDocument/2006/relationships/hyperlink" Target="../../app/input/Falmouth_OCE_October2024_RevA.pdf" TargetMode="External"/><Relationship Id="rId22" Type="http://schemas.openxmlformats.org/officeDocument/2006/relationships/hyperlink" Target="../../app/input/Falmouth_OCE_October2024_RevA.pdf" TargetMode="External"/><Relationship Id="rId23" Type="http://schemas.openxmlformats.org/officeDocument/2006/relationships/hyperlink" Target="../../app/input/Falmouth_OCE_October2024_RevA.pdf" TargetMode="External"/><Relationship Id="rId24" Type="http://schemas.openxmlformats.org/officeDocument/2006/relationships/hyperlink" Target="../../app/input/Falmouth_OCE_October2024_RevA.pdf" TargetMode="External"/><Relationship Id="rId25" Type="http://schemas.openxmlformats.org/officeDocument/2006/relationships/hyperlink" Target="../../app/input/Falmouth_OCE_October2024_RevA.pdf" TargetMode="External"/><Relationship Id="rId26" Type="http://schemas.openxmlformats.org/officeDocument/2006/relationships/hyperlink" Target="../../app/input/Falmouth_OCE_October2024_RevA.pdf" TargetMode="External"/><Relationship Id="rId27" Type="http://schemas.openxmlformats.org/officeDocument/2006/relationships/hyperlink" Target="../../app/input/Falmouth_OCE_October2024_RevA.pdf" TargetMode="External"/><Relationship Id="rId28" Type="http://schemas.openxmlformats.org/officeDocument/2006/relationships/hyperlink" Target="../../app/input/Falmouth_OCE_October2024_RevA.pdf" TargetMode="External"/><Relationship Id="rId29" Type="http://schemas.openxmlformats.org/officeDocument/2006/relationships/hyperlink" Target="../../app/input/Falmouth_OCE_October2024_RevA.pdf" TargetMode="External"/><Relationship Id="rId30" Type="http://schemas.openxmlformats.org/officeDocument/2006/relationships/hyperlink" Target="../../app/input/Falmouth_OCE_October2024_RevA.pdf" TargetMode="External"/><Relationship Id="rId31" Type="http://schemas.openxmlformats.org/officeDocument/2006/relationships/hyperlink" Target="../../app/input/Falmouth_OCE_October2024_RevA.pdf" TargetMode="External"/><Relationship Id="rId32" Type="http://schemas.openxmlformats.org/officeDocument/2006/relationships/hyperlink" Target="../../app/input/Falmouth_OCE_October2024_RevA.pdf" TargetMode="External"/><Relationship Id="rId33" Type="http://schemas.openxmlformats.org/officeDocument/2006/relationships/hyperlink" Target="../../app/input/Falmouth_OCE_October2024_RevA.pdf" TargetMode="External"/><Relationship Id="rId34" Type="http://schemas.openxmlformats.org/officeDocument/2006/relationships/hyperlink" Target="../../app/input/Falmouth_OCE_October2024_RevA.pdf" TargetMode="External"/><Relationship Id="rId35" Type="http://schemas.openxmlformats.org/officeDocument/2006/relationships/hyperlink" Target="../../app/input/Falmouth_OCE_October2024_RevA.pdf" TargetMode="External"/><Relationship Id="rId36" Type="http://schemas.openxmlformats.org/officeDocument/2006/relationships/hyperlink" Target="../../app/input/Falmouth_OCE_October2024_RevA.pdf" TargetMode="External"/><Relationship Id="rId37" Type="http://schemas.openxmlformats.org/officeDocument/2006/relationships/hyperlink" Target="../../app/input/Falmouth_OCE_October2024_RevA.pdf" TargetMode="External"/><Relationship Id="rId38" Type="http://schemas.openxmlformats.org/officeDocument/2006/relationships/hyperlink" Target="../../app/input/Falmouth_OCE_October2024_RevA.pdf" TargetMode="External"/><Relationship Id="rId39" Type="http://schemas.openxmlformats.org/officeDocument/2006/relationships/hyperlink" Target="../../app/input/Falmouth_OCE_October2024_RevA.pdf" TargetMode="External"/><Relationship Id="rId40" Type="http://schemas.openxmlformats.org/officeDocument/2006/relationships/hyperlink" Target="../../app/input/Falmouth_OCE_October2024_RevA.pdf" TargetMode="External"/><Relationship Id="rId41" Type="http://schemas.openxmlformats.org/officeDocument/2006/relationships/hyperlink" Target="../../app/input/Falmouth_OCE_October2024_RevA.pdf" TargetMode="External"/><Relationship Id="rId42" Type="http://schemas.openxmlformats.org/officeDocument/2006/relationships/hyperlink" Target="../../app/input/Falmouth_OCE_October2024_RevA.pdf" TargetMode="External"/><Relationship Id="rId43" Type="http://schemas.openxmlformats.org/officeDocument/2006/relationships/hyperlink" Target="../../app/input/Falmouth_OCE_October2024_RevA.pdf" TargetMode="External"/><Relationship Id="rId44" Type="http://schemas.openxmlformats.org/officeDocument/2006/relationships/hyperlink" Target="../../app/input/Falmouth_OCE_October2024_RevA.pdf" TargetMode="External"/><Relationship Id="rId45" Type="http://schemas.openxmlformats.org/officeDocument/2006/relationships/hyperlink" Target="../../app/input/Falmouth_OCE_October2024_RevA.pdf" TargetMode="External"/><Relationship Id="rId46" Type="http://schemas.openxmlformats.org/officeDocument/2006/relationships/hyperlink" Target="../../app/input/Falmouth_OCE_October2024_RevA.pdf" TargetMode="External"/><Relationship Id="rId47" Type="http://schemas.openxmlformats.org/officeDocument/2006/relationships/hyperlink" Target="../../app/input/Falmouth_OCE_October2024_RevA.pdf" TargetMode="External"/><Relationship Id="rId4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6" min="2" style="0" width="18"/>
    <col collapsed="false" customWidth="true" hidden="false" outlineLevel="0" max="7" min="7" style="0" width="27"/>
    <col collapsed="false" customWidth="true" hidden="false" outlineLevel="0" max="8" min="8" style="0" width="2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1.75" hidden="false" customHeight="true" outlineLevel="0" collapsed="false">
      <c r="A5" s="4" t="n">
        <f aca="false">'Working Calculation'!C21</f>
        <v>1971278</v>
      </c>
      <c r="B5" s="4"/>
      <c r="C5" s="5" t="n">
        <f aca="false">ROUND('Working Calculation'!E21,0)</f>
        <v>2039472</v>
      </c>
      <c r="D5" s="5"/>
      <c r="E5" s="6" t="n">
        <f aca="false">C5-A5</f>
        <v>68194</v>
      </c>
      <c r="F5" s="6"/>
      <c r="G5" s="7" t="n">
        <f aca="false">'Review Inputs'!G18</f>
        <v>18000</v>
      </c>
      <c r="H5" s="7"/>
    </row>
    <row r="6" customFormat="false" ht="21.75" hidden="false" customHeight="true" outlineLevel="0" collapsed="false">
      <c r="A6" s="4"/>
      <c r="B6" s="4"/>
      <c r="C6" s="5"/>
      <c r="D6" s="5"/>
      <c r="E6" s="6"/>
      <c r="F6" s="6"/>
      <c r="G6" s="7"/>
      <c r="H6" s="7"/>
    </row>
    <row r="7" customFormat="false" ht="21.75" hidden="false" customHeight="true" outlineLevel="0" collapsed="false">
      <c r="A7" s="4"/>
      <c r="B7" s="4"/>
      <c r="C7" s="5"/>
      <c r="D7" s="5"/>
      <c r="E7" s="6"/>
      <c r="F7" s="6"/>
      <c r="G7" s="7"/>
      <c r="H7" s="7"/>
    </row>
    <row r="9" customFormat="false" ht="21.75" hidden="false" customHeight="true" outlineLevel="0" collapsed="false">
      <c r="A9" s="8" t="s">
        <v>6</v>
      </c>
      <c r="B9" s="8"/>
      <c r="C9" s="8"/>
      <c r="D9" s="8"/>
      <c r="E9" s="8"/>
      <c r="F9" s="8"/>
      <c r="G9" s="8"/>
      <c r="H9" s="8"/>
    </row>
    <row r="11" customFormat="false" ht="30" hidden="false" customHeight="true" outlineLevel="0" collapsed="false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9" t="s">
        <v>12</v>
      </c>
      <c r="G11" s="9" t="s">
        <v>13</v>
      </c>
      <c r="H11" s="9" t="s">
        <v>14</v>
      </c>
    </row>
    <row r="12" customFormat="false" ht="15" hidden="false" customHeight="false" outlineLevel="0" collapsed="false">
      <c r="A12" s="10" t="s">
        <v>15</v>
      </c>
      <c r="B12" s="11" t="n">
        <f aca="false">'Review Inputs'!C9</f>
        <v>432000</v>
      </c>
      <c r="C12" s="11" t="n">
        <f aca="false">'Review Inputs'!D9</f>
        <v>472000</v>
      </c>
      <c r="D12" s="11" t="n">
        <f aca="false">'Review Inputs'!E9</f>
        <v>458000</v>
      </c>
      <c r="E12" s="11" t="n">
        <f aca="false">D12-B12</f>
        <v>26000</v>
      </c>
      <c r="F12" s="10" t="s">
        <v>16</v>
      </c>
      <c r="G12" s="10" t="s">
        <v>17</v>
      </c>
      <c r="H12" s="10" t="s">
        <v>18</v>
      </c>
    </row>
    <row r="13" customFormat="false" ht="15" hidden="false" customHeight="false" outlineLevel="0" collapsed="false">
      <c r="A13" s="10" t="s">
        <v>19</v>
      </c>
      <c r="B13" s="11" t="n">
        <f aca="false">'Review Inputs'!C10</f>
        <v>55000</v>
      </c>
      <c r="C13" s="11" t="s">
        <v>20</v>
      </c>
      <c r="D13" s="11" t="n">
        <f aca="false">'Review Inputs'!E10</f>
        <v>55000</v>
      </c>
      <c r="E13" s="11" t="n">
        <f aca="false">D13-B13</f>
        <v>0</v>
      </c>
      <c r="F13" s="10" t="s">
        <v>16</v>
      </c>
      <c r="G13" s="10" t="s">
        <v>21</v>
      </c>
      <c r="H13" s="10" t="s">
        <v>18</v>
      </c>
    </row>
    <row r="14" customFormat="false" ht="15" hidden="false" customHeight="false" outlineLevel="0" collapsed="false">
      <c r="A14" s="10" t="s">
        <v>22</v>
      </c>
      <c r="B14" s="11" t="n">
        <f aca="false">'Cost Breakdown'!D22-'Cost Breakdown'!D21</f>
        <v>810975</v>
      </c>
      <c r="C14" s="11" t="s">
        <v>20</v>
      </c>
      <c r="D14" s="11" t="n">
        <f aca="false">'Cost Breakdown'!E22-'Cost Breakdown'!E21</f>
        <v>810975</v>
      </c>
      <c r="E14" s="11" t="n">
        <f aca="false">D14-B14</f>
        <v>0</v>
      </c>
      <c r="F14" s="10" t="s">
        <v>16</v>
      </c>
      <c r="G14" s="10" t="s">
        <v>23</v>
      </c>
      <c r="H14" s="10" t="s">
        <v>18</v>
      </c>
    </row>
    <row r="15" customFormat="false" ht="15" hidden="false" customHeight="false" outlineLevel="0" collapsed="false">
      <c r="A15" s="10" t="s">
        <v>24</v>
      </c>
      <c r="B15" s="12" t="n">
        <f aca="false">'Review Inputs'!C28</f>
        <v>0.1</v>
      </c>
      <c r="C15" s="12" t="s">
        <v>20</v>
      </c>
      <c r="D15" s="12" t="n">
        <f aca="false">'Review Inputs'!D28</f>
        <v>0.12</v>
      </c>
      <c r="E15" s="12" t="n">
        <f aca="false">D15-B15</f>
        <v>0.02</v>
      </c>
      <c r="F15" s="10" t="s">
        <v>16</v>
      </c>
      <c r="G15" s="10" t="s">
        <v>25</v>
      </c>
      <c r="H15" s="10" t="s">
        <v>26</v>
      </c>
    </row>
    <row r="16" customFormat="false" ht="15" hidden="false" customHeight="false" outlineLevel="0" collapsed="false">
      <c r="A16" s="10" t="s">
        <v>27</v>
      </c>
      <c r="B16" s="11" t="s">
        <v>28</v>
      </c>
      <c r="C16" s="11" t="s">
        <v>20</v>
      </c>
      <c r="D16" s="11" t="n">
        <f aca="false">'Review Inputs'!D18</f>
        <v>18000</v>
      </c>
      <c r="E16" s="11" t="s">
        <v>20</v>
      </c>
      <c r="F16" s="10" t="str">
        <f aca="false">'Review Inputs'!E18</f>
        <v>Pending</v>
      </c>
      <c r="G16" s="10" t="s">
        <v>29</v>
      </c>
      <c r="H16" s="10" t="s">
        <v>30</v>
      </c>
    </row>
    <row r="19" customFormat="false" ht="21.75" hidden="false" customHeight="true" outlineLevel="0" collapsed="false">
      <c r="A19" s="8" t="s">
        <v>31</v>
      </c>
      <c r="B19" s="8"/>
      <c r="C19" s="8"/>
      <c r="D19" s="8"/>
      <c r="E19" s="8"/>
      <c r="F19" s="8"/>
      <c r="G19" s="8"/>
      <c r="H19" s="8"/>
    </row>
    <row r="21" customFormat="false" ht="15" hidden="false" customHeight="false" outlineLevel="0" collapsed="false">
      <c r="A21" s="13" t="s">
        <v>32</v>
      </c>
      <c r="B21" s="14" t="n">
        <f aca="false">ROUND('Working Calculation'!E21,0)</f>
        <v>2039472</v>
      </c>
      <c r="C21" s="15"/>
      <c r="D21" s="13" t="s">
        <v>33</v>
      </c>
      <c r="E21" s="16" t="n">
        <f aca="false">'Working Calculation'!D21</f>
        <v>1971277.8525</v>
      </c>
      <c r="F21" s="15"/>
      <c r="G21" s="13" t="s">
        <v>34</v>
      </c>
      <c r="H21" s="15" t="s">
        <v>35</v>
      </c>
    </row>
    <row r="22" customFormat="false" ht="15" hidden="false" customHeight="false" outlineLevel="0" collapsed="false">
      <c r="A22" s="13" t="s">
        <v>36</v>
      </c>
      <c r="B22" s="14" t="n">
        <f aca="false">'Review Inputs'!H18</f>
        <v>22397.76</v>
      </c>
      <c r="C22" s="15"/>
      <c r="D22" s="13" t="s">
        <v>37</v>
      </c>
      <c r="E22" s="16" t="n">
        <f aca="false">'Working Calculation'!E21</f>
        <v>2039471.588</v>
      </c>
      <c r="F22" s="15"/>
      <c r="G22" s="13" t="s">
        <v>38</v>
      </c>
      <c r="H22" s="15" t="s">
        <v>28</v>
      </c>
    </row>
    <row r="23" customFormat="false" ht="15" hidden="false" customHeight="false" outlineLevel="0" collapsed="false">
      <c r="A23" s="13" t="s">
        <v>39</v>
      </c>
      <c r="B23" s="17" t="n">
        <f aca="false">ROUND('Working Calculation'!F21,0)</f>
        <v>2061869</v>
      </c>
      <c r="C23" s="15"/>
      <c r="D23" s="13" t="s">
        <v>40</v>
      </c>
      <c r="E23" s="18" t="n">
        <f aca="false">Reconciliation!C16</f>
        <v>0</v>
      </c>
      <c r="F23" s="15"/>
      <c r="G23" s="13" t="s">
        <v>41</v>
      </c>
      <c r="H23" s="15" t="s">
        <v>42</v>
      </c>
    </row>
    <row r="26" customFormat="false" ht="21.75" hidden="false" customHeight="true" outlineLevel="0" collapsed="false">
      <c r="A26" s="8" t="s">
        <v>43</v>
      </c>
      <c r="B26" s="8"/>
      <c r="C26" s="8"/>
      <c r="D26" s="8"/>
      <c r="E26" s="8"/>
      <c r="F26" s="8"/>
      <c r="G26" s="8"/>
      <c r="H26" s="8"/>
    </row>
    <row r="28" customFormat="false" ht="27.75" hidden="false" customHeight="true" outlineLevel="0" collapsed="false">
      <c r="A28" s="19" t="s">
        <v>44</v>
      </c>
      <c r="B28" s="19"/>
      <c r="C28" s="19"/>
      <c r="D28" s="19"/>
      <c r="E28" s="19"/>
      <c r="F28" s="19"/>
      <c r="G28" s="19"/>
      <c r="H28" s="19"/>
    </row>
    <row r="29" customFormat="false" ht="27.75" hidden="false" customHeight="true" outlineLevel="0" collapsed="false">
      <c r="A29" s="19" t="s">
        <v>45</v>
      </c>
      <c r="B29" s="19"/>
      <c r="C29" s="19"/>
      <c r="D29" s="19"/>
      <c r="E29" s="19"/>
      <c r="F29" s="19"/>
      <c r="G29" s="19"/>
      <c r="H29" s="19"/>
    </row>
    <row r="30" customFormat="false" ht="27.75" hidden="false" customHeight="true" outlineLevel="0" collapsed="false">
      <c r="A30" s="19" t="s">
        <v>46</v>
      </c>
      <c r="B30" s="19"/>
      <c r="C30" s="19"/>
      <c r="D30" s="19"/>
      <c r="E30" s="19"/>
      <c r="F30" s="19"/>
      <c r="G30" s="19"/>
      <c r="H30" s="19"/>
    </row>
    <row r="31" customFormat="false" ht="27.75" hidden="false" customHeight="true" outlineLevel="0" collapsed="false">
      <c r="A31" s="19" t="s">
        <v>47</v>
      </c>
      <c r="B31" s="19"/>
      <c r="C31" s="19"/>
      <c r="D31" s="19"/>
      <c r="E31" s="19"/>
      <c r="F31" s="19"/>
      <c r="G31" s="19"/>
      <c r="H31" s="19"/>
    </row>
  </sheetData>
  <mergeCells count="17">
    <mergeCell ref="A1:H1"/>
    <mergeCell ref="A2:H2"/>
    <mergeCell ref="A4:B4"/>
    <mergeCell ref="C4:D4"/>
    <mergeCell ref="E4:F4"/>
    <mergeCell ref="G4:H4"/>
    <mergeCell ref="A5:B7"/>
    <mergeCell ref="C5:D7"/>
    <mergeCell ref="E5:F7"/>
    <mergeCell ref="G5:H7"/>
    <mergeCell ref="A9:H9"/>
    <mergeCell ref="A19:H19"/>
    <mergeCell ref="A26:H26"/>
    <mergeCell ref="A28:H28"/>
    <mergeCell ref="A29:H29"/>
    <mergeCell ref="A30:H30"/>
    <mergeCell ref="A31:H31"/>
  </mergeCells>
  <conditionalFormatting sqref="E23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&amp;ROctober 2024 Revision A | Current review</oddHeader>
    <oddFooter>&amp;CPage &amp;P of &amp;N&amp;RMunicipal Building, The Moor, Falmouth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23"/>
    <col collapsed="false" customWidth="true" hidden="false" outlineLevel="0" max="10" min="10" style="0" width="52"/>
  </cols>
  <sheetData>
    <row r="1" customFormat="false" ht="33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8" t="s">
        <v>50</v>
      </c>
      <c r="B4" s="8"/>
      <c r="C4" s="8"/>
      <c r="D4" s="8"/>
      <c r="E4" s="8"/>
      <c r="F4" s="8"/>
      <c r="G4" s="8"/>
      <c r="H4" s="8"/>
      <c r="I4" s="8"/>
      <c r="J4" s="8"/>
    </row>
    <row r="6" customFormat="false" ht="30" hidden="false" customHeight="true" outlineLevel="0" collapsed="false">
      <c r="A6" s="9" t="s">
        <v>51</v>
      </c>
      <c r="B6" s="9" t="s">
        <v>52</v>
      </c>
      <c r="C6" s="9" t="s">
        <v>53</v>
      </c>
      <c r="D6" s="9" t="s">
        <v>54</v>
      </c>
      <c r="E6" s="9" t="s">
        <v>55</v>
      </c>
      <c r="F6" s="9" t="s">
        <v>56</v>
      </c>
      <c r="G6" s="9" t="s">
        <v>11</v>
      </c>
      <c r="H6" s="9" t="s">
        <v>6</v>
      </c>
      <c r="I6" s="9" t="s">
        <v>14</v>
      </c>
      <c r="J6" s="9" t="s">
        <v>57</v>
      </c>
    </row>
    <row r="7" customFormat="false" ht="15" hidden="false" customHeight="false" outlineLevel="0" collapsed="false">
      <c r="A7" s="10" t="s">
        <v>58</v>
      </c>
      <c r="B7" s="10" t="s">
        <v>59</v>
      </c>
      <c r="C7" s="12" t="n">
        <v>0</v>
      </c>
      <c r="D7" s="11" t="s">
        <v>20</v>
      </c>
      <c r="E7" s="20" t="s">
        <v>20</v>
      </c>
      <c r="F7" s="12" t="n">
        <f aca="false">IF(AND(ISNUMBER(E7),$E$22&lt;&gt;0),E7/$E$22,0)</f>
        <v>0</v>
      </c>
      <c r="G7" s="11" t="str">
        <f aca="false">IF(AND(ISNUMBER(D7),ISNUMBER(E7)),E7-D7,"-")</f>
        <v>-</v>
      </c>
      <c r="H7" s="10" t="s">
        <v>60</v>
      </c>
      <c r="I7" s="10" t="s">
        <v>61</v>
      </c>
      <c r="J7" s="10" t="s">
        <v>62</v>
      </c>
    </row>
    <row r="8" customFormat="false" ht="15" hidden="false" customHeight="false" outlineLevel="0" collapsed="false">
      <c r="A8" s="10" t="s">
        <v>63</v>
      </c>
      <c r="B8" s="10" t="s">
        <v>64</v>
      </c>
      <c r="C8" s="12" t="n">
        <v>0.2929</v>
      </c>
      <c r="D8" s="11" t="n">
        <v>418900</v>
      </c>
      <c r="E8" s="20" t="n">
        <v>418900</v>
      </c>
      <c r="F8" s="12" t="n">
        <f aca="false">IF(AND(ISNUMBER(E8),$E$22&lt;&gt;0),E8/$E$22,0)</f>
        <v>0.287661590756923</v>
      </c>
      <c r="G8" s="11" t="n">
        <f aca="false">IF(AND(ISNUMBER(D8),ISNUMBER(E8)),E8-D8,"-")</f>
        <v>0</v>
      </c>
      <c r="H8" s="10" t="s">
        <v>65</v>
      </c>
      <c r="I8" s="10" t="s">
        <v>61</v>
      </c>
      <c r="J8" s="10" t="s">
        <v>66</v>
      </c>
    </row>
    <row r="9" customFormat="false" ht="15" hidden="false" customHeight="false" outlineLevel="0" collapsed="false">
      <c r="A9" s="10" t="s">
        <v>67</v>
      </c>
      <c r="B9" s="10" t="s">
        <v>68</v>
      </c>
      <c r="C9" s="12" t="n">
        <v>0.0067</v>
      </c>
      <c r="D9" s="11" t="n">
        <v>9600</v>
      </c>
      <c r="E9" s="20" t="n">
        <v>9600</v>
      </c>
      <c r="F9" s="12" t="n">
        <f aca="false">IF(AND(ISNUMBER(E9),$E$22&lt;&gt;0),E9/$E$22,0)</f>
        <v>0.00659238785215197</v>
      </c>
      <c r="G9" s="11" t="n">
        <f aca="false">IF(AND(ISNUMBER(D9),ISNUMBER(E9)),E9-D9,"-")</f>
        <v>0</v>
      </c>
      <c r="H9" s="10" t="s">
        <v>65</v>
      </c>
      <c r="I9" s="10" t="s">
        <v>61</v>
      </c>
      <c r="J9" s="10" t="s">
        <v>66</v>
      </c>
    </row>
    <row r="10" customFormat="false" ht="15" hidden="false" customHeight="false" outlineLevel="0" collapsed="false">
      <c r="A10" s="10" t="s">
        <v>69</v>
      </c>
      <c r="B10" s="10" t="s">
        <v>70</v>
      </c>
      <c r="C10" s="12" t="n">
        <v>0.0003</v>
      </c>
      <c r="D10" s="11" t="n">
        <v>400</v>
      </c>
      <c r="E10" s="20" t="n">
        <v>400</v>
      </c>
      <c r="F10" s="12" t="n">
        <f aca="false">IF(AND(ISNUMBER(E10),$E$22&lt;&gt;0),E10/$E$22,0)</f>
        <v>0.000274682827172999</v>
      </c>
      <c r="G10" s="11" t="n">
        <f aca="false">IF(AND(ISNUMBER(D10),ISNUMBER(E10)),E10-D10,"-")</f>
        <v>0</v>
      </c>
      <c r="H10" s="10" t="s">
        <v>65</v>
      </c>
      <c r="I10" s="10" t="s">
        <v>61</v>
      </c>
      <c r="J10" s="10" t="s">
        <v>71</v>
      </c>
    </row>
    <row r="11" customFormat="false" ht="15" hidden="false" customHeight="false" outlineLevel="0" collapsed="false">
      <c r="A11" s="10" t="s">
        <v>72</v>
      </c>
      <c r="B11" s="10" t="s">
        <v>73</v>
      </c>
      <c r="C11" s="12" t="n">
        <v>0.0117</v>
      </c>
      <c r="D11" s="11" t="n">
        <v>16700</v>
      </c>
      <c r="E11" s="20" t="n">
        <v>16700</v>
      </c>
      <c r="F11" s="12" t="n">
        <f aca="false">IF(AND(ISNUMBER(E11),$E$22&lt;&gt;0),E11/$E$22,0)</f>
        <v>0.0114680080344727</v>
      </c>
      <c r="G11" s="11" t="n">
        <f aca="false">IF(AND(ISNUMBER(D11),ISNUMBER(E11)),E11-D11,"-")</f>
        <v>0</v>
      </c>
      <c r="H11" s="10" t="s">
        <v>65</v>
      </c>
      <c r="I11" s="10" t="s">
        <v>61</v>
      </c>
      <c r="J11" s="10" t="s">
        <v>66</v>
      </c>
    </row>
    <row r="12" customFormat="false" ht="15" hidden="false" customHeight="false" outlineLevel="0" collapsed="false">
      <c r="A12" s="10" t="s">
        <v>74</v>
      </c>
      <c r="B12" s="10" t="s">
        <v>75</v>
      </c>
      <c r="C12" s="12" t="n">
        <v>0.0096</v>
      </c>
      <c r="D12" s="11" t="n">
        <v>13800</v>
      </c>
      <c r="E12" s="20" t="n">
        <v>13800</v>
      </c>
      <c r="F12" s="12" t="n">
        <f aca="false">IF(AND(ISNUMBER(E12),$E$22&lt;&gt;0),E12/$E$22,0)</f>
        <v>0.00947655753746846</v>
      </c>
      <c r="G12" s="11" t="n">
        <f aca="false">IF(AND(ISNUMBER(D12),ISNUMBER(E12)),E12-D12,"-")</f>
        <v>0</v>
      </c>
      <c r="H12" s="10" t="s">
        <v>65</v>
      </c>
      <c r="I12" s="10" t="s">
        <v>61</v>
      </c>
      <c r="J12" s="10" t="s">
        <v>66</v>
      </c>
    </row>
    <row r="13" customFormat="false" ht="15" hidden="false" customHeight="false" outlineLevel="0" collapsed="false">
      <c r="A13" s="10" t="s">
        <v>76</v>
      </c>
      <c r="B13" s="10" t="s">
        <v>77</v>
      </c>
      <c r="C13" s="12" t="n">
        <v>0.0335</v>
      </c>
      <c r="D13" s="11" t="n">
        <v>47950</v>
      </c>
      <c r="E13" s="20" t="n">
        <v>47950</v>
      </c>
      <c r="F13" s="12" t="n">
        <f aca="false">IF(AND(ISNUMBER(E13),$E$22&lt;&gt;0),E13/$E$22,0)</f>
        <v>0.0329276039073632</v>
      </c>
      <c r="G13" s="11" t="n">
        <f aca="false">IF(AND(ISNUMBER(D13),ISNUMBER(E13)),E13-D13,"-")</f>
        <v>0</v>
      </c>
      <c r="H13" s="10" t="s">
        <v>65</v>
      </c>
      <c r="I13" s="10" t="s">
        <v>61</v>
      </c>
      <c r="J13" s="10" t="s">
        <v>66</v>
      </c>
    </row>
    <row r="14" customFormat="false" ht="15" hidden="false" customHeight="false" outlineLevel="0" collapsed="false">
      <c r="A14" s="10" t="s">
        <v>78</v>
      </c>
      <c r="B14" s="10" t="s">
        <v>79</v>
      </c>
      <c r="C14" s="12" t="n">
        <v>0.0774</v>
      </c>
      <c r="D14" s="11" t="n">
        <v>110725</v>
      </c>
      <c r="E14" s="20" t="n">
        <v>110725</v>
      </c>
      <c r="F14" s="12" t="n">
        <f aca="false">IF(AND(ISNUMBER(E14),$E$22&lt;&gt;0),E14/$E$22,0)</f>
        <v>0.0760356400968257</v>
      </c>
      <c r="G14" s="11" t="n">
        <f aca="false">IF(AND(ISNUMBER(D14),ISNUMBER(E14)),E14-D14,"-")</f>
        <v>0</v>
      </c>
      <c r="H14" s="10" t="s">
        <v>65</v>
      </c>
      <c r="I14" s="10" t="s">
        <v>61</v>
      </c>
      <c r="J14" s="10" t="s">
        <v>66</v>
      </c>
    </row>
    <row r="15" customFormat="false" ht="15" hidden="false" customHeight="false" outlineLevel="0" collapsed="false">
      <c r="A15" s="10" t="s">
        <v>80</v>
      </c>
      <c r="B15" s="10" t="s">
        <v>81</v>
      </c>
      <c r="C15" s="12" t="n">
        <v>0.005</v>
      </c>
      <c r="D15" s="11" t="n">
        <v>7200</v>
      </c>
      <c r="E15" s="20" t="n">
        <v>7200</v>
      </c>
      <c r="F15" s="12" t="n">
        <f aca="false">IF(AND(ISNUMBER(E15),$E$22&lt;&gt;0),E15/$E$22,0)</f>
        <v>0.00494429088911398</v>
      </c>
      <c r="G15" s="11" t="n">
        <f aca="false">IF(AND(ISNUMBER(D15),ISNUMBER(E15)),E15-D15,"-")</f>
        <v>0</v>
      </c>
      <c r="H15" s="10" t="s">
        <v>65</v>
      </c>
      <c r="I15" s="10" t="s">
        <v>61</v>
      </c>
      <c r="J15" s="10" t="s">
        <v>66</v>
      </c>
    </row>
    <row r="16" customFormat="false" ht="15" hidden="false" customHeight="false" outlineLevel="0" collapsed="false">
      <c r="A16" s="10" t="s">
        <v>82</v>
      </c>
      <c r="B16" s="10" t="s">
        <v>83</v>
      </c>
      <c r="C16" s="12" t="n">
        <v>0.0625</v>
      </c>
      <c r="D16" s="11" t="n">
        <v>89450</v>
      </c>
      <c r="E16" s="20" t="n">
        <v>89450</v>
      </c>
      <c r="F16" s="12" t="n">
        <f aca="false">IF(AND(ISNUMBER(E16),$E$22&lt;&gt;0),E16/$E$22,0)</f>
        <v>0.0614259472265618</v>
      </c>
      <c r="G16" s="11" t="n">
        <f aca="false">IF(AND(ISNUMBER(D16),ISNUMBER(E16)),E16-D16,"-")</f>
        <v>0</v>
      </c>
      <c r="H16" s="10" t="s">
        <v>65</v>
      </c>
      <c r="I16" s="10" t="s">
        <v>61</v>
      </c>
      <c r="J16" s="10" t="s">
        <v>66</v>
      </c>
    </row>
    <row r="17" customFormat="false" ht="15" hidden="false" customHeight="false" outlineLevel="0" collapsed="false">
      <c r="A17" s="10" t="s">
        <v>84</v>
      </c>
      <c r="B17" s="10" t="s">
        <v>85</v>
      </c>
      <c r="C17" s="12" t="n">
        <v>0.0113</v>
      </c>
      <c r="D17" s="11" t="n">
        <v>16100</v>
      </c>
      <c r="E17" s="20" t="n">
        <v>16100</v>
      </c>
      <c r="F17" s="12" t="n">
        <f aca="false">IF(AND(ISNUMBER(E17),$E$22&lt;&gt;0),E17/$E$22,0)</f>
        <v>0.0110559837937132</v>
      </c>
      <c r="G17" s="11" t="n">
        <f aca="false">IF(AND(ISNUMBER(D17),ISNUMBER(E17)),E17-D17,"-")</f>
        <v>0</v>
      </c>
      <c r="H17" s="10" t="s">
        <v>65</v>
      </c>
      <c r="I17" s="10" t="s">
        <v>61</v>
      </c>
      <c r="J17" s="10" t="s">
        <v>86</v>
      </c>
    </row>
    <row r="18" customFormat="false" ht="15" hidden="false" customHeight="false" outlineLevel="0" collapsed="false">
      <c r="A18" s="10" t="s">
        <v>87</v>
      </c>
      <c r="B18" s="10" t="s">
        <v>88</v>
      </c>
      <c r="C18" s="12" t="n">
        <v>0.0328</v>
      </c>
      <c r="D18" s="11" t="n">
        <v>46950</v>
      </c>
      <c r="E18" s="20" t="n">
        <v>46950</v>
      </c>
      <c r="F18" s="12" t="n">
        <f aca="false">IF(AND(ISNUMBER(E18),$E$22&lt;&gt;0),E18/$E$22,0)</f>
        <v>0.0322408968394307</v>
      </c>
      <c r="G18" s="11" t="n">
        <f aca="false">IF(AND(ISNUMBER(D18),ISNUMBER(E18)),E18-D18,"-")</f>
        <v>0</v>
      </c>
      <c r="H18" s="10" t="s">
        <v>65</v>
      </c>
      <c r="I18" s="10" t="s">
        <v>61</v>
      </c>
      <c r="J18" s="10" t="s">
        <v>66</v>
      </c>
    </row>
    <row r="19" customFormat="false" ht="15" hidden="false" customHeight="false" outlineLevel="0" collapsed="false">
      <c r="A19" s="10" t="s">
        <v>89</v>
      </c>
      <c r="B19" s="10" t="s">
        <v>90</v>
      </c>
      <c r="C19" s="12" t="n">
        <v>0.0105</v>
      </c>
      <c r="D19" s="11" t="n">
        <v>15000</v>
      </c>
      <c r="E19" s="20" t="n">
        <v>15000</v>
      </c>
      <c r="F19" s="12" t="n">
        <f aca="false">IF(AND(ISNUMBER(E19),$E$22&lt;&gt;0),E19/$E$22,0)</f>
        <v>0.0103006060189875</v>
      </c>
      <c r="G19" s="11" t="n">
        <f aca="false">IF(AND(ISNUMBER(D19),ISNUMBER(E19)),E19-D19,"-")</f>
        <v>0</v>
      </c>
      <c r="H19" s="10" t="s">
        <v>65</v>
      </c>
      <c r="I19" s="10" t="s">
        <v>61</v>
      </c>
      <c r="J19" s="10" t="s">
        <v>66</v>
      </c>
    </row>
    <row r="20" customFormat="false" ht="15" hidden="false" customHeight="false" outlineLevel="0" collapsed="false">
      <c r="A20" s="10" t="s">
        <v>91</v>
      </c>
      <c r="B20" s="10" t="s">
        <v>92</v>
      </c>
      <c r="C20" s="12" t="n">
        <v>0.0127</v>
      </c>
      <c r="D20" s="11" t="n">
        <v>18200</v>
      </c>
      <c r="E20" s="20" t="n">
        <v>18200</v>
      </c>
      <c r="F20" s="12" t="n">
        <f aca="false">IF(AND(ISNUMBER(E20),$E$22&lt;&gt;0),E20/$E$22,0)</f>
        <v>0.0124980686363714</v>
      </c>
      <c r="G20" s="11" t="n">
        <f aca="false">IF(AND(ISNUMBER(D20),ISNUMBER(E20)),E20-D20,"-")</f>
        <v>0</v>
      </c>
      <c r="H20" s="10" t="s">
        <v>65</v>
      </c>
      <c r="I20" s="10" t="s">
        <v>61</v>
      </c>
      <c r="J20" s="10" t="s">
        <v>66</v>
      </c>
    </row>
    <row r="21" customFormat="false" ht="15" hidden="false" customHeight="false" outlineLevel="0" collapsed="false">
      <c r="A21" s="10" t="s">
        <v>93</v>
      </c>
      <c r="B21" s="10" t="s">
        <v>94</v>
      </c>
      <c r="C21" s="12" t="n">
        <v>0.433</v>
      </c>
      <c r="D21" s="11" t="n">
        <v>619250</v>
      </c>
      <c r="E21" s="21" t="n">
        <f aca="false">'Review Inputs'!E11+'Review Inputs'!E12</f>
        <v>645250</v>
      </c>
      <c r="F21" s="12" t="n">
        <f aca="false">IF(AND(ISNUMBER(E21),$E$22&lt;&gt;0),E21/$E$22,0)</f>
        <v>0.443097735583444</v>
      </c>
      <c r="G21" s="11" t="n">
        <f aca="false">IF(AND(ISNUMBER(D21),ISNUMBER(E21)),E21-D21,"-")</f>
        <v>26000</v>
      </c>
      <c r="H21" s="10" t="s">
        <v>95</v>
      </c>
      <c r="I21" s="10" t="s">
        <v>96</v>
      </c>
      <c r="J21" s="10" t="s">
        <v>97</v>
      </c>
    </row>
    <row r="22" customFormat="false" ht="15" hidden="false" customHeight="false" outlineLevel="0" collapsed="false">
      <c r="A22" s="22" t="s">
        <v>98</v>
      </c>
      <c r="B22" s="22" t="s">
        <v>99</v>
      </c>
      <c r="C22" s="23" t="n">
        <f aca="false">SUM(C7:C21)</f>
        <v>0.9999</v>
      </c>
      <c r="D22" s="24" t="n">
        <v>1430225</v>
      </c>
      <c r="E22" s="24" t="n">
        <f aca="false">SUM(E7:E21)</f>
        <v>1456225</v>
      </c>
      <c r="F22" s="23" t="n">
        <f aca="false">SUM(F7:F21)</f>
        <v>1</v>
      </c>
      <c r="G22" s="24" t="n">
        <f aca="false">E22-D22</f>
        <v>26000</v>
      </c>
      <c r="H22" s="22" t="s">
        <v>100</v>
      </c>
      <c r="I22" s="22" t="s">
        <v>61</v>
      </c>
      <c r="J22" s="22" t="s">
        <v>101</v>
      </c>
    </row>
    <row r="23" customFormat="false" ht="15" hidden="false" customHeight="false" outlineLevel="0" collapsed="false">
      <c r="A23" s="25"/>
      <c r="B23" s="25" t="s">
        <v>102</v>
      </c>
      <c r="C23" s="26"/>
      <c r="D23" s="27" t="n">
        <f aca="false">SUM(D7:D21)-D22</f>
        <v>0</v>
      </c>
      <c r="E23" s="28"/>
      <c r="F23" s="26"/>
      <c r="G23" s="28"/>
      <c r="H23" s="25"/>
      <c r="I23" s="25"/>
      <c r="J23" s="25" t="s">
        <v>103</v>
      </c>
    </row>
  </sheetData>
  <autoFilter ref="A6:J21"/>
  <mergeCells count="3">
    <mergeCell ref="A1:J1"/>
    <mergeCell ref="A2:J2"/>
    <mergeCell ref="A4:J4"/>
  </mergeCells>
  <dataValidations count="1">
    <dataValidation allowBlank="true" error="Enter a non-negative element amount, or retain the source dash where unpriced." errorStyle="stop" operator="greaterThanOrEqual" showDropDown="false" showErrorMessage="false" showInputMessage="false" sqref="E7:E2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&amp;ROctober 2024 Revision A | Current review</oddHeader>
    <oddFooter>&amp;CPage &amp;P of &amp;N&amp;RMunicipal Building, The Moor, Falmouth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3"/>
    <col collapsed="false" customWidth="true" hidden="false" outlineLevel="0" max="6" min="3" style="0" width="15"/>
    <col collapsed="false" customWidth="true" hidden="false" outlineLevel="0" max="8" min="7" style="0" width="18"/>
    <col collapsed="false" customWidth="true" hidden="false" outlineLevel="0" max="9" min="9" style="0" width="58"/>
  </cols>
  <sheetData>
    <row r="1" customFormat="false" ht="33.7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8" t="s">
        <v>106</v>
      </c>
      <c r="B4" s="8"/>
      <c r="C4" s="8"/>
      <c r="D4" s="8"/>
      <c r="E4" s="8"/>
      <c r="F4" s="8"/>
      <c r="G4" s="8"/>
      <c r="H4" s="8"/>
      <c r="I4" s="8"/>
    </row>
    <row r="6" customFormat="false" ht="30" hidden="false" customHeight="true" outlineLevel="0" collapsed="false">
      <c r="A6" s="9" t="s">
        <v>51</v>
      </c>
      <c r="B6" s="9" t="s">
        <v>107</v>
      </c>
      <c r="C6" s="9" t="s">
        <v>108</v>
      </c>
      <c r="D6" s="9" t="s">
        <v>9</v>
      </c>
      <c r="E6" s="9" t="s">
        <v>109</v>
      </c>
      <c r="F6" s="9" t="s">
        <v>11</v>
      </c>
      <c r="G6" s="9" t="s">
        <v>12</v>
      </c>
      <c r="H6" s="9" t="s">
        <v>14</v>
      </c>
      <c r="I6" s="9" t="s">
        <v>110</v>
      </c>
    </row>
    <row r="7" customFormat="false" ht="15" hidden="false" customHeight="false" outlineLevel="0" collapsed="false">
      <c r="A7" s="10" t="s">
        <v>111</v>
      </c>
      <c r="B7" s="10" t="s">
        <v>112</v>
      </c>
      <c r="C7" s="29" t="n">
        <v>85750</v>
      </c>
      <c r="D7" s="29"/>
      <c r="E7" s="30" t="n">
        <v>85750</v>
      </c>
      <c r="F7" s="29" t="n">
        <f aca="false">E7-C7</f>
        <v>0</v>
      </c>
      <c r="G7" s="10" t="s">
        <v>16</v>
      </c>
      <c r="H7" s="10" t="s">
        <v>113</v>
      </c>
      <c r="I7" s="10" t="s">
        <v>114</v>
      </c>
    </row>
    <row r="8" customFormat="false" ht="15" hidden="false" customHeight="false" outlineLevel="0" collapsed="false">
      <c r="A8" s="10" t="s">
        <v>115</v>
      </c>
      <c r="B8" s="10" t="s">
        <v>116</v>
      </c>
      <c r="C8" s="29" t="n">
        <v>43500</v>
      </c>
      <c r="D8" s="29"/>
      <c r="E8" s="30" t="n">
        <v>43500</v>
      </c>
      <c r="F8" s="29" t="n">
        <f aca="false">E8-C8</f>
        <v>0</v>
      </c>
      <c r="G8" s="10" t="s">
        <v>16</v>
      </c>
      <c r="H8" s="10" t="s">
        <v>113</v>
      </c>
      <c r="I8" s="10" t="s">
        <v>114</v>
      </c>
    </row>
    <row r="9" customFormat="false" ht="15" hidden="false" customHeight="false" outlineLevel="0" collapsed="false">
      <c r="A9" s="10" t="s">
        <v>117</v>
      </c>
      <c r="B9" s="10" t="s">
        <v>118</v>
      </c>
      <c r="C9" s="29" t="n">
        <v>432000</v>
      </c>
      <c r="D9" s="29" t="n">
        <v>472000</v>
      </c>
      <c r="E9" s="30" t="n">
        <v>458000</v>
      </c>
      <c r="F9" s="29" t="n">
        <f aca="false">E9-C9</f>
        <v>26000</v>
      </c>
      <c r="G9" s="10" t="s">
        <v>16</v>
      </c>
      <c r="H9" s="10" t="s">
        <v>119</v>
      </c>
      <c r="I9" s="10" t="s">
        <v>120</v>
      </c>
    </row>
    <row r="10" customFormat="false" ht="15" hidden="false" customHeight="false" outlineLevel="0" collapsed="false">
      <c r="A10" s="10" t="s">
        <v>121</v>
      </c>
      <c r="B10" s="10" t="s">
        <v>19</v>
      </c>
      <c r="C10" s="29" t="n">
        <v>55000</v>
      </c>
      <c r="D10" s="29"/>
      <c r="E10" s="30" t="n">
        <v>55000</v>
      </c>
      <c r="F10" s="29" t="n">
        <f aca="false">E10-C10</f>
        <v>0</v>
      </c>
      <c r="G10" s="10" t="s">
        <v>16</v>
      </c>
      <c r="H10" s="10" t="s">
        <v>119</v>
      </c>
      <c r="I10" s="10" t="s">
        <v>122</v>
      </c>
    </row>
    <row r="11" customFormat="false" ht="15" hidden="false" customHeight="false" outlineLevel="0" collapsed="false">
      <c r="A11" s="31" t="s">
        <v>123</v>
      </c>
      <c r="B11" s="31" t="s">
        <v>124</v>
      </c>
      <c r="C11" s="32" t="n">
        <f aca="false">SUM(C7:C10)</f>
        <v>616250</v>
      </c>
      <c r="D11" s="32"/>
      <c r="E11" s="32" t="n">
        <f aca="false">SUM(E7:E10)</f>
        <v>642250</v>
      </c>
      <c r="F11" s="32" t="n">
        <f aca="false">E11-C11</f>
        <v>26000</v>
      </c>
      <c r="G11" s="31" t="s">
        <v>16</v>
      </c>
      <c r="H11" s="31" t="s">
        <v>113</v>
      </c>
      <c r="I11" s="31" t="s">
        <v>125</v>
      </c>
    </row>
    <row r="12" customFormat="false" ht="15" hidden="false" customHeight="false" outlineLevel="0" collapsed="false">
      <c r="A12" s="25" t="s">
        <v>126</v>
      </c>
      <c r="B12" s="25" t="s">
        <v>127</v>
      </c>
      <c r="C12" s="33" t="n">
        <f aca="false">619250-C11</f>
        <v>3000</v>
      </c>
      <c r="D12" s="33"/>
      <c r="E12" s="33" t="n">
        <f aca="false">C12</f>
        <v>3000</v>
      </c>
      <c r="F12" s="33" t="n">
        <f aca="false">E12-C12</f>
        <v>0</v>
      </c>
      <c r="G12" s="25" t="s">
        <v>128</v>
      </c>
      <c r="H12" s="25" t="s">
        <v>129</v>
      </c>
      <c r="I12" s="25" t="s">
        <v>130</v>
      </c>
    </row>
    <row r="15" customFormat="false" ht="21.75" hidden="false" customHeight="true" outlineLevel="0" collapsed="false">
      <c r="A15" s="8" t="s">
        <v>131</v>
      </c>
      <c r="B15" s="8"/>
      <c r="C15" s="8"/>
      <c r="D15" s="8"/>
      <c r="E15" s="8"/>
      <c r="F15" s="8"/>
      <c r="G15" s="8"/>
      <c r="H15" s="8"/>
      <c r="I15" s="8"/>
    </row>
    <row r="17" customFormat="false" ht="30" hidden="false" customHeight="true" outlineLevel="0" collapsed="false">
      <c r="A17" s="9" t="s">
        <v>51</v>
      </c>
      <c r="B17" s="9" t="s">
        <v>132</v>
      </c>
      <c r="C17" s="9" t="s">
        <v>133</v>
      </c>
      <c r="D17" s="9" t="s">
        <v>134</v>
      </c>
      <c r="E17" s="9" t="s">
        <v>135</v>
      </c>
      <c r="F17" s="9" t="s">
        <v>136</v>
      </c>
      <c r="G17" s="9" t="s">
        <v>137</v>
      </c>
      <c r="H17" s="9" t="s">
        <v>138</v>
      </c>
      <c r="I17" s="9" t="s">
        <v>139</v>
      </c>
    </row>
    <row r="18" customFormat="false" ht="15" hidden="false" customHeight="false" outlineLevel="0" collapsed="false">
      <c r="A18" s="10" t="s">
        <v>140</v>
      </c>
      <c r="B18" s="10" t="s">
        <v>27</v>
      </c>
      <c r="C18" s="10" t="s">
        <v>28</v>
      </c>
      <c r="D18" s="20" t="n">
        <v>18000</v>
      </c>
      <c r="E18" s="34" t="s">
        <v>141</v>
      </c>
      <c r="F18" s="11" t="n">
        <f aca="false">IF(E18="Approved",D18,0)</f>
        <v>0</v>
      </c>
      <c r="G18" s="11" t="n">
        <f aca="false">IF(E18="Pending",D18,0)</f>
        <v>18000</v>
      </c>
      <c r="H18" s="11" t="n">
        <f aca="false">IF(E18="Pending",D18*(1+$D$26)*(1+$D$28)*(1+$D$31),0)</f>
        <v>22397.76</v>
      </c>
      <c r="I18" s="10" t="s">
        <v>142</v>
      </c>
    </row>
    <row r="22" customFormat="false" ht="21.75" hidden="false" customHeight="true" outlineLevel="0" collapsed="false">
      <c r="A22" s="8" t="s">
        <v>143</v>
      </c>
      <c r="B22" s="8"/>
      <c r="C22" s="8"/>
      <c r="D22" s="8"/>
      <c r="E22" s="8"/>
      <c r="F22" s="8"/>
      <c r="G22" s="8"/>
      <c r="H22" s="8"/>
      <c r="I22" s="8"/>
    </row>
    <row r="24" customFormat="false" ht="30" hidden="false" customHeight="true" outlineLevel="0" collapsed="false">
      <c r="A24" s="9" t="s">
        <v>51</v>
      </c>
      <c r="B24" s="9" t="s">
        <v>144</v>
      </c>
      <c r="C24" s="9" t="s">
        <v>145</v>
      </c>
      <c r="D24" s="9" t="s">
        <v>109</v>
      </c>
      <c r="E24" s="9" t="s">
        <v>146</v>
      </c>
      <c r="F24" s="9" t="s">
        <v>14</v>
      </c>
      <c r="G24" s="9" t="s">
        <v>147</v>
      </c>
      <c r="H24" s="9"/>
      <c r="I24" s="9"/>
    </row>
    <row r="25" customFormat="false" ht="15" hidden="false" customHeight="false" outlineLevel="0" collapsed="false">
      <c r="A25" s="10" t="s">
        <v>148</v>
      </c>
      <c r="B25" s="10" t="s">
        <v>149</v>
      </c>
      <c r="C25" s="11" t="n">
        <v>182800</v>
      </c>
      <c r="D25" s="20" t="n">
        <v>182800</v>
      </c>
      <c r="E25" s="10" t="s">
        <v>150</v>
      </c>
      <c r="F25" s="10" t="s">
        <v>151</v>
      </c>
      <c r="G25" s="10" t="s">
        <v>152</v>
      </c>
      <c r="H25" s="10"/>
      <c r="I25" s="10"/>
    </row>
    <row r="26" customFormat="false" ht="15" hidden="false" customHeight="false" outlineLevel="0" collapsed="false">
      <c r="A26" s="10" t="s">
        <v>153</v>
      </c>
      <c r="B26" s="10" t="s">
        <v>154</v>
      </c>
      <c r="C26" s="12" t="n">
        <v>0.1</v>
      </c>
      <c r="D26" s="35" t="n">
        <v>0.1</v>
      </c>
      <c r="E26" s="10" t="s">
        <v>155</v>
      </c>
      <c r="F26" s="10" t="s">
        <v>151</v>
      </c>
      <c r="G26" s="10" t="s">
        <v>156</v>
      </c>
      <c r="H26" s="10"/>
      <c r="I26" s="10"/>
    </row>
    <row r="27" customFormat="false" ht="15" hidden="false" customHeight="false" outlineLevel="0" collapsed="false">
      <c r="A27" s="10" t="s">
        <v>157</v>
      </c>
      <c r="B27" s="10" t="s">
        <v>158</v>
      </c>
      <c r="C27" s="10" t="s">
        <v>28</v>
      </c>
      <c r="D27" s="10" t="s">
        <v>28</v>
      </c>
      <c r="E27" s="10" t="s">
        <v>28</v>
      </c>
      <c r="F27" s="10" t="s">
        <v>159</v>
      </c>
      <c r="G27" s="10" t="s">
        <v>160</v>
      </c>
      <c r="H27" s="10"/>
      <c r="I27" s="10"/>
    </row>
    <row r="28" customFormat="false" ht="15" hidden="false" customHeight="false" outlineLevel="0" collapsed="false">
      <c r="A28" s="10" t="s">
        <v>161</v>
      </c>
      <c r="B28" s="10" t="s">
        <v>24</v>
      </c>
      <c r="C28" s="12" t="n">
        <v>0.1</v>
      </c>
      <c r="D28" s="35" t="n">
        <v>0.12</v>
      </c>
      <c r="E28" s="10" t="s">
        <v>162</v>
      </c>
      <c r="F28" s="10" t="s">
        <v>163</v>
      </c>
      <c r="G28" s="10" t="s">
        <v>164</v>
      </c>
      <c r="H28" s="10"/>
      <c r="I28" s="10"/>
    </row>
    <row r="29" customFormat="false" ht="15" hidden="false" customHeight="false" outlineLevel="0" collapsed="false">
      <c r="A29" s="10" t="s">
        <v>165</v>
      </c>
      <c r="B29" s="10" t="s">
        <v>166</v>
      </c>
      <c r="C29" s="10" t="s">
        <v>20</v>
      </c>
      <c r="D29" s="10" t="s">
        <v>20</v>
      </c>
      <c r="E29" s="10" t="s">
        <v>167</v>
      </c>
      <c r="F29" s="10" t="s">
        <v>151</v>
      </c>
      <c r="G29" s="10" t="s">
        <v>168</v>
      </c>
      <c r="H29" s="10"/>
      <c r="I29" s="10"/>
    </row>
    <row r="30" customFormat="false" ht="15" hidden="false" customHeight="false" outlineLevel="0" collapsed="false">
      <c r="A30" s="10" t="s">
        <v>169</v>
      </c>
      <c r="B30" s="10" t="s">
        <v>170</v>
      </c>
      <c r="C30" s="10" t="s">
        <v>20</v>
      </c>
      <c r="D30" s="10" t="s">
        <v>20</v>
      </c>
      <c r="E30" s="10" t="s">
        <v>167</v>
      </c>
      <c r="F30" s="10" t="s">
        <v>151</v>
      </c>
      <c r="G30" s="10" t="s">
        <v>168</v>
      </c>
      <c r="H30" s="10"/>
      <c r="I30" s="10"/>
    </row>
    <row r="31" customFormat="false" ht="15" hidden="false" customHeight="false" outlineLevel="0" collapsed="false">
      <c r="A31" s="10" t="s">
        <v>171</v>
      </c>
      <c r="B31" s="10" t="s">
        <v>172</v>
      </c>
      <c r="C31" s="12" t="n">
        <v>0.01</v>
      </c>
      <c r="D31" s="35" t="n">
        <v>0.01</v>
      </c>
      <c r="E31" s="10" t="s">
        <v>173</v>
      </c>
      <c r="F31" s="10" t="s">
        <v>151</v>
      </c>
      <c r="G31" s="10" t="s">
        <v>174</v>
      </c>
      <c r="H31" s="10"/>
      <c r="I31" s="10"/>
    </row>
    <row r="32" customFormat="false" ht="15" hidden="false" customHeight="false" outlineLevel="0" collapsed="false">
      <c r="A32" s="10" t="s">
        <v>175</v>
      </c>
      <c r="B32" s="10" t="s">
        <v>38</v>
      </c>
      <c r="C32" s="10" t="s">
        <v>28</v>
      </c>
      <c r="D32" s="10" t="s">
        <v>28</v>
      </c>
      <c r="E32" s="10" t="s">
        <v>28</v>
      </c>
      <c r="F32" s="10" t="s">
        <v>159</v>
      </c>
      <c r="G32" s="10" t="s">
        <v>176</v>
      </c>
      <c r="H32" s="10"/>
      <c r="I32" s="10"/>
    </row>
  </sheetData>
  <autoFilter ref="A6:I12"/>
  <mergeCells count="5">
    <mergeCell ref="A1:I1"/>
    <mergeCell ref="A2:I2"/>
    <mergeCell ref="A4:I4"/>
    <mergeCell ref="A15:I15"/>
    <mergeCell ref="A22:I22"/>
  </mergeCells>
  <dataValidations count="2">
    <dataValidation allowBlank="false" error="Select Pending, Approved or Rejected." errorStyle="stop" errorTitle="Invalid decision" operator="between" showDropDown="false" showErrorMessage="false" showInputMessage="false" sqref="E18" type="list">
      <formula1>"Pending,Approved,Rejected"</formula1>
      <formula2>0</formula2>
    </dataValidation>
    <dataValidation allowBlank="false" error="Enter a non-negative number." errorStyle="stop" operator="greaterThanOrEqual" showDropDown="false" showErrorMessage="false" showInputMessage="false" sqref="E7:E10 D18 D25:D26 D28 D3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&amp;ROctober 2024 Revision A | Current review</oddHeader>
    <oddFooter>&amp;CPage &amp;P of &amp;N&amp;RMunicipal Building, The Moor, Falmouth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3"/>
    <col collapsed="false" customWidth="true" hidden="false" outlineLevel="0" max="7" min="7" style="0" width="21"/>
    <col collapsed="false" customWidth="true" hidden="false" outlineLevel="0" max="8" min="8" style="0" width="31"/>
  </cols>
  <sheetData>
    <row r="1" customFormat="false" ht="33.75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178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8" t="s">
        <v>179</v>
      </c>
      <c r="B4" s="8"/>
      <c r="C4" s="8"/>
      <c r="D4" s="8"/>
      <c r="E4" s="8"/>
      <c r="F4" s="8"/>
      <c r="G4" s="8"/>
      <c r="H4" s="8"/>
    </row>
    <row r="6" customFormat="false" ht="30" hidden="false" customHeight="true" outlineLevel="0" collapsed="false">
      <c r="A6" s="9" t="s">
        <v>180</v>
      </c>
      <c r="B6" s="9" t="s">
        <v>181</v>
      </c>
      <c r="C6" s="9" t="s">
        <v>182</v>
      </c>
      <c r="D6" s="9" t="s">
        <v>183</v>
      </c>
      <c r="E6" s="9" t="s">
        <v>10</v>
      </c>
      <c r="F6" s="9" t="s">
        <v>184</v>
      </c>
      <c r="G6" s="9" t="s">
        <v>185</v>
      </c>
      <c r="H6" s="9" t="s">
        <v>139</v>
      </c>
    </row>
    <row r="7" customFormat="false" ht="15" hidden="false" customHeight="false" outlineLevel="0" collapsed="false">
      <c r="A7" s="10" t="s">
        <v>186</v>
      </c>
      <c r="B7" s="10" t="s">
        <v>187</v>
      </c>
      <c r="C7" s="29" t="n">
        <v>1430225</v>
      </c>
      <c r="D7" s="29" t="n">
        <f aca="false">'Cost Breakdown'!D22</f>
        <v>1430225</v>
      </c>
      <c r="E7" s="29" t="n">
        <f aca="false">'Cost Breakdown'!E22</f>
        <v>1456225</v>
      </c>
      <c r="F7" s="29" t="n">
        <f aca="false">E7</f>
        <v>1456225</v>
      </c>
      <c r="G7" s="29" t="n">
        <f aca="false">IF(AND(ISNUMBER(E7),ISNUMBER(D7)),E7-D7,"-")</f>
        <v>26000</v>
      </c>
      <c r="H7" s="10" t="s">
        <v>61</v>
      </c>
    </row>
    <row r="8" customFormat="false" ht="15" hidden="false" customHeight="false" outlineLevel="0" collapsed="false">
      <c r="A8" s="10" t="s">
        <v>188</v>
      </c>
      <c r="B8" s="10" t="s">
        <v>189</v>
      </c>
      <c r="C8" s="29" t="s">
        <v>20</v>
      </c>
      <c r="D8" s="29" t="n">
        <v>0</v>
      </c>
      <c r="E8" s="29" t="n">
        <f aca="false">'Review Inputs'!F18</f>
        <v>0</v>
      </c>
      <c r="F8" s="29" t="n">
        <f aca="false">'Review Inputs'!F18+'Review Inputs'!G18</f>
        <v>18000</v>
      </c>
      <c r="G8" s="29" t="n">
        <f aca="false">IF(AND(ISNUMBER(E8),ISNUMBER(D8)),E8-D8,"-")</f>
        <v>0</v>
      </c>
      <c r="H8" s="10" t="s">
        <v>30</v>
      </c>
    </row>
    <row r="9" customFormat="false" ht="15" hidden="false" customHeight="false" outlineLevel="0" collapsed="false">
      <c r="A9" s="36" t="s">
        <v>190</v>
      </c>
      <c r="B9" s="36" t="s">
        <v>191</v>
      </c>
      <c r="C9" s="37" t="n">
        <v>1430225</v>
      </c>
      <c r="D9" s="37" t="n">
        <f aca="false">D7+D8</f>
        <v>1430225</v>
      </c>
      <c r="E9" s="37" t="n">
        <f aca="false">E7+E8</f>
        <v>1456225</v>
      </c>
      <c r="F9" s="37" t="n">
        <f aca="false">F7+F8</f>
        <v>1474225</v>
      </c>
      <c r="G9" s="37" t="n">
        <f aca="false">IF(AND(ISNUMBER(E9),ISNUMBER(D9)),E9-D9,"-")</f>
        <v>26000</v>
      </c>
      <c r="H9" s="36" t="s">
        <v>151</v>
      </c>
    </row>
    <row r="10" customFormat="false" ht="15" hidden="false" customHeight="false" outlineLevel="0" collapsed="false">
      <c r="A10" s="10" t="s">
        <v>192</v>
      </c>
      <c r="B10" s="10" t="s">
        <v>150</v>
      </c>
      <c r="C10" s="29" t="n">
        <v>182800</v>
      </c>
      <c r="D10" s="29" t="n">
        <f aca="false">'Review Inputs'!C25</f>
        <v>182800</v>
      </c>
      <c r="E10" s="29" t="n">
        <f aca="false">'Review Inputs'!D25</f>
        <v>182800</v>
      </c>
      <c r="F10" s="29" t="n">
        <f aca="false">'Review Inputs'!D25</f>
        <v>182800</v>
      </c>
      <c r="G10" s="29" t="n">
        <f aca="false">IF(AND(ISNUMBER(E10),ISNUMBER(D10)),E10-D10,"-")</f>
        <v>0</v>
      </c>
      <c r="H10" s="10" t="s">
        <v>151</v>
      </c>
    </row>
    <row r="11" customFormat="false" ht="15" hidden="false" customHeight="false" outlineLevel="0" collapsed="false">
      <c r="A11" s="10" t="s">
        <v>193</v>
      </c>
      <c r="B11" s="10" t="s">
        <v>194</v>
      </c>
      <c r="C11" s="29"/>
      <c r="D11" s="29" t="n">
        <f aca="false">D9+D10</f>
        <v>1613025</v>
      </c>
      <c r="E11" s="29" t="n">
        <f aca="false">E9+E10</f>
        <v>1639025</v>
      </c>
      <c r="F11" s="29" t="n">
        <f aca="false">F9+F10</f>
        <v>1657025</v>
      </c>
      <c r="G11" s="29" t="n">
        <f aca="false">IF(AND(ISNUMBER(E11),ISNUMBER(D11)),E11-D11,"-")</f>
        <v>26000</v>
      </c>
      <c r="H11" s="10" t="s">
        <v>195</v>
      </c>
    </row>
    <row r="12" customFormat="false" ht="15" hidden="false" customHeight="false" outlineLevel="0" collapsed="false">
      <c r="A12" s="10" t="s">
        <v>196</v>
      </c>
      <c r="B12" s="10" t="s">
        <v>197</v>
      </c>
      <c r="C12" s="29" t="n">
        <v>161303</v>
      </c>
      <c r="D12" s="29" t="n">
        <f aca="false">D11*'Review Inputs'!C26</f>
        <v>161302.5</v>
      </c>
      <c r="E12" s="29" t="n">
        <f aca="false">E11*'Review Inputs'!D26</f>
        <v>163902.5</v>
      </c>
      <c r="F12" s="29" t="n">
        <f aca="false">F11*'Review Inputs'!D26</f>
        <v>165702.5</v>
      </c>
      <c r="G12" s="29" t="n">
        <f aca="false">IF(AND(ISNUMBER(E12),ISNUMBER(D12)),E12-D12,"-")</f>
        <v>2600</v>
      </c>
      <c r="H12" s="10" t="s">
        <v>151</v>
      </c>
    </row>
    <row r="13" customFormat="false" ht="15" hidden="false" customHeight="false" outlineLevel="0" collapsed="false">
      <c r="A13" s="36" t="s">
        <v>198</v>
      </c>
      <c r="B13" s="36" t="s">
        <v>199</v>
      </c>
      <c r="C13" s="37" t="n">
        <v>1774328</v>
      </c>
      <c r="D13" s="37" t="n">
        <f aca="false">D11+D12</f>
        <v>1774327.5</v>
      </c>
      <c r="E13" s="37" t="n">
        <f aca="false">E11+E12</f>
        <v>1802927.5</v>
      </c>
      <c r="F13" s="37" t="n">
        <f aca="false">F11+F12</f>
        <v>1822727.5</v>
      </c>
      <c r="G13" s="37" t="n">
        <f aca="false">IF(AND(ISNUMBER(E13),ISNUMBER(D13)),E13-D13,"-")</f>
        <v>28600</v>
      </c>
      <c r="H13" s="36" t="s">
        <v>151</v>
      </c>
    </row>
    <row r="14" customFormat="false" ht="15" hidden="false" customHeight="false" outlineLevel="0" collapsed="false">
      <c r="A14" s="10" t="s">
        <v>200</v>
      </c>
      <c r="B14" s="10" t="s">
        <v>28</v>
      </c>
      <c r="C14" s="29" t="s">
        <v>28</v>
      </c>
      <c r="D14" s="29" t="s">
        <v>28</v>
      </c>
      <c r="E14" s="29" t="s">
        <v>28</v>
      </c>
      <c r="F14" s="29" t="s">
        <v>28</v>
      </c>
      <c r="G14" s="29" t="str">
        <f aca="false">IF(AND(ISNUMBER(E14),ISNUMBER(D14)),E14-D14,"-")</f>
        <v>-</v>
      </c>
      <c r="H14" s="10" t="s">
        <v>159</v>
      </c>
    </row>
    <row r="15" customFormat="false" ht="15" hidden="false" customHeight="false" outlineLevel="0" collapsed="false">
      <c r="A15" s="36" t="s">
        <v>201</v>
      </c>
      <c r="B15" s="36" t="s">
        <v>202</v>
      </c>
      <c r="C15" s="37" t="n">
        <v>1774328</v>
      </c>
      <c r="D15" s="37" t="n">
        <f aca="false">D13</f>
        <v>1774327.5</v>
      </c>
      <c r="E15" s="37" t="n">
        <f aca="false">E13</f>
        <v>1802927.5</v>
      </c>
      <c r="F15" s="37" t="n">
        <f aca="false">F13</f>
        <v>1822727.5</v>
      </c>
      <c r="G15" s="37" t="n">
        <f aca="false">IF(AND(ISNUMBER(E15),ISNUMBER(D15)),E15-D15,"-")</f>
        <v>28600</v>
      </c>
      <c r="H15" s="36" t="s">
        <v>151</v>
      </c>
    </row>
    <row r="16" customFormat="false" ht="15" hidden="false" customHeight="false" outlineLevel="0" collapsed="false">
      <c r="A16" s="10" t="s">
        <v>203</v>
      </c>
      <c r="B16" s="10" t="s">
        <v>25</v>
      </c>
      <c r="C16" s="29" t="n">
        <v>177433</v>
      </c>
      <c r="D16" s="29" t="n">
        <f aca="false">D15*'Review Inputs'!C28</f>
        <v>177432.75</v>
      </c>
      <c r="E16" s="29" t="n">
        <f aca="false">E15*'Review Inputs'!D28</f>
        <v>216351.3</v>
      </c>
      <c r="F16" s="29" t="n">
        <f aca="false">F15*'Review Inputs'!D28</f>
        <v>218727.3</v>
      </c>
      <c r="G16" s="29" t="n">
        <f aca="false">IF(AND(ISNUMBER(E16),ISNUMBER(D16)),E16-D16,"-")</f>
        <v>38918.55</v>
      </c>
      <c r="H16" s="10" t="s">
        <v>163</v>
      </c>
    </row>
    <row r="17" customFormat="false" ht="15" hidden="false" customHeight="false" outlineLevel="0" collapsed="false">
      <c r="A17" s="10" t="s">
        <v>204</v>
      </c>
      <c r="B17" s="10" t="s">
        <v>205</v>
      </c>
      <c r="C17" s="29" t="s">
        <v>20</v>
      </c>
      <c r="D17" s="29" t="s">
        <v>20</v>
      </c>
      <c r="E17" s="29" t="s">
        <v>20</v>
      </c>
      <c r="F17" s="29" t="s">
        <v>20</v>
      </c>
      <c r="G17" s="29" t="str">
        <f aca="false">IF(AND(ISNUMBER(E17),ISNUMBER(D17)),E17-D17,"-")</f>
        <v>-</v>
      </c>
      <c r="H17" s="10" t="s">
        <v>151</v>
      </c>
    </row>
    <row r="18" customFormat="false" ht="15" hidden="false" customHeight="false" outlineLevel="0" collapsed="false">
      <c r="A18" s="10" t="s">
        <v>206</v>
      </c>
      <c r="B18" s="10" t="s">
        <v>205</v>
      </c>
      <c r="C18" s="29" t="s">
        <v>20</v>
      </c>
      <c r="D18" s="29" t="s">
        <v>20</v>
      </c>
      <c r="E18" s="29" t="s">
        <v>20</v>
      </c>
      <c r="F18" s="29" t="s">
        <v>20</v>
      </c>
      <c r="G18" s="29" t="str">
        <f aca="false">IF(AND(ISNUMBER(E18),ISNUMBER(D18)),E18-D18,"-")</f>
        <v>-</v>
      </c>
      <c r="H18" s="10" t="s">
        <v>151</v>
      </c>
    </row>
    <row r="19" customFormat="false" ht="15" hidden="false" customHeight="false" outlineLevel="0" collapsed="false">
      <c r="A19" s="22" t="s">
        <v>207</v>
      </c>
      <c r="B19" s="22" t="s">
        <v>208</v>
      </c>
      <c r="C19" s="38" t="n">
        <v>1951760</v>
      </c>
      <c r="D19" s="38" t="n">
        <f aca="false">D15+D16</f>
        <v>1951760.25</v>
      </c>
      <c r="E19" s="38" t="n">
        <f aca="false">E15+E16</f>
        <v>2019278.8</v>
      </c>
      <c r="F19" s="38" t="n">
        <f aca="false">F15+F16</f>
        <v>2041454.8</v>
      </c>
      <c r="G19" s="38" t="n">
        <f aca="false">IF(AND(ISNUMBER(E19),ISNUMBER(D19)),E19-D19,"-")</f>
        <v>67518.5500000001</v>
      </c>
      <c r="H19" s="22" t="s">
        <v>151</v>
      </c>
    </row>
    <row r="20" customFormat="false" ht="15" hidden="false" customHeight="false" outlineLevel="0" collapsed="false">
      <c r="A20" s="10" t="s">
        <v>209</v>
      </c>
      <c r="B20" s="10" t="s">
        <v>210</v>
      </c>
      <c r="C20" s="29" t="n">
        <v>19518</v>
      </c>
      <c r="D20" s="29" t="n">
        <f aca="false">D19*'Review Inputs'!C31</f>
        <v>19517.6025</v>
      </c>
      <c r="E20" s="29" t="n">
        <f aca="false">E19*'Review Inputs'!D31</f>
        <v>20192.788</v>
      </c>
      <c r="F20" s="29" t="n">
        <f aca="false">F19*'Review Inputs'!D31</f>
        <v>20414.548</v>
      </c>
      <c r="G20" s="29" t="n">
        <f aca="false">IF(AND(ISNUMBER(E20),ISNUMBER(D20)),E20-D20,"-")</f>
        <v>675.1855</v>
      </c>
      <c r="H20" s="10" t="s">
        <v>151</v>
      </c>
    </row>
    <row r="21" customFormat="false" ht="15" hidden="false" customHeight="false" outlineLevel="0" collapsed="false">
      <c r="A21" s="22" t="s">
        <v>211</v>
      </c>
      <c r="B21" s="22" t="s">
        <v>212</v>
      </c>
      <c r="C21" s="38" t="n">
        <v>1971278</v>
      </c>
      <c r="D21" s="38" t="n">
        <f aca="false">D19+D20</f>
        <v>1971277.8525</v>
      </c>
      <c r="E21" s="38" t="n">
        <f aca="false">E19+E20</f>
        <v>2039471.588</v>
      </c>
      <c r="F21" s="38" t="n">
        <f aca="false">F19+F20</f>
        <v>2061869.348</v>
      </c>
      <c r="G21" s="38" t="n">
        <f aca="false">IF(AND(ISNUMBER(E21),ISNUMBER(D21)),E21-D21,"-")</f>
        <v>68193.7355</v>
      </c>
      <c r="H21" s="22" t="s">
        <v>213</v>
      </c>
    </row>
    <row r="23" customFormat="false" ht="15" hidden="false" customHeight="false" outlineLevel="0" collapsed="false">
      <c r="A23" s="10" t="s">
        <v>214</v>
      </c>
      <c r="B23" s="10" t="s">
        <v>215</v>
      </c>
      <c r="C23" s="10"/>
      <c r="D23" s="39" t="n">
        <f aca="false">D21</f>
        <v>1971277.8525</v>
      </c>
      <c r="E23" s="10" t="s">
        <v>216</v>
      </c>
      <c r="F23" s="39" t="n">
        <f aca="false">C21-D21</f>
        <v>0.147499999962747</v>
      </c>
      <c r="G23" s="10"/>
      <c r="H23" s="10" t="s">
        <v>217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&amp;ROctober 2024 Revision A | Current review</oddHeader>
    <oddFooter>&amp;CPage &amp;P of &amp;N&amp;RMunicipal Building, The Moor, Falmouth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48"/>
  </cols>
  <sheetData>
    <row r="1" customFormat="false" ht="33.75" hidden="false" customHeight="true" outlineLevel="0" collapsed="false">
      <c r="A1" s="1" t="s">
        <v>218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219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8" t="s">
        <v>220</v>
      </c>
      <c r="B4" s="8"/>
      <c r="C4" s="8"/>
      <c r="D4" s="8"/>
      <c r="E4" s="8"/>
      <c r="F4" s="8"/>
    </row>
    <row r="6" customFormat="false" ht="30" hidden="false" customHeight="true" outlineLevel="0" collapsed="false">
      <c r="A6" s="9" t="s">
        <v>221</v>
      </c>
      <c r="B6" s="9" t="s">
        <v>222</v>
      </c>
      <c r="C6" s="9" t="s">
        <v>11</v>
      </c>
      <c r="D6" s="9" t="s">
        <v>223</v>
      </c>
      <c r="E6" s="9" t="s">
        <v>224</v>
      </c>
      <c r="F6" s="9" t="s">
        <v>225</v>
      </c>
    </row>
    <row r="7" customFormat="false" ht="15" hidden="false" customHeight="false" outlineLevel="0" collapsed="false">
      <c r="A7" s="10" t="s">
        <v>226</v>
      </c>
      <c r="B7" s="10" t="s">
        <v>227</v>
      </c>
      <c r="C7" s="11" t="n">
        <f aca="false">'Working Calculation'!C21</f>
        <v>1971278</v>
      </c>
      <c r="D7" s="11" t="n">
        <f aca="false">C7</f>
        <v>1971278</v>
      </c>
      <c r="E7" s="10" t="s">
        <v>151</v>
      </c>
      <c r="F7" s="10" t="s">
        <v>228</v>
      </c>
    </row>
    <row r="8" customFormat="false" ht="15" hidden="false" customHeight="false" outlineLevel="0" collapsed="false">
      <c r="A8" s="10" t="s">
        <v>229</v>
      </c>
      <c r="B8" s="10" t="s">
        <v>230</v>
      </c>
      <c r="C8" s="39" t="n">
        <f aca="false">'Working Calculation'!D21-'Working Calculation'!C21</f>
        <v>-0.147499999962747</v>
      </c>
      <c r="D8" s="11" t="n">
        <f aca="false">D7+C8</f>
        <v>1971277.8525</v>
      </c>
      <c r="E8" s="10" t="s">
        <v>231</v>
      </c>
      <c r="F8" s="10" t="s">
        <v>232</v>
      </c>
    </row>
    <row r="9" customFormat="false" ht="15" hidden="false" customHeight="false" outlineLevel="0" collapsed="false">
      <c r="A9" s="10" t="s">
        <v>233</v>
      </c>
      <c r="B9" s="10" t="s">
        <v>234</v>
      </c>
      <c r="C9" s="11" t="n">
        <f aca="false">'Cost Breakdown'!E22-'Cost Breakdown'!D22</f>
        <v>26000</v>
      </c>
      <c r="D9" s="11" t="n">
        <f aca="false">D8+C9</f>
        <v>1997277.8525</v>
      </c>
      <c r="E9" s="10" t="s">
        <v>187</v>
      </c>
      <c r="F9" s="10" t="s">
        <v>235</v>
      </c>
    </row>
    <row r="10" customFormat="false" ht="15" hidden="false" customHeight="false" outlineLevel="0" collapsed="false">
      <c r="A10" s="10" t="s">
        <v>236</v>
      </c>
      <c r="B10" s="10" t="s">
        <v>237</v>
      </c>
      <c r="C10" s="11" t="n">
        <f aca="false">'Review Inputs'!F18</f>
        <v>0</v>
      </c>
      <c r="D10" s="11" t="n">
        <f aca="false">D9+C10</f>
        <v>1997277.8525</v>
      </c>
      <c r="E10" s="10" t="s">
        <v>30</v>
      </c>
      <c r="F10" s="10" t="s">
        <v>238</v>
      </c>
    </row>
    <row r="11" customFormat="false" ht="15" hidden="false" customHeight="false" outlineLevel="0" collapsed="false">
      <c r="A11" s="10" t="s">
        <v>239</v>
      </c>
      <c r="B11" s="10" t="s">
        <v>240</v>
      </c>
      <c r="C11" s="11" t="n">
        <f aca="false">'Review Inputs'!D25-'Review Inputs'!C25</f>
        <v>0</v>
      </c>
      <c r="D11" s="11" t="n">
        <f aca="false">D10+C11</f>
        <v>1997277.8525</v>
      </c>
      <c r="E11" s="10" t="s">
        <v>241</v>
      </c>
      <c r="F11" s="10" t="s">
        <v>242</v>
      </c>
    </row>
    <row r="12" customFormat="false" ht="15" hidden="false" customHeight="false" outlineLevel="0" collapsed="false">
      <c r="A12" s="10" t="s">
        <v>243</v>
      </c>
      <c r="B12" s="10" t="s">
        <v>244</v>
      </c>
      <c r="C12" s="11" t="n">
        <f aca="false">'Working Calculation'!E12-'Working Calculation'!D12</f>
        <v>2600</v>
      </c>
      <c r="D12" s="11" t="n">
        <f aca="false">D11+C12</f>
        <v>1999877.8525</v>
      </c>
      <c r="E12" s="10" t="s">
        <v>231</v>
      </c>
      <c r="F12" s="10" t="s">
        <v>245</v>
      </c>
    </row>
    <row r="13" customFormat="false" ht="15" hidden="false" customHeight="false" outlineLevel="0" collapsed="false">
      <c r="A13" s="10" t="s">
        <v>246</v>
      </c>
      <c r="B13" s="10" t="s">
        <v>247</v>
      </c>
      <c r="C13" s="11" t="n">
        <f aca="false">'Working Calculation'!E16-'Working Calculation'!D16</f>
        <v>38918.55</v>
      </c>
      <c r="D13" s="11" t="n">
        <f aca="false">D12+C13</f>
        <v>2038796.4025</v>
      </c>
      <c r="E13" s="10" t="s">
        <v>26</v>
      </c>
      <c r="F13" s="10" t="s">
        <v>248</v>
      </c>
    </row>
    <row r="14" customFormat="false" ht="15" hidden="false" customHeight="false" outlineLevel="0" collapsed="false">
      <c r="A14" s="10" t="s">
        <v>249</v>
      </c>
      <c r="B14" s="10" t="s">
        <v>250</v>
      </c>
      <c r="C14" s="11" t="n">
        <f aca="false">'Working Calculation'!E20-'Working Calculation'!D20</f>
        <v>675.1855</v>
      </c>
      <c r="D14" s="11" t="n">
        <f aca="false">D13+C14</f>
        <v>2039471.588</v>
      </c>
      <c r="E14" s="10" t="s">
        <v>231</v>
      </c>
      <c r="F14" s="10" t="s">
        <v>251</v>
      </c>
    </row>
    <row r="15" customFormat="false" ht="15" hidden="false" customHeight="false" outlineLevel="0" collapsed="false">
      <c r="A15" s="22" t="s">
        <v>252</v>
      </c>
      <c r="B15" s="22" t="s">
        <v>253</v>
      </c>
      <c r="C15" s="24"/>
      <c r="D15" s="40" t="n">
        <f aca="false">D14</f>
        <v>2039471.588</v>
      </c>
      <c r="E15" s="40" t="n">
        <f aca="false">'Working Calculation'!E21</f>
        <v>2039471.588</v>
      </c>
      <c r="F15" s="22" t="s">
        <v>254</v>
      </c>
    </row>
    <row r="16" customFormat="false" ht="15" hidden="false" customHeight="false" outlineLevel="0" collapsed="false">
      <c r="A16" s="10" t="s">
        <v>40</v>
      </c>
      <c r="B16" s="10" t="s">
        <v>255</v>
      </c>
      <c r="C16" s="41" t="n">
        <f aca="false">D15-'Working Calculation'!E21</f>
        <v>0</v>
      </c>
      <c r="D16" s="11"/>
      <c r="E16" s="10"/>
      <c r="F16" s="10" t="s">
        <v>256</v>
      </c>
    </row>
    <row r="17" customFormat="false" ht="15" hidden="false" customHeight="false" outlineLevel="0" collapsed="false">
      <c r="A17" s="22" t="s">
        <v>257</v>
      </c>
      <c r="B17" s="22" t="s">
        <v>258</v>
      </c>
      <c r="C17" s="24"/>
      <c r="D17" s="24" t="n">
        <f aca="false">ROUND(D15,0)</f>
        <v>2039472</v>
      </c>
      <c r="E17" s="22"/>
      <c r="F17" s="22" t="s">
        <v>259</v>
      </c>
    </row>
    <row r="18" customFormat="false" ht="15" hidden="false" customHeight="false" outlineLevel="0" collapsed="false">
      <c r="A18" s="36" t="s">
        <v>260</v>
      </c>
      <c r="B18" s="36" t="s">
        <v>261</v>
      </c>
      <c r="C18" s="42" t="n">
        <f aca="false">D17-'Working Calculation'!C21</f>
        <v>68194</v>
      </c>
      <c r="D18" s="42"/>
      <c r="E18" s="36"/>
      <c r="F18" s="36" t="s">
        <v>262</v>
      </c>
    </row>
  </sheetData>
  <mergeCells count="3">
    <mergeCell ref="A1:F1"/>
    <mergeCell ref="A2:F2"/>
    <mergeCell ref="A4:F4"/>
  </mergeCells>
  <conditionalFormatting sqref="C1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&amp;ROctober 2024 Revision A | Current review</oddHeader>
    <oddFooter>&amp;CPage &amp;P of &amp;N&amp;RMunicipal Building, The Moor, Falmouth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tru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5"/>
    <col collapsed="false" customWidth="true" hidden="false" outlineLevel="0" max="4" min="4" style="0" width="23"/>
    <col collapsed="false" customWidth="true" hidden="false" outlineLevel="0" max="5" min="5" style="0" width="83"/>
    <col collapsed="false" customWidth="true" hidden="false" outlineLevel="0" max="6" min="6" style="0" width="58"/>
  </cols>
  <sheetData>
    <row r="1" customFormat="false" ht="33.75" hidden="false" customHeight="true" outlineLevel="0" collapsed="false">
      <c r="A1" s="1" t="s">
        <v>263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264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9" t="s">
        <v>265</v>
      </c>
      <c r="B4" s="9" t="s">
        <v>266</v>
      </c>
      <c r="C4" s="9" t="s">
        <v>267</v>
      </c>
      <c r="D4" s="9" t="s">
        <v>268</v>
      </c>
      <c r="E4" s="9" t="s">
        <v>269</v>
      </c>
      <c r="F4" s="9" t="s">
        <v>270</v>
      </c>
    </row>
    <row r="5" customFormat="false" ht="42" hidden="false" customHeight="true" outlineLevel="0" collapsed="false">
      <c r="A5" s="10" t="s">
        <v>151</v>
      </c>
      <c r="B5" s="43" t="s">
        <v>271</v>
      </c>
      <c r="C5" s="10" t="s">
        <v>272</v>
      </c>
      <c r="D5" s="10" t="s">
        <v>273</v>
      </c>
      <c r="E5" s="10" t="s">
        <v>274</v>
      </c>
      <c r="F5" s="10" t="s">
        <v>275</v>
      </c>
    </row>
    <row r="6" customFormat="false" ht="42" hidden="false" customHeight="true" outlineLevel="0" collapsed="false">
      <c r="A6" s="10" t="s">
        <v>276</v>
      </c>
      <c r="B6" s="43" t="s">
        <v>271</v>
      </c>
      <c r="C6" s="10" t="s">
        <v>277</v>
      </c>
      <c r="D6" s="10" t="s">
        <v>278</v>
      </c>
      <c r="E6" s="10" t="s">
        <v>279</v>
      </c>
      <c r="F6" s="10" t="s">
        <v>280</v>
      </c>
    </row>
    <row r="7" customFormat="false" ht="42" hidden="false" customHeight="true" outlineLevel="0" collapsed="false">
      <c r="A7" s="10" t="s">
        <v>113</v>
      </c>
      <c r="B7" s="43" t="s">
        <v>271</v>
      </c>
      <c r="C7" s="10" t="s">
        <v>281</v>
      </c>
      <c r="D7" s="10" t="s">
        <v>282</v>
      </c>
      <c r="E7" s="10" t="s">
        <v>283</v>
      </c>
      <c r="F7" s="10" t="s">
        <v>284</v>
      </c>
    </row>
    <row r="8" customFormat="false" ht="42" hidden="false" customHeight="true" outlineLevel="0" collapsed="false">
      <c r="A8" s="10" t="s">
        <v>61</v>
      </c>
      <c r="B8" s="43" t="s">
        <v>271</v>
      </c>
      <c r="C8" s="10" t="s">
        <v>285</v>
      </c>
      <c r="D8" s="10" t="s">
        <v>286</v>
      </c>
      <c r="E8" s="10" t="s">
        <v>287</v>
      </c>
      <c r="F8" s="10" t="s">
        <v>288</v>
      </c>
    </row>
    <row r="9" customFormat="false" ht="42" hidden="false" customHeight="true" outlineLevel="0" collapsed="false">
      <c r="A9" s="10" t="s">
        <v>18</v>
      </c>
      <c r="B9" s="43" t="s">
        <v>289</v>
      </c>
      <c r="C9" s="10" t="s">
        <v>290</v>
      </c>
      <c r="D9" s="10" t="s">
        <v>291</v>
      </c>
      <c r="E9" s="10" t="s">
        <v>292</v>
      </c>
      <c r="F9" s="10" t="s">
        <v>293</v>
      </c>
    </row>
    <row r="10" customFormat="false" ht="42" hidden="false" customHeight="true" outlineLevel="0" collapsed="false">
      <c r="A10" s="10" t="s">
        <v>26</v>
      </c>
      <c r="B10" s="43" t="s">
        <v>289</v>
      </c>
      <c r="C10" s="10" t="s">
        <v>294</v>
      </c>
      <c r="D10" s="10" t="s">
        <v>295</v>
      </c>
      <c r="E10" s="10" t="s">
        <v>296</v>
      </c>
      <c r="F10" s="10" t="s">
        <v>297</v>
      </c>
    </row>
    <row r="11" customFormat="false" ht="42" hidden="false" customHeight="true" outlineLevel="0" collapsed="false">
      <c r="A11" s="10" t="s">
        <v>30</v>
      </c>
      <c r="B11" s="43" t="s">
        <v>289</v>
      </c>
      <c r="C11" s="10" t="s">
        <v>298</v>
      </c>
      <c r="D11" s="10" t="s">
        <v>299</v>
      </c>
      <c r="E11" s="10" t="s">
        <v>300</v>
      </c>
      <c r="F11" s="10" t="s">
        <v>301</v>
      </c>
    </row>
    <row r="12" customFormat="false" ht="42" hidden="false" customHeight="true" outlineLevel="0" collapsed="false">
      <c r="A12" s="10" t="s">
        <v>302</v>
      </c>
      <c r="B12" s="43" t="s">
        <v>303</v>
      </c>
      <c r="C12" s="10" t="s">
        <v>304</v>
      </c>
      <c r="D12" s="10" t="s">
        <v>305</v>
      </c>
      <c r="E12" s="10" t="s">
        <v>306</v>
      </c>
      <c r="F12" s="10" t="s">
        <v>307</v>
      </c>
    </row>
    <row r="13" customFormat="false" ht="42" hidden="false" customHeight="true" outlineLevel="0" collapsed="false">
      <c r="A13" s="10" t="s">
        <v>308</v>
      </c>
      <c r="B13" s="43" t="s">
        <v>271</v>
      </c>
      <c r="C13" s="10" t="s">
        <v>309</v>
      </c>
      <c r="D13" s="10" t="s">
        <v>310</v>
      </c>
      <c r="E13" s="10" t="s">
        <v>311</v>
      </c>
      <c r="F13" s="10" t="s">
        <v>312</v>
      </c>
    </row>
    <row r="14" customFormat="false" ht="42" hidden="false" customHeight="true" outlineLevel="0" collapsed="false">
      <c r="A14" s="10" t="s">
        <v>313</v>
      </c>
      <c r="B14" s="43" t="s">
        <v>271</v>
      </c>
      <c r="C14" s="10" t="s">
        <v>309</v>
      </c>
      <c r="D14" s="10" t="s">
        <v>314</v>
      </c>
      <c r="E14" s="10" t="s">
        <v>315</v>
      </c>
      <c r="F14" s="10" t="s">
        <v>312</v>
      </c>
    </row>
    <row r="15" customFormat="false" ht="42" hidden="false" customHeight="true" outlineLevel="0" collapsed="false">
      <c r="A15" s="10" t="s">
        <v>316</v>
      </c>
      <c r="B15" s="43" t="s">
        <v>271</v>
      </c>
      <c r="C15" s="10" t="s">
        <v>309</v>
      </c>
      <c r="D15" s="10" t="s">
        <v>317</v>
      </c>
      <c r="E15" s="10" t="s">
        <v>318</v>
      </c>
      <c r="F15" s="10" t="s">
        <v>312</v>
      </c>
    </row>
    <row r="16" customFormat="false" ht="42" hidden="false" customHeight="true" outlineLevel="0" collapsed="false">
      <c r="A16" s="10" t="s">
        <v>319</v>
      </c>
      <c r="B16" s="43" t="s">
        <v>271</v>
      </c>
      <c r="C16" s="10" t="s">
        <v>309</v>
      </c>
      <c r="D16" s="10" t="s">
        <v>320</v>
      </c>
      <c r="E16" s="10" t="s">
        <v>321</v>
      </c>
      <c r="F16" s="10" t="s">
        <v>322</v>
      </c>
    </row>
    <row r="17" customFormat="false" ht="42" hidden="false" customHeight="true" outlineLevel="0" collapsed="false">
      <c r="A17" s="10" t="s">
        <v>323</v>
      </c>
      <c r="B17" s="43" t="s">
        <v>271</v>
      </c>
      <c r="C17" s="10" t="s">
        <v>309</v>
      </c>
      <c r="D17" s="10" t="s">
        <v>324</v>
      </c>
      <c r="E17" s="10" t="s">
        <v>325</v>
      </c>
      <c r="F17" s="10" t="s">
        <v>326</v>
      </c>
    </row>
    <row r="18" customFormat="false" ht="42" hidden="false" customHeight="true" outlineLevel="0" collapsed="false">
      <c r="A18" s="10" t="s">
        <v>327</v>
      </c>
      <c r="B18" s="43" t="s">
        <v>271</v>
      </c>
      <c r="C18" s="10" t="s">
        <v>328</v>
      </c>
      <c r="D18" s="10" t="s">
        <v>329</v>
      </c>
      <c r="E18" s="10" t="s">
        <v>330</v>
      </c>
      <c r="F18" s="10" t="s">
        <v>331</v>
      </c>
    </row>
    <row r="19" customFormat="false" ht="42" hidden="false" customHeight="true" outlineLevel="0" collapsed="false">
      <c r="A19" s="10" t="s">
        <v>332</v>
      </c>
      <c r="B19" s="43" t="s">
        <v>271</v>
      </c>
      <c r="C19" s="10" t="s">
        <v>328</v>
      </c>
      <c r="D19" s="10" t="s">
        <v>329</v>
      </c>
      <c r="E19" s="10" t="s">
        <v>333</v>
      </c>
      <c r="F19" s="10" t="s">
        <v>331</v>
      </c>
    </row>
    <row r="20" customFormat="false" ht="42" hidden="false" customHeight="true" outlineLevel="0" collapsed="false">
      <c r="A20" s="10" t="s">
        <v>334</v>
      </c>
      <c r="B20" s="43" t="s">
        <v>271</v>
      </c>
      <c r="C20" s="10" t="s">
        <v>328</v>
      </c>
      <c r="D20" s="10" t="s">
        <v>329</v>
      </c>
      <c r="E20" s="10" t="s">
        <v>335</v>
      </c>
      <c r="F20" s="10" t="s">
        <v>331</v>
      </c>
    </row>
    <row r="21" customFormat="false" ht="42" hidden="false" customHeight="true" outlineLevel="0" collapsed="false">
      <c r="A21" s="10" t="s">
        <v>336</v>
      </c>
      <c r="B21" s="43" t="s">
        <v>271</v>
      </c>
      <c r="C21" s="10" t="s">
        <v>328</v>
      </c>
      <c r="D21" s="10" t="s">
        <v>329</v>
      </c>
      <c r="E21" s="10" t="s">
        <v>337</v>
      </c>
      <c r="F21" s="10" t="s">
        <v>331</v>
      </c>
    </row>
    <row r="22" customFormat="false" ht="42" hidden="false" customHeight="true" outlineLevel="0" collapsed="false">
      <c r="A22" s="10" t="s">
        <v>338</v>
      </c>
      <c r="B22" s="43" t="s">
        <v>271</v>
      </c>
      <c r="C22" s="10" t="s">
        <v>328</v>
      </c>
      <c r="D22" s="10" t="s">
        <v>329</v>
      </c>
      <c r="E22" s="10" t="s">
        <v>339</v>
      </c>
      <c r="F22" s="10" t="s">
        <v>331</v>
      </c>
    </row>
    <row r="23" customFormat="false" ht="42" hidden="false" customHeight="true" outlineLevel="0" collapsed="false">
      <c r="A23" s="10" t="s">
        <v>340</v>
      </c>
      <c r="B23" s="43" t="s">
        <v>271</v>
      </c>
      <c r="C23" s="10" t="s">
        <v>328</v>
      </c>
      <c r="D23" s="10" t="s">
        <v>329</v>
      </c>
      <c r="E23" s="10" t="s">
        <v>341</v>
      </c>
      <c r="F23" s="10" t="s">
        <v>331</v>
      </c>
    </row>
    <row r="24" customFormat="false" ht="42" hidden="false" customHeight="true" outlineLevel="0" collapsed="false">
      <c r="A24" s="10" t="s">
        <v>342</v>
      </c>
      <c r="B24" s="43" t="s">
        <v>271</v>
      </c>
      <c r="C24" s="10" t="s">
        <v>328</v>
      </c>
      <c r="D24" s="10" t="s">
        <v>329</v>
      </c>
      <c r="E24" s="10" t="s">
        <v>343</v>
      </c>
      <c r="F24" s="10" t="s">
        <v>331</v>
      </c>
    </row>
    <row r="25" customFormat="false" ht="42" hidden="false" customHeight="true" outlineLevel="0" collapsed="false">
      <c r="A25" s="10" t="s">
        <v>344</v>
      </c>
      <c r="B25" s="43" t="s">
        <v>271</v>
      </c>
      <c r="C25" s="10" t="s">
        <v>328</v>
      </c>
      <c r="D25" s="10" t="s">
        <v>329</v>
      </c>
      <c r="E25" s="10" t="s">
        <v>345</v>
      </c>
      <c r="F25" s="10" t="s">
        <v>331</v>
      </c>
    </row>
    <row r="26" customFormat="false" ht="42" hidden="false" customHeight="true" outlineLevel="0" collapsed="false">
      <c r="A26" s="10" t="s">
        <v>346</v>
      </c>
      <c r="B26" s="43" t="s">
        <v>271</v>
      </c>
      <c r="C26" s="10" t="s">
        <v>328</v>
      </c>
      <c r="D26" s="10" t="s">
        <v>329</v>
      </c>
      <c r="E26" s="10" t="s">
        <v>347</v>
      </c>
      <c r="F26" s="10" t="s">
        <v>348</v>
      </c>
    </row>
    <row r="27" customFormat="false" ht="42" hidden="false" customHeight="true" outlineLevel="0" collapsed="false">
      <c r="A27" s="10" t="s">
        <v>349</v>
      </c>
      <c r="B27" s="43" t="s">
        <v>271</v>
      </c>
      <c r="C27" s="10" t="s">
        <v>328</v>
      </c>
      <c r="D27" s="10" t="s">
        <v>329</v>
      </c>
      <c r="E27" s="10" t="s">
        <v>350</v>
      </c>
      <c r="F27" s="10" t="s">
        <v>348</v>
      </c>
    </row>
    <row r="28" customFormat="false" ht="42" hidden="false" customHeight="true" outlineLevel="0" collapsed="false">
      <c r="A28" s="10" t="s">
        <v>351</v>
      </c>
      <c r="B28" s="43" t="s">
        <v>271</v>
      </c>
      <c r="C28" s="10" t="s">
        <v>328</v>
      </c>
      <c r="D28" s="10" t="s">
        <v>329</v>
      </c>
      <c r="E28" s="10" t="s">
        <v>352</v>
      </c>
      <c r="F28" s="10" t="s">
        <v>353</v>
      </c>
    </row>
    <row r="29" customFormat="false" ht="42" hidden="false" customHeight="true" outlineLevel="0" collapsed="false">
      <c r="A29" s="10" t="s">
        <v>354</v>
      </c>
      <c r="B29" s="43" t="s">
        <v>271</v>
      </c>
      <c r="C29" s="10" t="s">
        <v>328</v>
      </c>
      <c r="D29" s="10" t="s">
        <v>329</v>
      </c>
      <c r="E29" s="10" t="s">
        <v>355</v>
      </c>
      <c r="F29" s="10" t="s">
        <v>356</v>
      </c>
    </row>
    <row r="30" customFormat="false" ht="42" hidden="false" customHeight="true" outlineLevel="0" collapsed="false">
      <c r="A30" s="10" t="s">
        <v>357</v>
      </c>
      <c r="B30" s="43" t="s">
        <v>271</v>
      </c>
      <c r="C30" s="10" t="s">
        <v>328</v>
      </c>
      <c r="D30" s="10" t="s">
        <v>358</v>
      </c>
      <c r="E30" s="10" t="s">
        <v>359</v>
      </c>
      <c r="F30" s="10" t="s">
        <v>160</v>
      </c>
    </row>
    <row r="31" customFormat="false" ht="42" hidden="false" customHeight="true" outlineLevel="0" collapsed="false">
      <c r="A31" s="10" t="s">
        <v>360</v>
      </c>
      <c r="B31" s="43" t="s">
        <v>271</v>
      </c>
      <c r="C31" s="10" t="s">
        <v>328</v>
      </c>
      <c r="D31" s="10" t="s">
        <v>329</v>
      </c>
      <c r="E31" s="10" t="s">
        <v>361</v>
      </c>
      <c r="F31" s="10" t="s">
        <v>331</v>
      </c>
    </row>
    <row r="32" customFormat="false" ht="42" hidden="false" customHeight="true" outlineLevel="0" collapsed="false">
      <c r="A32" s="10" t="s">
        <v>362</v>
      </c>
      <c r="B32" s="43" t="s">
        <v>271</v>
      </c>
      <c r="C32" s="10" t="s">
        <v>363</v>
      </c>
      <c r="D32" s="10" t="s">
        <v>364</v>
      </c>
      <c r="E32" s="10" t="s">
        <v>365</v>
      </c>
      <c r="F32" s="10" t="s">
        <v>160</v>
      </c>
    </row>
    <row r="33" customFormat="false" ht="42" hidden="false" customHeight="true" outlineLevel="0" collapsed="false">
      <c r="A33" s="10" t="s">
        <v>366</v>
      </c>
      <c r="B33" s="43" t="s">
        <v>271</v>
      </c>
      <c r="C33" s="10" t="s">
        <v>367</v>
      </c>
      <c r="D33" s="10" t="s">
        <v>364</v>
      </c>
      <c r="E33" s="10" t="s">
        <v>368</v>
      </c>
      <c r="F33" s="10" t="s">
        <v>160</v>
      </c>
    </row>
    <row r="34" customFormat="false" ht="42" hidden="false" customHeight="true" outlineLevel="0" collapsed="false">
      <c r="A34" s="10" t="s">
        <v>369</v>
      </c>
      <c r="B34" s="43" t="s">
        <v>271</v>
      </c>
      <c r="C34" s="10" t="s">
        <v>370</v>
      </c>
      <c r="D34" s="10" t="s">
        <v>364</v>
      </c>
      <c r="E34" s="10" t="s">
        <v>371</v>
      </c>
      <c r="F34" s="10" t="s">
        <v>160</v>
      </c>
    </row>
    <row r="35" customFormat="false" ht="42" hidden="false" customHeight="true" outlineLevel="0" collapsed="false">
      <c r="A35" s="10" t="s">
        <v>372</v>
      </c>
      <c r="B35" s="43" t="s">
        <v>271</v>
      </c>
      <c r="C35" s="10" t="s">
        <v>373</v>
      </c>
      <c r="D35" s="10" t="s">
        <v>364</v>
      </c>
      <c r="E35" s="10" t="s">
        <v>374</v>
      </c>
      <c r="F35" s="10" t="s">
        <v>160</v>
      </c>
    </row>
    <row r="36" customFormat="false" ht="42" hidden="false" customHeight="true" outlineLevel="0" collapsed="false">
      <c r="A36" s="10" t="s">
        <v>375</v>
      </c>
      <c r="B36" s="43" t="s">
        <v>271</v>
      </c>
      <c r="C36" s="10" t="s">
        <v>376</v>
      </c>
      <c r="D36" s="10" t="s">
        <v>364</v>
      </c>
      <c r="E36" s="10" t="s">
        <v>377</v>
      </c>
      <c r="F36" s="10" t="s">
        <v>160</v>
      </c>
    </row>
    <row r="37" customFormat="false" ht="42" hidden="false" customHeight="true" outlineLevel="0" collapsed="false">
      <c r="A37" s="10" t="s">
        <v>378</v>
      </c>
      <c r="B37" s="43" t="s">
        <v>271</v>
      </c>
      <c r="C37" s="10" t="s">
        <v>379</v>
      </c>
      <c r="D37" s="10" t="s">
        <v>364</v>
      </c>
      <c r="E37" s="10" t="s">
        <v>380</v>
      </c>
      <c r="F37" s="10" t="s">
        <v>160</v>
      </c>
    </row>
    <row r="38" customFormat="false" ht="42" hidden="false" customHeight="true" outlineLevel="0" collapsed="false">
      <c r="A38" s="10" t="s">
        <v>381</v>
      </c>
      <c r="B38" s="43" t="s">
        <v>271</v>
      </c>
      <c r="C38" s="10" t="s">
        <v>382</v>
      </c>
      <c r="D38" s="10" t="s">
        <v>364</v>
      </c>
      <c r="E38" s="10" t="s">
        <v>383</v>
      </c>
      <c r="F38" s="10" t="s">
        <v>160</v>
      </c>
    </row>
    <row r="39" customFormat="false" ht="42" hidden="false" customHeight="true" outlineLevel="0" collapsed="false">
      <c r="A39" s="10" t="s">
        <v>384</v>
      </c>
      <c r="B39" s="43" t="s">
        <v>271</v>
      </c>
      <c r="C39" s="10" t="s">
        <v>385</v>
      </c>
      <c r="D39" s="10" t="s">
        <v>364</v>
      </c>
      <c r="E39" s="10" t="s">
        <v>386</v>
      </c>
      <c r="F39" s="10" t="s">
        <v>160</v>
      </c>
    </row>
    <row r="40" customFormat="false" ht="42" hidden="false" customHeight="true" outlineLevel="0" collapsed="false">
      <c r="A40" s="10" t="s">
        <v>387</v>
      </c>
      <c r="B40" s="43" t="s">
        <v>271</v>
      </c>
      <c r="C40" s="10" t="s">
        <v>388</v>
      </c>
      <c r="D40" s="10" t="s">
        <v>364</v>
      </c>
      <c r="E40" s="10" t="s">
        <v>389</v>
      </c>
      <c r="F40" s="10" t="s">
        <v>160</v>
      </c>
    </row>
    <row r="41" customFormat="false" ht="42" hidden="false" customHeight="true" outlineLevel="0" collapsed="false">
      <c r="A41" s="10" t="s">
        <v>390</v>
      </c>
      <c r="B41" s="43" t="s">
        <v>271</v>
      </c>
      <c r="C41" s="10" t="s">
        <v>391</v>
      </c>
      <c r="D41" s="10" t="s">
        <v>364</v>
      </c>
      <c r="E41" s="10" t="s">
        <v>392</v>
      </c>
      <c r="F41" s="10" t="s">
        <v>160</v>
      </c>
    </row>
    <row r="42" customFormat="false" ht="42" hidden="false" customHeight="true" outlineLevel="0" collapsed="false">
      <c r="A42" s="10" t="s">
        <v>393</v>
      </c>
      <c r="B42" s="43" t="s">
        <v>271</v>
      </c>
      <c r="C42" s="10" t="s">
        <v>394</v>
      </c>
      <c r="D42" s="10" t="s">
        <v>364</v>
      </c>
      <c r="E42" s="10" t="s">
        <v>395</v>
      </c>
      <c r="F42" s="10" t="s">
        <v>160</v>
      </c>
    </row>
    <row r="43" customFormat="false" ht="42" hidden="false" customHeight="true" outlineLevel="0" collapsed="false">
      <c r="A43" s="10" t="s">
        <v>396</v>
      </c>
      <c r="B43" s="43" t="s">
        <v>271</v>
      </c>
      <c r="C43" s="10" t="s">
        <v>397</v>
      </c>
      <c r="D43" s="10" t="s">
        <v>364</v>
      </c>
      <c r="E43" s="10" t="s">
        <v>398</v>
      </c>
      <c r="F43" s="10" t="s">
        <v>160</v>
      </c>
    </row>
    <row r="44" customFormat="false" ht="42" hidden="false" customHeight="true" outlineLevel="0" collapsed="false">
      <c r="A44" s="10" t="s">
        <v>399</v>
      </c>
      <c r="B44" s="43" t="s">
        <v>271</v>
      </c>
      <c r="C44" s="10" t="s">
        <v>400</v>
      </c>
      <c r="D44" s="10" t="s">
        <v>364</v>
      </c>
      <c r="E44" s="10" t="s">
        <v>401</v>
      </c>
      <c r="F44" s="10" t="s">
        <v>160</v>
      </c>
    </row>
    <row r="45" customFormat="false" ht="42" hidden="false" customHeight="true" outlineLevel="0" collapsed="false">
      <c r="A45" s="10" t="s">
        <v>402</v>
      </c>
      <c r="B45" s="43" t="s">
        <v>271</v>
      </c>
      <c r="C45" s="10" t="s">
        <v>403</v>
      </c>
      <c r="D45" s="10" t="s">
        <v>364</v>
      </c>
      <c r="E45" s="10" t="s">
        <v>404</v>
      </c>
      <c r="F45" s="10" t="s">
        <v>160</v>
      </c>
    </row>
    <row r="46" customFormat="false" ht="42" hidden="false" customHeight="true" outlineLevel="0" collapsed="false">
      <c r="A46" s="10" t="s">
        <v>405</v>
      </c>
      <c r="B46" s="43" t="s">
        <v>271</v>
      </c>
      <c r="C46" s="10" t="s">
        <v>406</v>
      </c>
      <c r="D46" s="10" t="s">
        <v>364</v>
      </c>
      <c r="E46" s="10" t="s">
        <v>407</v>
      </c>
      <c r="F46" s="10" t="s">
        <v>160</v>
      </c>
    </row>
    <row r="47" customFormat="false" ht="42" hidden="false" customHeight="true" outlineLevel="0" collapsed="false">
      <c r="A47" s="10" t="s">
        <v>408</v>
      </c>
      <c r="B47" s="43" t="s">
        <v>271</v>
      </c>
      <c r="C47" s="10" t="s">
        <v>409</v>
      </c>
      <c r="D47" s="10" t="s">
        <v>364</v>
      </c>
      <c r="E47" s="10" t="s">
        <v>410</v>
      </c>
      <c r="F47" s="10" t="s">
        <v>160</v>
      </c>
    </row>
    <row r="48" customFormat="false" ht="42" hidden="false" customHeight="true" outlineLevel="0" collapsed="false">
      <c r="A48" s="10" t="s">
        <v>411</v>
      </c>
      <c r="B48" s="43" t="s">
        <v>271</v>
      </c>
      <c r="C48" s="10" t="s">
        <v>412</v>
      </c>
      <c r="D48" s="10" t="s">
        <v>364</v>
      </c>
      <c r="E48" s="10" t="s">
        <v>413</v>
      </c>
      <c r="F48" s="10" t="s">
        <v>160</v>
      </c>
    </row>
    <row r="49" customFormat="false" ht="42" hidden="false" customHeight="true" outlineLevel="0" collapsed="false">
      <c r="A49" s="10" t="s">
        <v>414</v>
      </c>
      <c r="B49" s="43" t="s">
        <v>271</v>
      </c>
      <c r="C49" s="10" t="s">
        <v>415</v>
      </c>
      <c r="D49" s="10" t="s">
        <v>364</v>
      </c>
      <c r="E49" s="10" t="s">
        <v>416</v>
      </c>
      <c r="F49" s="10" t="s">
        <v>417</v>
      </c>
    </row>
    <row r="50" customFormat="false" ht="42" hidden="false" customHeight="true" outlineLevel="0" collapsed="false">
      <c r="A50" s="10" t="s">
        <v>418</v>
      </c>
      <c r="B50" s="43" t="s">
        <v>271</v>
      </c>
      <c r="C50" s="10" t="s">
        <v>419</v>
      </c>
      <c r="D50" s="10" t="s">
        <v>420</v>
      </c>
      <c r="E50" s="10" t="s">
        <v>421</v>
      </c>
      <c r="F50" s="10" t="s">
        <v>422</v>
      </c>
    </row>
    <row r="51" customFormat="false" ht="42" hidden="false" customHeight="true" outlineLevel="0" collapsed="false">
      <c r="A51" s="10" t="s">
        <v>423</v>
      </c>
      <c r="B51" s="43" t="s">
        <v>271</v>
      </c>
      <c r="C51" s="10" t="s">
        <v>424</v>
      </c>
      <c r="D51" s="10" t="s">
        <v>425</v>
      </c>
      <c r="E51" s="10" t="s">
        <v>426</v>
      </c>
      <c r="F51" s="10" t="s">
        <v>427</v>
      </c>
    </row>
  </sheetData>
  <autoFilter ref="A4:F51"/>
  <mergeCells count="2">
    <mergeCell ref="A1:F1"/>
    <mergeCell ref="A2:F2"/>
  </mergeCells>
  <hyperlinks>
    <hyperlink ref="B5" r:id="rId1" display="Falmouth_OCE_October2024_RevA.pdf"/>
    <hyperlink ref="B6" r:id="rId2" display="Falmouth_OCE_October2024_RevA.pdf"/>
    <hyperlink ref="B7" r:id="rId3" display="Falmouth_OCE_October2024_RevA.pdf"/>
    <hyperlink ref="B8" r:id="rId4" display="Falmouth_OCE_October2024_RevA.pdf"/>
    <hyperlink ref="B9" r:id="rId5" display="review_correspondence.md"/>
    <hyperlink ref="B10" r:id="rId6" display="review_correspondence.md"/>
    <hyperlink ref="B11" r:id="rId7" display="review_correspondence.md"/>
    <hyperlink ref="B12" r:id="rId8" display="review_brief.md"/>
    <hyperlink ref="B13" r:id="rId9" display="Falmouth_OCE_October2024_RevA.pdf"/>
    <hyperlink ref="B14" r:id="rId10" display="Falmouth_OCE_October2024_RevA.pdf"/>
    <hyperlink ref="B15" r:id="rId11" display="Falmouth_OCE_October2024_RevA.pdf"/>
    <hyperlink ref="B16" r:id="rId12" display="Falmouth_OCE_October2024_RevA.pdf"/>
    <hyperlink ref="B17" r:id="rId13" display="Falmouth_OCE_October2024_RevA.pdf"/>
    <hyperlink ref="B18" r:id="rId14" display="Falmouth_OCE_October2024_RevA.pdf"/>
    <hyperlink ref="B19" r:id="rId15" display="Falmouth_OCE_October2024_RevA.pdf"/>
    <hyperlink ref="B20" r:id="rId16" display="Falmouth_OCE_October2024_RevA.pdf"/>
    <hyperlink ref="B21" r:id="rId17" display="Falmouth_OCE_October2024_RevA.pdf"/>
    <hyperlink ref="B22" r:id="rId18" display="Falmouth_OCE_October2024_RevA.pdf"/>
    <hyperlink ref="B23" r:id="rId19" display="Falmouth_OCE_October2024_RevA.pdf"/>
    <hyperlink ref="B24" r:id="rId20" display="Falmouth_OCE_October2024_RevA.pdf"/>
    <hyperlink ref="B25" r:id="rId21" display="Falmouth_OCE_October2024_RevA.pdf"/>
    <hyperlink ref="B26" r:id="rId22" display="Falmouth_OCE_October2024_RevA.pdf"/>
    <hyperlink ref="B27" r:id="rId23" display="Falmouth_OCE_October2024_RevA.pdf"/>
    <hyperlink ref="B28" r:id="rId24" display="Falmouth_OCE_October2024_RevA.pdf"/>
    <hyperlink ref="B29" r:id="rId25" display="Falmouth_OCE_October2024_RevA.pdf"/>
    <hyperlink ref="B30" r:id="rId26" display="Falmouth_OCE_October2024_RevA.pdf"/>
    <hyperlink ref="B31" r:id="rId27" display="Falmouth_OCE_October2024_RevA.pdf"/>
    <hyperlink ref="B32" r:id="rId28" display="Falmouth_OCE_October2024_RevA.pdf"/>
    <hyperlink ref="B33" r:id="rId29" display="Falmouth_OCE_October2024_RevA.pdf"/>
    <hyperlink ref="B34" r:id="rId30" display="Falmouth_OCE_October2024_RevA.pdf"/>
    <hyperlink ref="B35" r:id="rId31" display="Falmouth_OCE_October2024_RevA.pdf"/>
    <hyperlink ref="B36" r:id="rId32" display="Falmouth_OCE_October2024_RevA.pdf"/>
    <hyperlink ref="B37" r:id="rId33" display="Falmouth_OCE_October2024_RevA.pdf"/>
    <hyperlink ref="B38" r:id="rId34" display="Falmouth_OCE_October2024_RevA.pdf"/>
    <hyperlink ref="B39" r:id="rId35" display="Falmouth_OCE_October2024_RevA.pdf"/>
    <hyperlink ref="B40" r:id="rId36" display="Falmouth_OCE_October2024_RevA.pdf"/>
    <hyperlink ref="B41" r:id="rId37" display="Falmouth_OCE_October2024_RevA.pdf"/>
    <hyperlink ref="B42" r:id="rId38" display="Falmouth_OCE_October2024_RevA.pdf"/>
    <hyperlink ref="B43" r:id="rId39" display="Falmouth_OCE_October2024_RevA.pdf"/>
    <hyperlink ref="B44" r:id="rId40" display="Falmouth_OCE_October2024_RevA.pdf"/>
    <hyperlink ref="B45" r:id="rId41" display="Falmouth_OCE_October2024_RevA.pdf"/>
    <hyperlink ref="B46" r:id="rId42" display="Falmouth_OCE_October2024_RevA.pdf"/>
    <hyperlink ref="B47" r:id="rId43" display="Falmouth_OCE_October2024_RevA.pdf"/>
    <hyperlink ref="B48" r:id="rId44" display="Falmouth_OCE_October2024_RevA.pdf"/>
    <hyperlink ref="B49" r:id="rId45" display="Falmouth_OCE_October2024_RevA.pdf"/>
    <hyperlink ref="B50" r:id="rId46" display="Falmouth_OCE_October2024_RevA.pdf"/>
    <hyperlink ref="B51" r:id="rId47" display="Falmouth_OCE_October2024_RevA.pdf"/>
  </hyperlink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&amp;ROctober 2024 Revision A | Current review</oddHeader>
    <oddFooter>&amp;CPage &amp;P of &amp;N&amp;RMunicipal Building, The Moor, Falmouth</oddFooter>
  </headerFooter>
  <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2026-09-05T23:54:20Z</dcterms:created>
  <dc:creator>OpenAI</dc:creator>
  <dc:description/>
  <dc:language>en-US</dc:language>
  <cp:lastModifiedBy/>
  <dcterms:modified xsi:type="dcterms:W3CDTF">2026-09-05T23:54:20Z</dcterms:modified>
  <cp:revision>0</cp:revision>
  <dc:subject>October 2024 Revision A estimate compared with current review position</dc:subject>
  <dc:title>Municipal Building, The Moor, Falmouth - Revised Cost Review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