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new6sheet20.xml" ContentType="application/vnd.openxmlformats-officedocument.spreadsheetml.worksheet+xml"/>
  <Override PartName="/xl/worksheets/new6sheet2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hidden"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hidden" r:id="rId20"/>
    <sheet name="Review summary" sheetId="19" state="visible" r:id="rId21"/>
    <sheet name="Adjacent case valuation" sheetId="20" r:id="rIdNEW620"/>
    <sheet name="Labelled case comparison" sheetId="21" r:id="rIdNEW6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fullCalcOnLoad="1" forceFullCalc="1" calcMode="auto"/>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<sst xmlns="http://schemas.openxmlformats.org/spreadsheetml/2006/main" count="1495" uniqueCount="803">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</sst>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 Id="rIdNEW620" Type="http://schemas.openxmlformats.org/officeDocument/2006/relationships/worksheet" Target="worksheets/new6sheet20.xml"/><Relationship Id="rIdNEW621" Type="http://schemas.openxmlformats.org/officeDocument/2006/relationships/worksheet" Target="worksheets/new6sheet21.xml"/></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new6sheet20.xml><?xml version="1.0" encoding="utf-8"?>
<worksheet xmlns="http://schemas.openxmlformats.org/spreadsheetml/2006/main">
  <sheetData>
    <row r="1">
      <c r="B1" t="inlineStr">
        <is>
          <t>Base year</t>
        </is>
      </c>
      <c r="C1">
        <v>1</v>
      </c>
      <c r="D1">
        <v>2</v>
      </c>
      <c r="E1">
        <v>3</v>
      </c>
      <c r="F1">
        <v>4</v>
      </c>
      <c r="G1">
        <v>5</v>
      </c>
      <c r="H1">
        <v>6</v>
      </c>
      <c r="I1">
        <v>7</v>
      </c>
      <c r="J1">
        <v>8</v>
      </c>
      <c r="K1">
        <v>9</v>
      </c>
      <c r="L1">
        <v>10</v>
      </c>
      <c r="M1" t="inlineStr">
        <is>
          <t>Terminal year</t>
        </is>
      </c>
      <c r="A1" t="inlineStr">
        <is>
          <t>BASE CASE</t>
        </is>
      </c>
      <c r="P1" t="inlineStr">
        <is>
          <t>Base year</t>
        </is>
      </c>
      <c r="Q1">
        <v>1</v>
      </c>
      <c r="R1">
        <v>2</v>
      </c>
      <c r="S1">
        <v>3</v>
      </c>
      <c r="T1">
        <v>4</v>
      </c>
      <c r="U1">
        <v>5</v>
      </c>
      <c r="V1">
        <v>6</v>
      </c>
      <c r="W1">
        <v>7</v>
      </c>
      <c r="X1">
        <v>8</v>
      </c>
      <c r="Y1">
        <v>9</v>
      </c>
      <c r="Z1">
        <v>10</v>
      </c>
      <c r="AA1" t="inlineStr">
        <is>
          <t>Terminal year</t>
        </is>
      </c>
      <c r="O1" t="inlineStr">
        <is>
          <t>REVIEW SCENARIO</t>
        </is>
      </c>
    </row>
    <row r="2">
      <c r="A2" t="inlineStr">
        <is>
          <t>Revenue growth rate</t>
        </is>
      </c>
      <c r="C2">
        <f>'Valuation output'!C2</f>
      </c>
      <c r="D2">
        <f>'Valuation output'!D2</f>
      </c>
      <c r="E2">
        <f>'Valuation output'!E2</f>
      </c>
      <c r="F2">
        <f>'Valuation output'!F2</f>
      </c>
      <c r="G2">
        <f>'Valuation output'!G2</f>
      </c>
      <c r="H2">
        <f>'Valuation output'!H2</f>
      </c>
      <c r="I2">
        <f>'Valuation output'!I2</f>
      </c>
      <c r="J2">
        <f>'Valuation output'!J2</f>
      </c>
      <c r="K2">
        <f>'Valuation output'!K2</f>
      </c>
      <c r="L2">
        <f>'Valuation output'!L2</f>
      </c>
      <c r="M2">
        <f>'Valuation output'!M2</f>
      </c>
      <c r="O2" t="inlineStr">
        <is>
          <t>Revenue growth rate</t>
        </is>
      </c>
      <c r="Q2">
        <f>'Review valuation'!C2</f>
      </c>
      <c r="R2">
        <f>'Review valuation'!D2</f>
      </c>
      <c r="S2">
        <f>'Review valuation'!E2</f>
      </c>
      <c r="T2">
        <f>'Review valuation'!F2</f>
      </c>
      <c r="U2">
        <f>'Review valuation'!G2</f>
      </c>
      <c r="V2">
        <f>'Review valuation'!H2</f>
      </c>
      <c r="W2">
        <f>'Review valuation'!I2</f>
      </c>
      <c r="X2">
        <f>'Review valuation'!J2</f>
      </c>
      <c r="Y2">
        <f>'Review valuation'!K2</f>
      </c>
      <c r="Z2">
        <f>'Review valuation'!L2</f>
      </c>
      <c r="AA2">
        <f>'Review valuation'!M2</f>
      </c>
    </row>
    <row r="3">
      <c r="A3" t="inlineStr">
        <is>
          <t>Revenues</t>
        </is>
      </c>
      <c r="B3">
        <f>'Valuation output'!B3</f>
      </c>
      <c r="C3">
        <f>'Valuation output'!C3</f>
      </c>
      <c r="D3">
        <f>'Valuation output'!D3</f>
      </c>
      <c r="E3">
        <f>'Valuation output'!E3</f>
      </c>
      <c r="F3">
        <f>'Valuation output'!F3</f>
      </c>
      <c r="G3">
        <f>'Valuation output'!G3</f>
      </c>
      <c r="H3">
        <f>'Valuation output'!H3</f>
      </c>
      <c r="I3">
        <f>'Valuation output'!I3</f>
      </c>
      <c r="J3">
        <f>'Valuation output'!J3</f>
      </c>
      <c r="K3">
        <f>'Valuation output'!K3</f>
      </c>
      <c r="L3">
        <f>'Valuation output'!L3</f>
      </c>
      <c r="M3">
        <f>'Valuation output'!M3</f>
      </c>
      <c r="O3" t="inlineStr">
        <is>
          <t>Revenues</t>
        </is>
      </c>
      <c r="P3">
        <f>'Review valuation'!B3</f>
      </c>
      <c r="Q3">
        <f>'Review valuation'!C3</f>
      </c>
      <c r="R3">
        <f>'Review valuation'!D3</f>
      </c>
      <c r="S3">
        <f>'Review valuation'!E3</f>
      </c>
      <c r="T3">
        <f>'Review valuation'!F3</f>
      </c>
      <c r="U3">
        <f>'Review valuation'!G3</f>
      </c>
      <c r="V3">
        <f>'Review valuation'!H3</f>
      </c>
      <c r="W3">
        <f>'Review valuation'!I3</f>
      </c>
      <c r="X3">
        <f>'Review valuation'!J3</f>
      </c>
      <c r="Y3">
        <f>'Review valuation'!K3</f>
      </c>
      <c r="Z3">
        <f>'Review valuation'!L3</f>
      </c>
      <c r="AA3">
        <f>'Review valuation'!M3</f>
      </c>
    </row>
    <row r="4">
      <c r="A4" t="inlineStr">
        <is>
          <t>EBIT (Operating) margin</t>
        </is>
      </c>
      <c r="B4">
        <f>'Valuation output'!B4</f>
      </c>
      <c r="C4">
        <f>'Valuation output'!C4</f>
      </c>
      <c r="D4">
        <f>'Valuation output'!D4</f>
      </c>
      <c r="E4">
        <f>'Valuation output'!E4</f>
      </c>
      <c r="F4">
        <f>'Valuation output'!F4</f>
      </c>
      <c r="G4">
        <f>'Valuation output'!G4</f>
      </c>
      <c r="H4">
        <f>'Valuation output'!H4</f>
      </c>
      <c r="I4">
        <f>'Valuation output'!I4</f>
      </c>
      <c r="J4">
        <f>'Valuation output'!J4</f>
      </c>
      <c r="K4">
        <f>'Valuation output'!K4</f>
      </c>
      <c r="L4">
        <f>'Valuation output'!L4</f>
      </c>
      <c r="M4">
        <f>'Valuation output'!M4</f>
      </c>
      <c r="O4" t="inlineStr">
        <is>
          <t>EBIT (Operating) margin</t>
        </is>
      </c>
      <c r="P4">
        <f>'Review valuation'!B4</f>
      </c>
      <c r="Q4">
        <f>'Review valuation'!C4</f>
      </c>
      <c r="R4">
        <f>'Review valuation'!D4</f>
      </c>
      <c r="S4">
        <f>'Review valuation'!E4</f>
      </c>
      <c r="T4">
        <f>'Review valuation'!F4</f>
      </c>
      <c r="U4">
        <f>'Review valuation'!G4</f>
      </c>
      <c r="V4">
        <f>'Review valuation'!H4</f>
      </c>
      <c r="W4">
        <f>'Review valuation'!I4</f>
      </c>
      <c r="X4">
        <f>'Review valuation'!J4</f>
      </c>
      <c r="Y4">
        <f>'Review valuation'!K4</f>
      </c>
      <c r="Z4">
        <f>'Review valuation'!L4</f>
      </c>
      <c r="AA4">
        <f>'Review valuation'!M4</f>
      </c>
    </row>
    <row r="5">
      <c r="A5" t="inlineStr">
        <is>
          <t>EBIT (Operating income)</t>
        </is>
      </c>
      <c r="B5">
        <f>'Valuation output'!B5</f>
      </c>
      <c r="C5">
        <f>'Valuation output'!C5</f>
      </c>
      <c r="D5">
        <f>'Valuation output'!D5</f>
      </c>
      <c r="E5">
        <f>'Valuation output'!E5</f>
      </c>
      <c r="F5">
        <f>'Valuation output'!F5</f>
      </c>
      <c r="G5">
        <f>'Valuation output'!G5</f>
      </c>
      <c r="H5">
        <f>'Valuation output'!H5</f>
      </c>
      <c r="I5">
        <f>'Valuation output'!I5</f>
      </c>
      <c r="J5">
        <f>'Valuation output'!J5</f>
      </c>
      <c r="K5">
        <f>'Valuation output'!K5</f>
      </c>
      <c r="L5">
        <f>'Valuation output'!L5</f>
      </c>
      <c r="M5">
        <f>'Valuation output'!M5</f>
      </c>
      <c r="N5">
        <f>'Valuation output'!N5</f>
      </c>
      <c r="O5" t="inlineStr">
        <is>
          <t>EBIT (Operating income)</t>
        </is>
      </c>
      <c r="P5">
        <f>'Review valuation'!B5</f>
      </c>
      <c r="Q5">
        <f>'Review valuation'!C5</f>
      </c>
      <c r="R5">
        <f>'Review valuation'!D5</f>
      </c>
      <c r="S5">
        <f>'Review valuation'!E5</f>
      </c>
      <c r="T5">
        <f>'Review valuation'!F5</f>
      </c>
      <c r="U5">
        <f>'Review valuation'!G5</f>
      </c>
      <c r="V5">
        <f>'Review valuation'!H5</f>
      </c>
      <c r="W5">
        <f>'Review valuation'!I5</f>
      </c>
      <c r="X5">
        <f>'Review valuation'!J5</f>
      </c>
      <c r="Y5">
        <f>'Review valuation'!K5</f>
      </c>
      <c r="Z5">
        <f>'Review valuation'!L5</f>
      </c>
      <c r="AA5">
        <f>'Review valuation'!M5</f>
      </c>
      <c r="AB5">
        <f>'Review valuation'!N5</f>
      </c>
    </row>
    <row r="6">
      <c r="A6" t="inlineStr">
        <is>
          <t>Tax rate</t>
        </is>
      </c>
      <c r="B6">
        <f>'Valuation output'!B6</f>
      </c>
      <c r="C6">
        <f>'Valuation output'!C6</f>
      </c>
      <c r="D6">
        <f>'Valuation output'!D6</f>
      </c>
      <c r="E6">
        <f>'Valuation output'!E6</f>
      </c>
      <c r="F6">
        <f>'Valuation output'!F6</f>
      </c>
      <c r="G6">
        <f>'Valuation output'!G6</f>
      </c>
      <c r="H6">
        <f>'Valuation output'!H6</f>
      </c>
      <c r="I6">
        <f>'Valuation output'!I6</f>
      </c>
      <c r="J6">
        <f>'Valuation output'!J6</f>
      </c>
      <c r="K6">
        <f>'Valuation output'!K6</f>
      </c>
      <c r="L6">
        <f>'Valuation output'!L6</f>
      </c>
      <c r="M6">
        <f>'Valuation output'!M6</f>
      </c>
      <c r="O6" t="inlineStr">
        <is>
          <t>Tax rate</t>
        </is>
      </c>
      <c r="P6">
        <f>'Review valuation'!B6</f>
      </c>
      <c r="Q6">
        <f>'Review valuation'!C6</f>
      </c>
      <c r="R6">
        <f>'Review valuation'!D6</f>
      </c>
      <c r="S6">
        <f>'Review valuation'!E6</f>
      </c>
      <c r="T6">
        <f>'Review valuation'!F6</f>
      </c>
      <c r="U6">
        <f>'Review valuation'!G6</f>
      </c>
      <c r="V6">
        <f>'Review valuation'!H6</f>
      </c>
      <c r="W6">
        <f>'Review valuation'!I6</f>
      </c>
      <c r="X6">
        <f>'Review valuation'!J6</f>
      </c>
      <c r="Y6">
        <f>'Review valuation'!K6</f>
      </c>
      <c r="Z6">
        <f>'Review valuation'!L6</f>
      </c>
      <c r="AA6">
        <f>'Review valuation'!M6</f>
      </c>
    </row>
    <row r="7">
      <c r="A7" t="inlineStr">
        <is>
          <t>EBIT(1-t)</t>
        </is>
      </c>
      <c r="B7">
        <f>'Valuation output'!B7</f>
      </c>
      <c r="C7">
        <f>'Valuation output'!C7</f>
      </c>
      <c r="D7">
        <f>'Valuation output'!D7</f>
      </c>
      <c r="E7">
        <f>'Valuation output'!E7</f>
      </c>
      <c r="F7">
        <f>'Valuation output'!F7</f>
      </c>
      <c r="G7">
        <f>'Valuation output'!G7</f>
      </c>
      <c r="H7">
        <f>'Valuation output'!H7</f>
      </c>
      <c r="I7">
        <f>'Valuation output'!I7</f>
      </c>
      <c r="J7">
        <f>'Valuation output'!J7</f>
      </c>
      <c r="K7">
        <f>'Valuation output'!K7</f>
      </c>
      <c r="L7">
        <f>'Valuation output'!L7</f>
      </c>
      <c r="M7">
        <f>'Valuation output'!M7</f>
      </c>
      <c r="O7" t="inlineStr">
        <is>
          <t>EBIT(1-t)</t>
        </is>
      </c>
      <c r="P7">
        <f>'Review valuation'!B7</f>
      </c>
      <c r="Q7">
        <f>'Review valuation'!C7</f>
      </c>
      <c r="R7">
        <f>'Review valuation'!D7</f>
      </c>
      <c r="S7">
        <f>'Review valuation'!E7</f>
      </c>
      <c r="T7">
        <f>'Review valuation'!F7</f>
      </c>
      <c r="U7">
        <f>'Review valuation'!G7</f>
      </c>
      <c r="V7">
        <f>'Review valuation'!H7</f>
      </c>
      <c r="W7">
        <f>'Review valuation'!I7</f>
      </c>
      <c r="X7">
        <f>'Review valuation'!J7</f>
      </c>
      <c r="Y7">
        <f>'Review valuation'!K7</f>
      </c>
      <c r="Z7">
        <f>'Review valuation'!L7</f>
      </c>
      <c r="AA7">
        <f>'Review valuation'!M7</f>
      </c>
    </row>
    <row r="8">
      <c r="A8" t="inlineStr">
        <is>
          <t> - Reinvestment</t>
        </is>
      </c>
      <c r="C8">
        <f>'Valuation output'!C8</f>
      </c>
      <c r="D8">
        <f>'Valuation output'!D8</f>
      </c>
      <c r="E8">
        <f>'Valuation output'!E8</f>
      </c>
      <c r="F8">
        <f>'Valuation output'!F8</f>
      </c>
      <c r="G8">
        <f>'Valuation output'!G8</f>
      </c>
      <c r="H8">
        <f>'Valuation output'!H8</f>
      </c>
      <c r="I8">
        <f>'Valuation output'!I8</f>
      </c>
      <c r="J8">
        <f>'Valuation output'!J8</f>
      </c>
      <c r="K8">
        <f>'Valuation output'!K8</f>
      </c>
      <c r="L8">
        <f>'Valuation output'!L8</f>
      </c>
      <c r="M8">
        <f>'Valuation output'!M8</f>
      </c>
      <c r="N8">
        <f>'Valuation output'!N8</f>
      </c>
      <c r="O8" t="inlineStr">
        <is>
          <t> - Reinvestment</t>
        </is>
      </c>
      <c r="Q8">
        <f>'Review valuation'!C8</f>
      </c>
      <c r="R8">
        <f>'Review valuation'!D8</f>
      </c>
      <c r="S8">
        <f>'Review valuation'!E8</f>
      </c>
      <c r="T8">
        <f>'Review valuation'!F8</f>
      </c>
      <c r="U8">
        <f>'Review valuation'!G8</f>
      </c>
      <c r="V8">
        <f>'Review valuation'!H8</f>
      </c>
      <c r="W8">
        <f>'Review valuation'!I8</f>
      </c>
      <c r="X8">
        <f>'Review valuation'!J8</f>
      </c>
      <c r="Y8">
        <f>'Review valuation'!K8</f>
      </c>
      <c r="Z8">
        <f>'Review valuation'!L8</f>
      </c>
      <c r="AA8">
        <f>'Review valuation'!M8</f>
      </c>
      <c r="AB8">
        <f>'Review valuation'!N8</f>
      </c>
    </row>
    <row r="9">
      <c r="A9" t="inlineStr">
        <is>
          <t>FCFF</t>
        </is>
      </c>
      <c r="C9">
        <f>'Valuation output'!C9</f>
      </c>
      <c r="D9">
        <f>'Valuation output'!D9</f>
      </c>
      <c r="E9">
        <f>'Valuation output'!E9</f>
      </c>
      <c r="F9">
        <f>'Valuation output'!F9</f>
      </c>
      <c r="G9">
        <f>'Valuation output'!G9</f>
      </c>
      <c r="H9">
        <f>'Valuation output'!H9</f>
      </c>
      <c r="I9">
        <f>'Valuation output'!I9</f>
      </c>
      <c r="J9">
        <f>'Valuation output'!J9</f>
      </c>
      <c r="K9">
        <f>'Valuation output'!K9</f>
      </c>
      <c r="L9">
        <f>'Valuation output'!L9</f>
      </c>
      <c r="M9">
        <f>'Valuation output'!M9</f>
      </c>
      <c r="O9" t="inlineStr">
        <is>
          <t>FCFF</t>
        </is>
      </c>
      <c r="Q9">
        <f>'Review valuation'!C9</f>
      </c>
      <c r="R9">
        <f>'Review valuation'!D9</f>
      </c>
      <c r="S9">
        <f>'Review valuation'!E9</f>
      </c>
      <c r="T9">
        <f>'Review valuation'!F9</f>
      </c>
      <c r="U9">
        <f>'Review valuation'!G9</f>
      </c>
      <c r="V9">
        <f>'Review valuation'!H9</f>
      </c>
      <c r="W9">
        <f>'Review valuation'!I9</f>
      </c>
      <c r="X9">
        <f>'Review valuation'!J9</f>
      </c>
      <c r="Y9">
        <f>'Review valuation'!K9</f>
      </c>
      <c r="Z9">
        <f>'Review valuation'!L9</f>
      </c>
      <c r="AA9">
        <f>'Review valuation'!M9</f>
      </c>
    </row>
    <row r="10">
      <c r="A10" t="inlineStr">
        <is>
          <t>NOL</t>
        </is>
      </c>
      <c r="B10">
        <f>'Valuation output'!B10</f>
      </c>
      <c r="C10">
        <f>'Valuation output'!C10</f>
      </c>
      <c r="D10">
        <f>'Valuation output'!D10</f>
      </c>
      <c r="E10">
        <f>'Valuation output'!E10</f>
      </c>
      <c r="F10">
        <f>'Valuation output'!F10</f>
      </c>
      <c r="G10">
        <f>'Valuation output'!G10</f>
      </c>
      <c r="H10">
        <f>'Valuation output'!H10</f>
      </c>
      <c r="I10">
        <f>'Valuation output'!I10</f>
      </c>
      <c r="J10">
        <f>'Valuation output'!J10</f>
      </c>
      <c r="K10">
        <f>'Valuation output'!K10</f>
      </c>
      <c r="L10">
        <f>'Valuation output'!L10</f>
      </c>
      <c r="M10">
        <f>'Valuation output'!M10</f>
      </c>
      <c r="O10" t="inlineStr">
        <is>
          <t>NOL</t>
        </is>
      </c>
      <c r="P10">
        <f>'Review valuation'!B10</f>
      </c>
      <c r="Q10">
        <f>'Review valuation'!C10</f>
      </c>
      <c r="R10">
        <f>'Review valuation'!D10</f>
      </c>
      <c r="S10">
        <f>'Review valuation'!E10</f>
      </c>
      <c r="T10">
        <f>'Review valuation'!F10</f>
      </c>
      <c r="U10">
        <f>'Review valuation'!G10</f>
      </c>
      <c r="V10">
        <f>'Review valuation'!H10</f>
      </c>
      <c r="W10">
        <f>'Review valuation'!I10</f>
      </c>
      <c r="X10">
        <f>'Review valuation'!J10</f>
      </c>
      <c r="Y10">
        <f>'Review valuation'!K10</f>
      </c>
      <c r="Z10">
        <f>'Review valuation'!L10</f>
      </c>
      <c r="AA10">
        <f>'Review valuation'!M10</f>
      </c>
    </row>
    <row r="12">
      <c r="A12" t="inlineStr">
        <is>
          <t>Cost of capital</t>
        </is>
      </c>
      <c r="C12">
        <f>'Valuation output'!C12</f>
      </c>
      <c r="D12">
        <f>'Valuation output'!D12</f>
      </c>
      <c r="E12">
        <f>'Valuation output'!E12</f>
      </c>
      <c r="F12">
        <f>'Valuation output'!F12</f>
      </c>
      <c r="G12">
        <f>'Valuation output'!G12</f>
      </c>
      <c r="H12">
        <f>'Valuation output'!H12</f>
      </c>
      <c r="I12">
        <f>'Valuation output'!I12</f>
      </c>
      <c r="J12">
        <f>'Valuation output'!J12</f>
      </c>
      <c r="K12">
        <f>'Valuation output'!K12</f>
      </c>
      <c r="L12">
        <f>'Valuation output'!L12</f>
      </c>
      <c r="M12">
        <f>'Valuation output'!M12</f>
      </c>
      <c r="O12" t="inlineStr">
        <is>
          <t>Cost of capital</t>
        </is>
      </c>
      <c r="Q12">
        <f>'Review valuation'!C12</f>
      </c>
      <c r="R12">
        <f>'Review valuation'!D12</f>
      </c>
      <c r="S12">
        <f>'Review valuation'!E12</f>
      </c>
      <c r="T12">
        <f>'Review valuation'!F12</f>
      </c>
      <c r="U12">
        <f>'Review valuation'!G12</f>
      </c>
      <c r="V12">
        <f>'Review valuation'!H12</f>
      </c>
      <c r="W12">
        <f>'Review valuation'!I12</f>
      </c>
      <c r="X12">
        <f>'Review valuation'!J12</f>
      </c>
      <c r="Y12">
        <f>'Review valuation'!K12</f>
      </c>
      <c r="Z12">
        <f>'Review valuation'!L12</f>
      </c>
      <c r="AA12">
        <f>'Review valuation'!M12</f>
      </c>
    </row>
    <row r="13">
      <c r="A13" t="inlineStr">
        <is>
          <t>Cumulated discount factor</t>
        </is>
      </c>
      <c r="C13">
        <f>'Valuation output'!C13</f>
      </c>
      <c r="D13">
        <f>'Valuation output'!D13</f>
      </c>
      <c r="E13">
        <f>'Valuation output'!E13</f>
      </c>
      <c r="F13">
        <f>'Valuation output'!F13</f>
      </c>
      <c r="G13">
        <f>'Valuation output'!G13</f>
      </c>
      <c r="H13">
        <f>'Valuation output'!H13</f>
      </c>
      <c r="I13">
        <f>'Valuation output'!I13</f>
      </c>
      <c r="J13">
        <f>'Valuation output'!J13</f>
      </c>
      <c r="K13">
        <f>'Valuation output'!K13</f>
      </c>
      <c r="L13">
        <f>'Valuation output'!L13</f>
      </c>
      <c r="O13" t="inlineStr">
        <is>
          <t>Cumulated discount factor</t>
        </is>
      </c>
      <c r="Q13">
        <f>'Review valuation'!C13</f>
      </c>
      <c r="R13">
        <f>'Review valuation'!D13</f>
      </c>
      <c r="S13">
        <f>'Review valuation'!E13</f>
      </c>
      <c r="T13">
        <f>'Review valuation'!F13</f>
      </c>
      <c r="U13">
        <f>'Review valuation'!G13</f>
      </c>
      <c r="V13">
        <f>'Review valuation'!H13</f>
      </c>
      <c r="W13">
        <f>'Review valuation'!I13</f>
      </c>
      <c r="X13">
        <f>'Review valuation'!J13</f>
      </c>
      <c r="Y13">
        <f>'Review valuation'!K13</f>
      </c>
      <c r="Z13">
        <f>'Review valuation'!L13</f>
      </c>
    </row>
    <row r="14">
      <c r="A14" t="inlineStr">
        <is>
          <t>PV(FCFF)</t>
        </is>
      </c>
      <c r="C14">
        <f>'Valuation output'!C14</f>
      </c>
      <c r="D14">
        <f>'Valuation output'!D14</f>
      </c>
      <c r="E14">
        <f>'Valuation output'!E14</f>
      </c>
      <c r="F14">
        <f>'Valuation output'!F14</f>
      </c>
      <c r="G14">
        <f>'Valuation output'!G14</f>
      </c>
      <c r="H14">
        <f>'Valuation output'!H14</f>
      </c>
      <c r="I14">
        <f>'Valuation output'!I14</f>
      </c>
      <c r="J14">
        <f>'Valuation output'!J14</f>
      </c>
      <c r="K14">
        <f>'Valuation output'!K14</f>
      </c>
      <c r="L14">
        <f>'Valuation output'!L14</f>
      </c>
      <c r="O14" t="inlineStr">
        <is>
          <t>PV(FCFF)</t>
        </is>
      </c>
      <c r="Q14">
        <f>'Review valuation'!C14</f>
      </c>
      <c r="R14">
        <f>'Review valuation'!D14</f>
      </c>
      <c r="S14">
        <f>'Review valuation'!E14</f>
      </c>
      <c r="T14">
        <f>'Review valuation'!F14</f>
      </c>
      <c r="U14">
        <f>'Review valuation'!G14</f>
      </c>
      <c r="V14">
        <f>'Review valuation'!H14</f>
      </c>
      <c r="W14">
        <f>'Review valuation'!I14</f>
      </c>
      <c r="X14">
        <f>'Review valuation'!J14</f>
      </c>
      <c r="Y14">
        <f>'Review valuation'!K14</f>
      </c>
      <c r="Z14">
        <f>'Review valuation'!L14</f>
      </c>
    </row>
    <row r="16">
      <c r="A16" t="inlineStr">
        <is>
          <t>Terminal cash flow</t>
        </is>
      </c>
      <c r="B16">
        <f>'Valuation output'!B16</f>
      </c>
      <c r="O16" t="inlineStr">
        <is>
          <t>Terminal cash flow</t>
        </is>
      </c>
      <c r="P16">
        <f>'Review valuation'!B16</f>
      </c>
    </row>
    <row r="17">
      <c r="A17" t="inlineStr">
        <is>
          <t>Terminal cost of capital</t>
        </is>
      </c>
      <c r="B17">
        <f>'Valuation output'!B17</f>
      </c>
      <c r="O17" t="inlineStr">
        <is>
          <t>Terminal cost of capital</t>
        </is>
      </c>
      <c r="P17">
        <f>'Review valuation'!B17</f>
      </c>
    </row>
    <row r="18">
      <c r="A18" t="inlineStr">
        <is>
          <t>Terminal value</t>
        </is>
      </c>
      <c r="B18">
        <f>'Valuation output'!B18</f>
      </c>
      <c r="O18" t="inlineStr">
        <is>
          <t>Terminal value</t>
        </is>
      </c>
      <c r="P18">
        <f>'Review valuation'!B18</f>
      </c>
    </row>
    <row r="19">
      <c r="A19" t="inlineStr">
        <is>
          <t>PV(Terminal value)</t>
        </is>
      </c>
      <c r="B19">
        <f>'Valuation output'!B19</f>
      </c>
      <c r="O19" t="inlineStr">
        <is>
          <t>PV(Terminal value)</t>
        </is>
      </c>
      <c r="P19">
        <f>'Review valuation'!B19</f>
      </c>
    </row>
    <row r="20">
      <c r="A20" t="inlineStr">
        <is>
          <t>PV (CF over next 10 years)</t>
        </is>
      </c>
      <c r="B20">
        <f>'Valuation output'!B20</f>
      </c>
      <c r="O20" t="inlineStr">
        <is>
          <t>PV (CF over next 10 years)</t>
        </is>
      </c>
      <c r="P20">
        <f>'Review valuation'!B20</f>
      </c>
    </row>
    <row r="21">
      <c r="A21" t="inlineStr">
        <is>
          <t>Sum of PV</t>
        </is>
      </c>
      <c r="B21">
        <f>'Valuation output'!B21</f>
      </c>
      <c r="O21" t="inlineStr">
        <is>
          <t>Sum of PV</t>
        </is>
      </c>
      <c r="P21">
        <f>'Review valuation'!B21</f>
      </c>
    </row>
    <row r="22">
      <c r="A22" t="inlineStr">
        <is>
          <t>Probability of failure =</t>
        </is>
      </c>
      <c r="B22">
        <f>'Valuation output'!B22</f>
      </c>
      <c r="O22" t="inlineStr">
        <is>
          <t>Probability of failure =</t>
        </is>
      </c>
      <c r="P22">
        <f>'Review valuation'!B22</f>
      </c>
    </row>
    <row r="23">
      <c r="A23" t="inlineStr">
        <is>
          <t>Proceeds if firm fails =</t>
        </is>
      </c>
      <c r="B23">
        <f>'Valuation output'!B23</f>
      </c>
      <c r="O23" t="inlineStr">
        <is>
          <t>Proceeds if firm fails =</t>
        </is>
      </c>
      <c r="P23">
        <f>'Review valuation'!B23</f>
      </c>
    </row>
    <row r="24">
      <c r="A24" t="inlineStr">
        <is>
          <t>Value of operating assets =</t>
        </is>
      </c>
      <c r="B24">
        <f>'Valuation output'!B24</f>
      </c>
      <c r="O24" t="inlineStr">
        <is>
          <t>Value of operating assets =</t>
        </is>
      </c>
      <c r="P24">
        <f>'Review valuation'!B24</f>
      </c>
    </row>
    <row r="25">
      <c r="A25" t="inlineStr">
        <is>
          <t> - Debt</t>
        </is>
      </c>
      <c r="B25">
        <f>'Valuation output'!B25</f>
      </c>
      <c r="O25" t="inlineStr">
        <is>
          <t> - Debt</t>
        </is>
      </c>
      <c r="P25">
        <f>'Review valuation'!B25</f>
      </c>
    </row>
    <row r="26">
      <c r="A26" t="inlineStr">
        <is>
          <t> - Minority interests</t>
        </is>
      </c>
      <c r="B26">
        <f>'Valuation output'!B26</f>
      </c>
      <c r="O26" t="inlineStr">
        <is>
          <t> - Minority interests</t>
        </is>
      </c>
      <c r="P26">
        <f>'Review valuation'!B26</f>
      </c>
    </row>
    <row r="27">
      <c r="A27" t="inlineStr">
        <is>
          <t> +  Cash</t>
        </is>
      </c>
      <c r="B27">
        <f>'Valuation output'!B27</f>
      </c>
      <c r="O27" t="inlineStr">
        <is>
          <t> +  Cash</t>
        </is>
      </c>
      <c r="P27">
        <f>'Review valuation'!B27</f>
      </c>
    </row>
    <row r="28">
      <c r="A28" t="inlineStr">
        <is>
          <t> + Non-operating assets</t>
        </is>
      </c>
      <c r="B28">
        <f>'Valuation output'!B28</f>
      </c>
      <c r="O28" t="inlineStr">
        <is>
          <t> + Non-operating assets</t>
        </is>
      </c>
      <c r="P28">
        <f>'Review valuation'!B28</f>
      </c>
    </row>
    <row r="29">
      <c r="A29" t="inlineStr">
        <is>
          <t>Value of equity</t>
        </is>
      </c>
      <c r="B29">
        <f>'Valuation output'!B29</f>
      </c>
      <c r="O29" t="inlineStr">
        <is>
          <t>Value of equity</t>
        </is>
      </c>
      <c r="P29">
        <f>'Review valuation'!B29</f>
      </c>
    </row>
    <row r="30">
      <c r="A30" t="inlineStr">
        <is>
          <t> - Value of options</t>
        </is>
      </c>
      <c r="B30">
        <f>'Valuation output'!B30</f>
      </c>
      <c r="O30" t="inlineStr">
        <is>
          <t> - Value of options</t>
        </is>
      </c>
      <c r="P30">
        <f>'Review valuation'!B30</f>
      </c>
    </row>
    <row r="31">
      <c r="A31" t="inlineStr">
        <is>
          <t>Value of equity in common stock</t>
        </is>
      </c>
      <c r="B31">
        <f>'Valuation output'!B31</f>
      </c>
      <c r="O31" t="inlineStr">
        <is>
          <t>Value of equity in common stock</t>
        </is>
      </c>
      <c r="P31">
        <f>'Review valuation'!B31</f>
      </c>
    </row>
    <row r="32">
      <c r="A32" t="inlineStr">
        <is>
          <t>Number of shares</t>
        </is>
      </c>
      <c r="B32">
        <f>'Valuation output'!B32</f>
      </c>
      <c r="O32" t="inlineStr">
        <is>
          <t>Number of shares</t>
        </is>
      </c>
      <c r="P32">
        <f>'Review valuation'!B32</f>
      </c>
    </row>
    <row r="33">
      <c r="A33" t="inlineStr">
        <is>
          <t>Estimated value /share</t>
        </is>
      </c>
      <c r="B33">
        <f>'Valuation output'!B33</f>
      </c>
      <c r="O33" t="inlineStr">
        <is>
          <t>Estimated value /share</t>
        </is>
      </c>
      <c r="P33">
        <f>'Review valuation'!B33</f>
      </c>
    </row>
    <row r="34">
      <c r="A34" t="inlineStr">
        <is>
          <t>Price</t>
        </is>
      </c>
      <c r="B34">
        <f>'Valuation output'!B34</f>
      </c>
      <c r="O34" t="inlineStr">
        <is>
          <t>Price</t>
        </is>
      </c>
      <c r="P34">
        <f>'Review valuation'!B34</f>
      </c>
    </row>
    <row r="35">
      <c r="A35" t="inlineStr">
        <is>
          <t>Price as % of value</t>
        </is>
      </c>
      <c r="B35">
        <f>'Valuation output'!B35</f>
      </c>
      <c r="O35" t="inlineStr">
        <is>
          <t>Price as % of value</t>
        </is>
      </c>
      <c r="P35">
        <f>'Review valuation'!B35</f>
      </c>
    </row>
    <row r="37">
      <c r="A37" t="inlineStr">
        <is>
          <t>Implied variables</t>
        </is>
      </c>
      <c r="M37" t="inlineStr">
        <is>
          <t>After year 10</t>
        </is>
      </c>
      <c r="O37" t="inlineStr">
        <is>
          <t>Implied variables</t>
        </is>
      </c>
      <c r="AA37" t="inlineStr">
        <is>
          <t>After year 10</t>
        </is>
      </c>
    </row>
    <row r="38">
      <c r="A38" t="inlineStr">
        <is>
          <t>Sales to capital ratio</t>
        </is>
      </c>
      <c r="C38">
        <f>'Valuation output'!C38</f>
      </c>
      <c r="D38">
        <f>'Valuation output'!D38</f>
      </c>
      <c r="E38">
        <f>'Valuation output'!E38</f>
      </c>
      <c r="F38">
        <f>'Valuation output'!F38</f>
      </c>
      <c r="G38">
        <f>'Valuation output'!G38</f>
      </c>
      <c r="H38">
        <f>'Valuation output'!H38</f>
      </c>
      <c r="I38">
        <f>'Valuation output'!I38</f>
      </c>
      <c r="J38">
        <f>'Valuation output'!J38</f>
      </c>
      <c r="K38">
        <f>'Valuation output'!K38</f>
      </c>
      <c r="L38">
        <f>'Valuation output'!L38</f>
      </c>
      <c r="O38" t="inlineStr">
        <is>
          <t>Sales to capital ratio</t>
        </is>
      </c>
      <c r="Q38">
        <f>'Review valuation'!C38</f>
      </c>
      <c r="R38">
        <f>'Review valuation'!D38</f>
      </c>
      <c r="S38">
        <f>'Review valuation'!E38</f>
      </c>
      <c r="T38">
        <f>'Review valuation'!F38</f>
      </c>
      <c r="U38">
        <f>'Review valuation'!G38</f>
      </c>
      <c r="V38">
        <f>'Review valuation'!H38</f>
      </c>
      <c r="W38">
        <f>'Review valuation'!I38</f>
      </c>
      <c r="X38">
        <f>'Review valuation'!J38</f>
      </c>
      <c r="Y38">
        <f>'Review valuation'!K38</f>
      </c>
      <c r="Z38">
        <f>'Review valuation'!L38</f>
      </c>
    </row>
    <row r="39">
      <c r="A39" t="inlineStr">
        <is>
          <t>Invested capital</t>
        </is>
      </c>
      <c r="B39">
        <f>'Valuation output'!B39</f>
      </c>
      <c r="C39">
        <f>'Valuation output'!C39</f>
      </c>
      <c r="D39">
        <f>'Valuation output'!D39</f>
      </c>
      <c r="E39">
        <f>'Valuation output'!E39</f>
      </c>
      <c r="F39">
        <f>'Valuation output'!F39</f>
      </c>
      <c r="G39">
        <f>'Valuation output'!G39</f>
      </c>
      <c r="H39">
        <f>'Valuation output'!H39</f>
      </c>
      <c r="I39">
        <f>'Valuation output'!I39</f>
      </c>
      <c r="J39">
        <f>'Valuation output'!J39</f>
      </c>
      <c r="K39">
        <f>'Valuation output'!K39</f>
      </c>
      <c r="L39">
        <f>'Valuation output'!L39</f>
      </c>
      <c r="O39" t="inlineStr">
        <is>
          <t>Invested capital</t>
        </is>
      </c>
      <c r="P39">
        <f>'Review valuation'!B39</f>
      </c>
      <c r="Q39">
        <f>'Review valuation'!C39</f>
      </c>
      <c r="R39">
        <f>'Review valuation'!D39</f>
      </c>
      <c r="S39">
        <f>'Review valuation'!E39</f>
      </c>
      <c r="T39">
        <f>'Review valuation'!F39</f>
      </c>
      <c r="U39">
        <f>'Review valuation'!G39</f>
      </c>
      <c r="V39">
        <f>'Review valuation'!H39</f>
      </c>
      <c r="W39">
        <f>'Review valuation'!I39</f>
      </c>
      <c r="X39">
        <f>'Review valuation'!J39</f>
      </c>
      <c r="Y39">
        <f>'Review valuation'!K39</f>
      </c>
      <c r="Z39">
        <f>'Review valuation'!L39</f>
      </c>
    </row>
    <row r="40">
      <c r="A40" t="inlineStr">
        <is>
          <t>ROIC</t>
        </is>
      </c>
      <c r="B40">
        <f>'Valuation output'!B40</f>
      </c>
      <c r="C40">
        <f>'Valuation output'!C40</f>
      </c>
      <c r="D40">
        <f>'Valuation output'!D40</f>
      </c>
      <c r="E40">
        <f>'Valuation output'!E40</f>
      </c>
      <c r="F40">
        <f>'Valuation output'!F40</f>
      </c>
      <c r="G40">
        <f>'Valuation output'!G40</f>
      </c>
      <c r="H40">
        <f>'Valuation output'!H40</f>
      </c>
      <c r="I40">
        <f>'Valuation output'!I40</f>
      </c>
      <c r="J40">
        <f>'Valuation output'!J40</f>
      </c>
      <c r="K40">
        <f>'Valuation output'!K40</f>
      </c>
      <c r="L40">
        <f>'Valuation output'!L40</f>
      </c>
      <c r="M40">
        <f>'Valuation output'!M40</f>
      </c>
      <c r="O40" t="inlineStr">
        <is>
          <t>ROIC</t>
        </is>
      </c>
      <c r="P40">
        <f>'Review valuation'!B40</f>
      </c>
      <c r="Q40">
        <f>'Review valuation'!C40</f>
      </c>
      <c r="R40">
        <f>'Review valuation'!D40</f>
      </c>
      <c r="S40">
        <f>'Review valuation'!E40</f>
      </c>
      <c r="T40">
        <f>'Review valuation'!F40</f>
      </c>
      <c r="U40">
        <f>'Review valuation'!G40</f>
      </c>
      <c r="V40">
        <f>'Review valuation'!H40</f>
      </c>
      <c r="W40">
        <f>'Review valuation'!I40</f>
      </c>
      <c r="X40">
        <f>'Review valuation'!J40</f>
      </c>
      <c r="Y40">
        <f>'Review valuation'!K40</f>
      </c>
      <c r="Z40">
        <f>'Review valuation'!L40</f>
      </c>
      <c r="AA40">
        <f>'Review valuation'!M40</f>
      </c>
    </row>
  </sheetData>
</worksheet>
</file>

<file path=xl/worksheets/new6sheet21.xml><?xml version="1.0" encoding="utf-8"?>
<worksheet xmlns="http://schemas.openxmlformats.org/spreadsheetml/2006/main">
  <sheetData>
    <row r="1">
      <c r="A1" t="inlineStr">
        <is>
          <t>Valuation comparison</t>
        </is>
      </c>
    </row>
    <row r="3">
      <c r="A3" t="inlineStr">
        <is>
          <t>Metric</t>
        </is>
      </c>
      <c r="B3" t="inlineStr">
        <is>
          <t>Base Case</t>
        </is>
      </c>
      <c r="C3" t="inlineStr">
        <is>
          <t>Review Scenario</t>
        </is>
      </c>
      <c r="D3" t="inlineStr">
        <is>
          <t>Difference</t>
        </is>
      </c>
    </row>
    <row r="4">
      <c r="A4" t="inlineStr">
        <is>
          <t>Value of equity</t>
        </is>
      </c>
      <c r="B4">
        <f>'Valuation output'!B29</f>
      </c>
      <c r="C4">
        <f>'Review valuation'!B29</f>
      </c>
      <c r="D4">
        <f>C4-B4</f>
      </c>
    </row>
    <row r="5">
      <c r="A5" t="inlineStr">
        <is>
          <t>Value per share</t>
        </is>
      </c>
      <c r="B5">
        <f>'Valuation output'!B33</f>
      </c>
      <c r="C5">
        <f>'Review valuation'!B33</f>
      </c>
      <c r="D5">
        <f>C5-B5</f>
      </c>
    </row>
  </sheetData>
</worksheet>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c>
      <c r="B11" s="0" t="e">
        <f aca="false">'input sheet'!#ref!</f>
      </c>
      <c r="C11" s="0" t="e">
        <f aca="false">'valuation output'!#ref!</f>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c>
      <c r="J22" s="42" t="n">
        <f aca="false">VLOOKUP(B6,'Industry Averages(US)'!A2:S95,3)</f>
      </c>
      <c r="K22" s="43" t="n">
        <f aca="false">VLOOKUP(B7,'Global industry averages'!A2:N95,3)</f>
      </c>
    </row>
    <row r="23" s="15" customFormat="true" ht="12.65" hidden="false" customHeight="false" outlineLevel="0" collapsed="false">
      <c r="A23" s="22" t="s">
        <v>62</v>
      </c>
      <c r="B23" s="44">
        <v>0.16</v>
      </c>
      <c r="C23" s="25" t="s">
        <v>63</v>
      </c>
      <c r="E23" s="41" t="s">
        <v>64</v>
      </c>
      <c r="F23" s="13"/>
      <c r="G23" s="13"/>
      <c r="H23" s="13"/>
      <c r="I23" s="42" t="n">
        <f aca="false">'Valuation output'!B4</f>
      </c>
      <c r="J23" s="43" t="n">
        <f aca="false">VLOOKUP(B6,'Industry Averages(US)'!A2:S95,4)</f>
      </c>
      <c r="K23" s="43" t="n">
        <f aca="false">VLOOKUP(B7,'Global industry averages'!A2:N95,4)</f>
      </c>
    </row>
    <row r="24" s="15" customFormat="true" ht="12.65" hidden="false" customHeight="false" outlineLevel="0" collapsed="false">
      <c r="A24" s="22" t="s">
        <v>65</v>
      </c>
      <c r="B24" s="44" t="n">
        <v>0.125</v>
      </c>
      <c r="C24" s="25" t="s">
        <v>66</v>
      </c>
      <c r="E24" s="41" t="s">
        <v>67</v>
      </c>
      <c r="F24" s="13"/>
      <c r="G24" s="13"/>
      <c r="H24" s="13"/>
      <c r="I24" s="45" t="n">
        <f aca="false">B8/(B11+B12-B15)</f>
      </c>
      <c r="J24" s="45" t="n">
        <f aca="false">VLOOKUP(B6,'Industry Averages(US)'!A2:S95,14)</f>
      </c>
      <c r="K24" s="45" t="n">
        <f aca="false">VLOOKUP(B7,'Global industry averages'!A2:N95,14)</f>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c>
      <c r="J25" s="43" t="n">
        <f aca="false">VLOOKUP(B6,'Industry Averages(US)'!A2:S95,5)</f>
      </c>
      <c r="K25" s="43" t="n">
        <f aca="false">VLOOKUP(B7,'Global industry averages'!A2:N95,5)</f>
      </c>
    </row>
    <row r="26" s="15" customFormat="true" ht="12.65" hidden="false" customHeight="false" outlineLevel="0" collapsed="false">
      <c r="A26" s="22" t="s">
        <v>71</v>
      </c>
      <c r="B26" s="46" t="n">
        <f aca="false">I24</f>
      </c>
      <c r="C26" s="25" t="s">
        <v>72</v>
      </c>
      <c r="E26" s="41" t="s">
        <v>73</v>
      </c>
      <c r="F26" s="13"/>
      <c r="G26" s="13"/>
      <c r="H26" s="13"/>
      <c r="I26" s="47"/>
      <c r="J26" s="48" t="n">
        <f aca="false">VLOOKUP(B6,'Industry Averages(US)'!A2:S95,10)</f>
      </c>
      <c r="K26" s="43" t="n">
        <f aca="false">VLOOKUP(B6,'Global industry averages'!A2:Z95,10)</f>
      </c>
    </row>
    <row r="27" s="15" customFormat="true" ht="12.65" hidden="false" customHeight="false" outlineLevel="0" collapsed="false">
      <c r="A27" s="39" t="s">
        <v>74</v>
      </c>
      <c r="B27" s="49"/>
      <c r="C27" s="25"/>
      <c r="E27" s="50" t="s">
        <v>75</v>
      </c>
      <c r="F27" s="51"/>
      <c r="G27" s="51"/>
      <c r="H27" s="51"/>
      <c r="I27" s="51"/>
      <c r="J27" s="52" t="n">
        <f aca="false">VLOOKUP(B6,'Industry Averages(US)'!A2:S95,13)</f>
      </c>
      <c r="K27" s="43" t="n">
        <f aca="false">VLOOKUP(B6,'Global industry averages'!A2:Z95,13)</f>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c>
    </row>
    <row r="31" s="15" customFormat="true" ht="12.65" hidden="false" customHeight="false" outlineLevel="0" collapsed="false">
      <c r="A31" s="34" t="s">
        <v>81</v>
      </c>
      <c r="B31" s="53" t="s">
        <v>82</v>
      </c>
      <c r="D31" s="25"/>
      <c r="E31" s="56" t="s">
        <v>83</v>
      </c>
      <c r="F31" s="34"/>
      <c r="G31" s="34"/>
      <c r="H31" s="34"/>
      <c r="I31" s="34"/>
      <c r="J31" s="57" t="n">
        <f aca="false">'Valuation output'!M5</f>
      </c>
    </row>
    <row r="32" s="15" customFormat="true" ht="12.65" hidden="false" customHeight="false" outlineLevel="0" collapsed="false">
      <c r="A32" s="34" t="s">
        <v>84</v>
      </c>
      <c r="B32" s="46" t="n">
        <v>21.65</v>
      </c>
      <c r="C32" s="58"/>
      <c r="D32" s="25"/>
      <c r="E32" s="56" t="s">
        <v>85</v>
      </c>
      <c r="F32" s="34"/>
      <c r="G32" s="34"/>
      <c r="H32" s="34"/>
      <c r="I32" s="34"/>
      <c r="J32" s="42" t="n">
        <f aca="false">'Valuation output'!L40</f>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sheet'!$B$24,'Input sheet'!$B$24-(('Input sheet'!$B$24-$B$4)/'Input sheet'!$B$25)*('Input sheet'!$B$25-C1))</f>
      </c>
      <c r="D4" s="88" t="n">
        <f aca="false">IF(D1&gt;'Input sheet'!$B$25,'Input sheet'!$B$24,'Input sheet'!$B$24-(('Input sheet'!$B$24-$B$4)/'Input sheet'!$B$25)*('Input sheet'!$B$25-D1))</f>
      </c>
      <c r="E4" s="88" t="n">
        <f aca="false">IF(E1&gt;'Input sheet'!$B$25,'Input sheet'!$B$24,'Input sheet'!$B$24-(('Input sheet'!$B$24-$B$4)/'Input sheet'!$B$25)*('Input sheet'!$B$25-E1))</f>
      </c>
      <c r="F4" s="88" t="n">
        <f aca="false">IF(F1&gt;'Input sheet'!$B$25,'Input sheet'!$B$24,'Input sheet'!$B$24-(('Input sheet'!$B$24-$B$4)/'Input sheet'!$B$25)*('Input sheet'!$B$25-F1))</f>
      </c>
      <c r="G4" s="88" t="n">
        <f aca="false">IF(G1&gt;'Input sheet'!$B$25,'Input sheet'!$B$24,'Input sheet'!$B$24-(('Input sheet'!$B$24-$B$4)/'Input sheet'!$B$25)*('Input sheet'!$B$25-G1))</f>
      </c>
      <c r="H4" s="88" t="n">
        <f aca="false">IF(H1&gt;'Input sheet'!$B$25,'Input sheet'!$B$24,'Input sheet'!$B$24-(('Input sheet'!$B$24-$B$4)/'Input sheet'!$B$25)*('Input sheet'!$B$25-H1))</f>
      </c>
      <c r="I4" s="88" t="n">
        <f aca="false">IF(I1&gt;'Input sheet'!$B$25,'Input sheet'!$B$24,'Input sheet'!$B$24-(('Input sheet'!$B$24-$B$4)/'Input sheet'!$B$25)*('Input sheet'!$B$25-I1))</f>
      </c>
      <c r="J4" s="88" t="n">
        <f aca="false">IF(J1&gt;'Input sheet'!$B$25,'Input sheet'!$B$24,'Input sheet'!$B$24-(('Input sheet'!$B$24-$B$4)/'Input sheet'!$B$25)*('Input sheet'!$B$25-J1))</f>
      </c>
      <c r="K4" s="88" t="n">
        <f aca="false">IF(K1&gt;'Input sheet'!$B$25,'Input sheet'!$B$24,'Input sheet'!$B$24-(('Input sheet'!$B$24-$B$4)/'Input sheet'!$B$25)*('Input sheet'!$B$25-K1))</f>
      </c>
      <c r="L4" s="88" t="n">
        <f aca="false">IF(L1&gt;'Input sheet'!$B$25,'Input sheet'!$B$24,'Input sheet'!$B$24-(('Input sheet'!$B$24-$B$4)/'Input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sheet'!B43,'Valuation output'!L12)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c>
      <c r="C9" s="128" t="n">
        <f aca="false">'Input sheet'!B23</f>
      </c>
      <c r="D9" s="128" t="n">
        <f aca="false">F9</f>
      </c>
      <c r="E9" s="129"/>
      <c r="F9" s="128" t="n">
        <f aca="false">'Valuation output'!M2</f>
      </c>
      <c r="G9" s="130" t="s">
        <v>169</v>
      </c>
      <c r="H9" s="131" t="s">
        <v>170</v>
      </c>
      <c r="I9" s="131"/>
      <c r="J9" s="131"/>
      <c r="K9" s="131"/>
    </row>
    <row r="10" customFormat="false" ht="25.35" hidden="false" customHeight="false" outlineLevel="0" collapsed="false">
      <c r="A10" s="126" t="s">
        <v>171</v>
      </c>
      <c r="B10" s="128" t="n">
        <f aca="false">'Valuation output'!B4</f>
      </c>
      <c r="C10" s="132" t="n">
        <f aca="false">B10</f>
      </c>
      <c r="D10" s="133" t="n">
        <f aca="false">F10</f>
      </c>
      <c r="E10" s="133"/>
      <c r="F10" s="128" t="n">
        <f aca="false">'Valuation output'!M4</f>
      </c>
      <c r="G10" s="134" t="s">
        <v>172</v>
      </c>
      <c r="H10" s="131"/>
      <c r="I10" s="131"/>
      <c r="J10" s="131"/>
      <c r="K10" s="131"/>
    </row>
    <row r="11" customFormat="false" ht="15.75" hidden="false" customHeight="false" outlineLevel="0" collapsed="false">
      <c r="A11" s="126" t="s">
        <v>128</v>
      </c>
      <c r="B11" s="128" t="n">
        <f aca="false">'Valuation output'!B6</f>
      </c>
      <c r="C11" s="132" t="n">
        <f aca="false">B11</f>
      </c>
      <c r="D11" s="133" t="n">
        <f aca="false">F11</f>
      </c>
      <c r="E11" s="133"/>
      <c r="F11" s="128" t="n">
        <f aca="false">'Valuation output'!M6</f>
      </c>
      <c r="G11" s="135" t="s">
        <v>173</v>
      </c>
      <c r="H11" s="131"/>
      <c r="I11" s="131"/>
      <c r="J11" s="131"/>
      <c r="K11" s="131"/>
    </row>
    <row r="12" customFormat="false" ht="25.35" hidden="false" customHeight="false" outlineLevel="0" collapsed="false">
      <c r="A12" s="126" t="s">
        <v>174</v>
      </c>
      <c r="B12" s="129"/>
      <c r="C12" s="136" t="s">
        <v>175</v>
      </c>
      <c r="D12" s="137" t="n">
        <f aca="false">'Input sheet'!B26</f>
      </c>
      <c r="E12" s="138" t="s">
        <v>176</v>
      </c>
      <c r="F12" s="139" t="n">
        <f aca="false">'Valuation output'!M2/'Valuation output'!M40</f>
      </c>
      <c r="G12" s="134" t="s">
        <v>177</v>
      </c>
      <c r="H12" s="131"/>
      <c r="I12" s="131"/>
      <c r="J12" s="131"/>
      <c r="K12" s="131"/>
    </row>
    <row r="13" customFormat="false" ht="15.75" hidden="false" customHeight="false" outlineLevel="0" collapsed="false">
      <c r="A13" s="140" t="s">
        <v>178</v>
      </c>
      <c r="B13" s="141" t="n">
        <f aca="false">'Valuation output'!B40</f>
      </c>
      <c r="C13" s="142" t="s">
        <v>179</v>
      </c>
      <c r="D13" s="143" t="n">
        <f aca="false">Diagnostics!B6</f>
      </c>
      <c r="E13" s="144"/>
      <c r="F13" s="145" t="n">
        <f aca="false">'Valuation output'!M40</f>
      </c>
      <c r="G13" s="146" t="s">
        <v>180</v>
      </c>
      <c r="H13" s="131"/>
      <c r="I13" s="131"/>
      <c r="J13" s="131"/>
      <c r="K13" s="131"/>
    </row>
    <row r="14" customFormat="false" ht="15.75" hidden="false" customHeight="false" outlineLevel="0" collapsed="false">
      <c r="A14" s="147" t="s">
        <v>181</v>
      </c>
      <c r="B14" s="148"/>
      <c r="C14" s="132" t="n">
        <f aca="false">'Valuation output'!C12</f>
      </c>
      <c r="D14" s="133" t="n">
        <f aca="false">F14</f>
      </c>
      <c r="E14" s="149"/>
      <c r="F14" s="150" t="n">
        <f aca="false">'Valuation output'!M12</f>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c>
      <c r="C17" s="159" t="n">
        <f aca="false">'Valuation output'!C4</f>
      </c>
      <c r="D17" s="127" t="n">
        <f aca="false">B17*C17</f>
      </c>
      <c r="E17" s="158" t="n">
        <f aca="false">'Valuation output'!C7</f>
      </c>
      <c r="F17" s="158" t="n">
        <f aca="false">'Valuation output'!C8</f>
      </c>
      <c r="G17" s="160" t="n">
        <f aca="false">E17-F17</f>
      </c>
      <c r="H17" s="156"/>
      <c r="I17" s="156"/>
      <c r="J17" s="156"/>
      <c r="K17" s="156"/>
    </row>
    <row r="18" customFormat="false" ht="15.75" hidden="false" customHeight="false" outlineLevel="0" collapsed="false">
      <c r="A18" s="157" t="n">
        <v>2</v>
      </c>
      <c r="B18" s="158" t="n">
        <f aca="false">'Valuation output'!D3</f>
      </c>
      <c r="C18" s="159" t="n">
        <f aca="false">'Valuation output'!D4</f>
      </c>
      <c r="D18" s="127" t="n">
        <f aca="false">B18*C18</f>
      </c>
      <c r="E18" s="158" t="n">
        <f aca="false">'Valuation output'!D7</f>
      </c>
      <c r="F18" s="158" t="n">
        <f aca="false">'Valuation output'!D8</f>
      </c>
      <c r="G18" s="160" t="n">
        <f aca="false">E18-F18</f>
      </c>
      <c r="H18" s="156"/>
      <c r="I18" s="156"/>
      <c r="J18" s="156"/>
      <c r="K18" s="156"/>
    </row>
    <row r="19" customFormat="false" ht="15.75" hidden="false" customHeight="false" outlineLevel="0" collapsed="false">
      <c r="A19" s="157" t="n">
        <v>3</v>
      </c>
      <c r="B19" s="158" t="n">
        <f aca="false">'Valuation output'!E3</f>
      </c>
      <c r="C19" s="159" t="n">
        <f aca="false">'Valuation output'!E4</f>
      </c>
      <c r="D19" s="127" t="n">
        <f aca="false">B19*C19</f>
      </c>
      <c r="E19" s="158" t="n">
        <f aca="false">'Valuation output'!E7</f>
      </c>
      <c r="F19" s="158" t="n">
        <f aca="false">'Valuation output'!E8</f>
      </c>
      <c r="G19" s="160" t="n">
        <f aca="false">E19-F19</f>
      </c>
      <c r="H19" s="156"/>
      <c r="I19" s="156"/>
      <c r="J19" s="156"/>
      <c r="K19" s="156"/>
    </row>
    <row r="20" customFormat="false" ht="15.75" hidden="false" customHeight="false" outlineLevel="0" collapsed="false">
      <c r="A20" s="157" t="n">
        <v>4</v>
      </c>
      <c r="B20" s="158" t="n">
        <f aca="false">'Valuation output'!F3</f>
      </c>
      <c r="C20" s="159" t="n">
        <f aca="false">'Valuation output'!F4</f>
      </c>
      <c r="D20" s="127" t="n">
        <f aca="false">B20*C20</f>
      </c>
      <c r="E20" s="158" t="n">
        <f aca="false">'Valuation output'!F7</f>
      </c>
      <c r="F20" s="158" t="n">
        <f aca="false">'Valuation output'!F8</f>
      </c>
      <c r="G20" s="160" t="n">
        <f aca="false">E20-F20</f>
      </c>
      <c r="H20" s="156"/>
      <c r="I20" s="156"/>
      <c r="J20" s="156"/>
      <c r="K20" s="156"/>
    </row>
    <row r="21" customFormat="false" ht="15.75" hidden="false" customHeight="false" outlineLevel="0" collapsed="false">
      <c r="A21" s="157" t="n">
        <v>5</v>
      </c>
      <c r="B21" s="158" t="n">
        <f aca="false">'Valuation output'!G3</f>
      </c>
      <c r="C21" s="159" t="n">
        <f aca="false">'Valuation output'!G4</f>
      </c>
      <c r="D21" s="127" t="n">
        <f aca="false">B21*C21</f>
      </c>
      <c r="E21" s="158" t="n">
        <f aca="false">'Valuation output'!G7</f>
      </c>
      <c r="F21" s="158" t="n">
        <f aca="false">'Valuation output'!G8</f>
      </c>
      <c r="G21" s="160" t="n">
        <f aca="false">E21-F21</f>
      </c>
      <c r="H21" s="156"/>
      <c r="I21" s="156"/>
      <c r="J21" s="156"/>
      <c r="K21" s="156"/>
    </row>
    <row r="22" customFormat="false" ht="15.75" hidden="false" customHeight="false" outlineLevel="0" collapsed="false">
      <c r="A22" s="157" t="n">
        <v>6</v>
      </c>
      <c r="B22" s="158" t="n">
        <f aca="false">'Valuation output'!H3</f>
      </c>
      <c r="C22" s="159" t="n">
        <f aca="false">'Valuation output'!H4</f>
      </c>
      <c r="D22" s="127" t="n">
        <f aca="false">B22*C22</f>
      </c>
      <c r="E22" s="158" t="n">
        <f aca="false">'Valuation output'!H7</f>
      </c>
      <c r="F22" s="158" t="n">
        <f aca="false">'Valuation output'!H8</f>
      </c>
      <c r="G22" s="160" t="n">
        <f aca="false">E22-F22</f>
      </c>
      <c r="H22" s="156"/>
      <c r="I22" s="156"/>
      <c r="J22" s="156"/>
      <c r="K22" s="156"/>
    </row>
    <row r="23" customFormat="false" ht="15.75" hidden="false" customHeight="false" outlineLevel="0" collapsed="false">
      <c r="A23" s="157" t="n">
        <v>7</v>
      </c>
      <c r="B23" s="158" t="n">
        <f aca="false">'Valuation output'!I3</f>
      </c>
      <c r="C23" s="159" t="n">
        <f aca="false">'Valuation output'!I4</f>
      </c>
      <c r="D23" s="127" t="n">
        <f aca="false">B23*C23</f>
      </c>
      <c r="E23" s="158" t="n">
        <f aca="false">'Valuation output'!I7</f>
      </c>
      <c r="F23" s="158" t="n">
        <f aca="false">'Valuation output'!I8</f>
      </c>
      <c r="G23" s="160" t="n">
        <f aca="false">E23-F23</f>
      </c>
      <c r="H23" s="156"/>
      <c r="I23" s="156"/>
      <c r="J23" s="156"/>
      <c r="K23" s="156"/>
    </row>
    <row r="24" customFormat="false" ht="15.75" hidden="false" customHeight="false" outlineLevel="0" collapsed="false">
      <c r="A24" s="157" t="n">
        <v>8</v>
      </c>
      <c r="B24" s="158" t="n">
        <f aca="false">'Valuation output'!J3</f>
      </c>
      <c r="C24" s="159" t="n">
        <f aca="false">'Valuation output'!J4</f>
      </c>
      <c r="D24" s="127" t="n">
        <f aca="false">B24*C24</f>
      </c>
      <c r="E24" s="158" t="n">
        <f aca="false">'Valuation output'!J7</f>
      </c>
      <c r="F24" s="158" t="n">
        <f aca="false">'Valuation output'!J8</f>
      </c>
      <c r="G24" s="160" t="n">
        <f aca="false">E24-F24</f>
      </c>
      <c r="H24" s="156"/>
      <c r="I24" s="156"/>
      <c r="J24" s="156"/>
      <c r="K24" s="156"/>
    </row>
    <row r="25" customFormat="false" ht="15.75" hidden="false" customHeight="false" outlineLevel="0" collapsed="false">
      <c r="A25" s="157" t="n">
        <v>9</v>
      </c>
      <c r="B25" s="158" t="n">
        <f aca="false">'Valuation output'!K3</f>
      </c>
      <c r="C25" s="159" t="n">
        <f aca="false">'Valuation output'!K4</f>
      </c>
      <c r="D25" s="127" t="n">
        <f aca="false">B25*C25</f>
      </c>
      <c r="E25" s="158" t="n">
        <f aca="false">'Valuation output'!K7</f>
      </c>
      <c r="F25" s="158" t="n">
        <f aca="false">'Valuation output'!K8</f>
      </c>
      <c r="G25" s="160" t="n">
        <f aca="false">E25-F25</f>
      </c>
      <c r="H25" s="156"/>
      <c r="I25" s="156"/>
      <c r="J25" s="156"/>
      <c r="K25" s="156"/>
    </row>
    <row r="26" customFormat="false" ht="15.75" hidden="false" customHeight="false" outlineLevel="0" collapsed="false">
      <c r="A26" s="157" t="n">
        <v>10</v>
      </c>
      <c r="B26" s="158" t="n">
        <f aca="false">'Valuation output'!L3</f>
      </c>
      <c r="C26" s="159" t="n">
        <f aca="false">'Valuation output'!L4</f>
      </c>
      <c r="D26" s="127" t="n">
        <f aca="false">B26*C26</f>
      </c>
      <c r="E26" s="158" t="n">
        <f aca="false">'Valuation output'!L7</f>
      </c>
      <c r="F26" s="158" t="n">
        <f aca="false">'Valuation output'!L8</f>
      </c>
      <c r="G26" s="160" t="n">
        <f aca="false">E26-F26</f>
      </c>
      <c r="H26" s="156"/>
      <c r="I26" s="156"/>
      <c r="J26" s="156"/>
      <c r="K26" s="156"/>
    </row>
    <row r="27" customFormat="false" ht="15.75" hidden="false" customHeight="false" outlineLevel="0" collapsed="false">
      <c r="A27" s="161" t="s">
        <v>124</v>
      </c>
      <c r="B27" s="162" t="n">
        <f aca="false">'Valuation output'!M3</f>
      </c>
      <c r="C27" s="163" t="n">
        <f aca="false">'Valuation output'!M4</f>
      </c>
      <c r="D27" s="127" t="n">
        <f aca="false">B27*C27</f>
      </c>
      <c r="E27" s="162" t="n">
        <f aca="false">'Valuation output'!M7</f>
      </c>
      <c r="F27" s="162" t="n">
        <f aca="false">'Valuation output'!M8</f>
      </c>
      <c r="G27" s="160" t="n">
        <f aca="false">E27-F27</f>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c>
      <c r="E30" s="173"/>
      <c r="F30" s="174"/>
      <c r="G30" s="175"/>
      <c r="H30" s="170"/>
      <c r="I30" s="170"/>
      <c r="J30" s="170"/>
      <c r="K30" s="170"/>
    </row>
    <row r="31" customFormat="false" ht="15.75" hidden="false" customHeight="false" outlineLevel="0" collapsed="false">
      <c r="A31" s="171" t="s">
        <v>140</v>
      </c>
      <c r="B31" s="171"/>
      <c r="C31" s="171"/>
      <c r="D31" s="172" t="n">
        <f aca="false">'Valuation output'!B20</f>
      </c>
      <c r="E31" s="173"/>
      <c r="F31" s="174"/>
      <c r="G31" s="175"/>
      <c r="H31" s="170"/>
      <c r="I31" s="170"/>
      <c r="J31" s="170"/>
      <c r="K31" s="170"/>
    </row>
    <row r="32" customFormat="false" ht="15.75" hidden="false" customHeight="false" outlineLevel="0" collapsed="false">
      <c r="A32" s="171" t="s">
        <v>144</v>
      </c>
      <c r="B32" s="171"/>
      <c r="C32" s="171"/>
      <c r="D32" s="172" t="n">
        <f aca="false">'Valuation output'!B21</f>
      </c>
      <c r="E32" s="173"/>
      <c r="F32" s="174"/>
      <c r="G32" s="175"/>
      <c r="H32" s="170"/>
      <c r="I32" s="170"/>
      <c r="J32" s="170"/>
      <c r="K32" s="170"/>
    </row>
    <row r="33" customFormat="false" ht="15.75" hidden="false" customHeight="false" outlineLevel="0" collapsed="false">
      <c r="A33" s="171" t="s">
        <v>191</v>
      </c>
      <c r="B33" s="171"/>
      <c r="C33" s="171"/>
      <c r="D33" s="176" t="n">
        <f aca="false">D32-'Valuation output'!B24</f>
      </c>
      <c r="E33" s="177" t="s">
        <v>142</v>
      </c>
      <c r="F33" s="177"/>
      <c r="G33" s="178" t="n">
        <f aca="false">'Valuation output'!B22</f>
      </c>
      <c r="H33" s="170"/>
      <c r="I33" s="170"/>
      <c r="J33" s="170"/>
      <c r="K33" s="170"/>
    </row>
    <row r="34" customFormat="false" ht="15.75" hidden="false" customHeight="false" outlineLevel="0" collapsed="false">
      <c r="A34" s="171" t="s">
        <v>192</v>
      </c>
      <c r="B34" s="171"/>
      <c r="C34" s="171"/>
      <c r="D34" s="172" t="n">
        <f aca="false">'Valuation output'!B25+'Valuation output'!B26</f>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c>
      <c r="E35" s="173"/>
      <c r="F35" s="174"/>
      <c r="G35" s="175"/>
      <c r="H35" s="170"/>
      <c r="I35" s="170"/>
      <c r="J35" s="170"/>
      <c r="K35" s="170"/>
    </row>
    <row r="36" customFormat="false" ht="15.75" hidden="false" customHeight="false" outlineLevel="0" collapsed="false">
      <c r="A36" s="171" t="s">
        <v>149</v>
      </c>
      <c r="B36" s="171"/>
      <c r="C36" s="171"/>
      <c r="D36" s="172" t="n">
        <f aca="false">D32-D33-D34+D35</f>
      </c>
      <c r="E36" s="173"/>
      <c r="F36" s="174"/>
      <c r="G36" s="175"/>
      <c r="H36" s="170"/>
      <c r="I36" s="170"/>
      <c r="J36" s="170"/>
      <c r="K36" s="170"/>
    </row>
    <row r="37" customFormat="false" ht="15.75" hidden="false" customHeight="false" outlineLevel="0" collapsed="false">
      <c r="A37" s="171" t="s">
        <v>194</v>
      </c>
      <c r="B37" s="171"/>
      <c r="C37" s="171"/>
      <c r="D37" s="172" t="n">
        <f aca="false">'Valuation output'!B30</f>
      </c>
      <c r="E37" s="173"/>
      <c r="F37" s="174"/>
      <c r="G37" s="175"/>
      <c r="H37" s="170"/>
      <c r="I37" s="170"/>
      <c r="J37" s="170"/>
      <c r="K37" s="170"/>
    </row>
    <row r="38" customFormat="false" ht="15.75" hidden="false" customHeight="false" outlineLevel="0" collapsed="false">
      <c r="A38" s="179" t="s">
        <v>152</v>
      </c>
      <c r="B38" s="179"/>
      <c r="C38" s="179"/>
      <c r="D38" s="180" t="n">
        <f aca="false">'Valuation output'!B32</f>
      </c>
      <c r="E38" s="174"/>
      <c r="F38" s="181"/>
      <c r="G38" s="175"/>
      <c r="H38" s="170"/>
      <c r="I38" s="170"/>
      <c r="J38" s="170"/>
      <c r="K38" s="170"/>
    </row>
    <row r="39" customFormat="false" ht="15.75" hidden="false" customHeight="false" outlineLevel="0" collapsed="false">
      <c r="A39" s="182" t="s">
        <v>195</v>
      </c>
      <c r="B39" s="182"/>
      <c r="C39" s="182"/>
      <c r="D39" s="183" t="n">
        <f aca="false">(D36-D37)/D38</f>
      </c>
      <c r="E39" s="184" t="s">
        <v>196</v>
      </c>
      <c r="F39" s="184"/>
      <c r="G39" s="185" t="n">
        <f aca="false">'Input sheet'!B19</f>
      </c>
      <c r="H39" s="170"/>
      <c r="I39" s="170"/>
      <c r="J39" s="170"/>
      <c r="K39" s="170"/>
    </row>
    <row r="43" customFormat="false" ht="15.75" hidden="false" customHeight="false" outlineLevel="0" collapsed="false">
      <c r="J43" s="186" t="n">
        <f aca="false">D39/1944</f>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c>
      <c r="D2" s="190" t="n">
        <f aca="false">'Valuation output'!B4</f>
      </c>
      <c r="E2" s="189" t="n">
        <f aca="false">B2*D2</f>
      </c>
      <c r="F2" s="189" t="n">
        <f aca="false">'Valuation output'!B10</f>
      </c>
      <c r="G2" s="189" t="n">
        <f aca="false">E2-H2</f>
      </c>
      <c r="H2" s="189" t="n">
        <f aca="false">'Valuation output'!B7</f>
      </c>
    </row>
    <row r="3" s="188" customFormat="true" ht="12" hidden="false" customHeight="false" outlineLevel="0" collapsed="false">
      <c r="A3" s="188" t="n">
        <v>1</v>
      </c>
      <c r="B3" s="189" t="n">
        <f aca="false">'Valuation output'!C3</f>
      </c>
      <c r="C3" s="190" t="n">
        <f aca="false">'Valuation output'!C2</f>
      </c>
      <c r="D3" s="190" t="n">
        <f aca="false">'Valuation output'!C4</f>
      </c>
      <c r="E3" s="189" t="n">
        <f aca="false">B3*D3</f>
      </c>
      <c r="F3" s="189" t="n">
        <f aca="false">'Valuation output'!C10</f>
      </c>
      <c r="G3" s="189" t="n">
        <f aca="false">E3-H3</f>
      </c>
      <c r="H3" s="189" t="n">
        <f aca="false">'Valuation output'!C7</f>
      </c>
    </row>
    <row r="4" s="188" customFormat="true" ht="12" hidden="false" customHeight="false" outlineLevel="0" collapsed="false">
      <c r="A4" s="188" t="n">
        <v>2</v>
      </c>
      <c r="B4" s="189" t="n">
        <f aca="false">'Valuation output'!D3</f>
      </c>
      <c r="C4" s="190" t="n">
        <f aca="false">B4/B3-1</f>
      </c>
      <c r="D4" s="190" t="n">
        <f aca="false">'Valuation output'!D4</f>
      </c>
      <c r="E4" s="189" t="n">
        <f aca="false">B4*D4</f>
      </c>
      <c r="F4" s="189" t="n">
        <f aca="false">'Valuation output'!D10</f>
      </c>
      <c r="G4" s="189" t="n">
        <f aca="false">E4-H4</f>
      </c>
      <c r="H4" s="189" t="n">
        <f aca="false">'Valuation output'!D7</f>
      </c>
    </row>
    <row r="5" s="188" customFormat="true" ht="12" hidden="false" customHeight="false" outlineLevel="0" collapsed="false">
      <c r="A5" s="188" t="n">
        <v>3</v>
      </c>
      <c r="B5" s="189" t="n">
        <f aca="false">'Valuation output'!E3</f>
      </c>
      <c r="C5" s="190" t="n">
        <f aca="false">B5/B4-1</f>
      </c>
      <c r="D5" s="190" t="n">
        <f aca="false">'Valuation output'!E4</f>
      </c>
      <c r="E5" s="189" t="n">
        <f aca="false">B5*D5</f>
      </c>
      <c r="F5" s="189" t="n">
        <f aca="false">'Valuation output'!E10</f>
      </c>
      <c r="G5" s="189" t="n">
        <f aca="false">E5-H5</f>
      </c>
      <c r="H5" s="189" t="n">
        <f aca="false">'Valuation output'!E7</f>
      </c>
    </row>
    <row r="6" s="188" customFormat="true" ht="12" hidden="false" customHeight="false" outlineLevel="0" collapsed="false">
      <c r="A6" s="188" t="n">
        <v>4</v>
      </c>
      <c r="B6" s="189" t="n">
        <f aca="false">'Valuation output'!F3</f>
      </c>
      <c r="C6" s="190" t="n">
        <f aca="false">B6/B5-1</f>
      </c>
      <c r="D6" s="190" t="n">
        <f aca="false">'Valuation output'!F4</f>
      </c>
      <c r="E6" s="189" t="n">
        <f aca="false">B6*D6</f>
      </c>
      <c r="F6" s="189" t="n">
        <f aca="false">'Valuation output'!F10</f>
      </c>
      <c r="G6" s="189" t="n">
        <f aca="false">E6-H6</f>
      </c>
      <c r="H6" s="189" t="n">
        <f aca="false">'Valuation output'!F7</f>
      </c>
    </row>
    <row r="7" s="188" customFormat="true" ht="12" hidden="false" customHeight="false" outlineLevel="0" collapsed="false">
      <c r="A7" s="188" t="n">
        <v>5</v>
      </c>
      <c r="B7" s="189" t="n">
        <f aca="false">'Valuation output'!G3</f>
      </c>
      <c r="C7" s="190" t="n">
        <f aca="false">B7/B6-1</f>
      </c>
      <c r="D7" s="190" t="n">
        <f aca="false">'Valuation output'!G4</f>
      </c>
      <c r="E7" s="189" t="n">
        <f aca="false">B7*D7</f>
      </c>
      <c r="F7" s="189" t="n">
        <f aca="false">'Valuation output'!G10</f>
      </c>
      <c r="G7" s="189" t="n">
        <f aca="false">E7-H7</f>
      </c>
      <c r="H7" s="189" t="n">
        <f aca="false">'Valuation output'!G7</f>
      </c>
    </row>
    <row r="8" s="188" customFormat="true" ht="12" hidden="false" customHeight="false" outlineLevel="0" collapsed="false">
      <c r="A8" s="188" t="n">
        <v>6</v>
      </c>
      <c r="B8" s="189" t="n">
        <f aca="false">'Valuation output'!H3</f>
      </c>
      <c r="C8" s="190" t="n">
        <f aca="false">B8/B7-1</f>
      </c>
      <c r="D8" s="190" t="n">
        <f aca="false">'Valuation output'!H4</f>
      </c>
      <c r="E8" s="189" t="n">
        <f aca="false">B8*D8</f>
      </c>
      <c r="F8" s="189" t="n">
        <f aca="false">'Valuation output'!H10</f>
      </c>
      <c r="G8" s="189" t="n">
        <f aca="false">E8-H8</f>
      </c>
      <c r="H8" s="189" t="n">
        <f aca="false">'Valuation output'!H7</f>
      </c>
    </row>
    <row r="9" s="188" customFormat="true" ht="12" hidden="false" customHeight="false" outlineLevel="0" collapsed="false">
      <c r="A9" s="188" t="n">
        <v>7</v>
      </c>
      <c r="B9" s="189" t="n">
        <f aca="false">'Valuation output'!I3</f>
      </c>
      <c r="C9" s="190" t="n">
        <f aca="false">B9/B8-1</f>
      </c>
      <c r="D9" s="190" t="n">
        <f aca="false">'Valuation output'!I4</f>
      </c>
      <c r="E9" s="189" t="n">
        <f aca="false">B9*D9</f>
      </c>
      <c r="F9" s="189" t="n">
        <f aca="false">'Valuation output'!I10</f>
      </c>
      <c r="G9" s="189" t="n">
        <f aca="false">E9-H9</f>
      </c>
      <c r="H9" s="189" t="n">
        <f aca="false">'Valuation output'!I7</f>
      </c>
    </row>
    <row r="10" s="188" customFormat="true" ht="12" hidden="false" customHeight="false" outlineLevel="0" collapsed="false">
      <c r="A10" s="188" t="n">
        <v>8</v>
      </c>
      <c r="B10" s="189" t="n">
        <f aca="false">'Valuation output'!J3</f>
      </c>
      <c r="C10" s="190" t="n">
        <f aca="false">B10/B9-1</f>
      </c>
      <c r="D10" s="190" t="n">
        <f aca="false">'Valuation output'!J4</f>
      </c>
      <c r="E10" s="189" t="n">
        <f aca="false">B10*D10</f>
      </c>
      <c r="F10" s="189" t="n">
        <f aca="false">'Valuation output'!J10</f>
      </c>
      <c r="G10" s="189" t="n">
        <f aca="false">E10-H10</f>
      </c>
      <c r="H10" s="189" t="n">
        <f aca="false">'Valuation output'!J7</f>
      </c>
    </row>
    <row r="11" s="188" customFormat="true" ht="12" hidden="false" customHeight="false" outlineLevel="0" collapsed="false">
      <c r="A11" s="188" t="n">
        <v>9</v>
      </c>
      <c r="B11" s="189" t="n">
        <f aca="false">'Valuation output'!K3</f>
      </c>
      <c r="C11" s="190" t="n">
        <f aca="false">B11/B10-1</f>
      </c>
      <c r="D11" s="190" t="n">
        <f aca="false">'Valuation output'!K4</f>
      </c>
      <c r="E11" s="189" t="n">
        <f aca="false">B11*D11</f>
      </c>
      <c r="F11" s="189" t="n">
        <f aca="false">'Valuation output'!K10</f>
      </c>
      <c r="G11" s="189" t="n">
        <f aca="false">E11-H11</f>
      </c>
      <c r="H11" s="189" t="n">
        <f aca="false">'Valuation output'!K7</f>
      </c>
    </row>
    <row r="12" s="188" customFormat="true" ht="12" hidden="false" customHeight="false" outlineLevel="0" collapsed="false">
      <c r="A12" s="188" t="n">
        <v>10</v>
      </c>
      <c r="B12" s="189" t="n">
        <f aca="false">'Valuation output'!L3</f>
      </c>
      <c r="C12" s="190" t="n">
        <f aca="false">B12/B11-1</f>
      </c>
      <c r="D12" s="190" t="n">
        <f aca="false">'Valuation output'!L4</f>
      </c>
      <c r="E12" s="189" t="n">
        <f aca="false">B12*D12</f>
      </c>
      <c r="F12" s="189" t="n">
        <f aca="false">'Valuation output'!L10</f>
      </c>
      <c r="G12" s="189" t="n">
        <f aca="false">E12-H12</f>
      </c>
      <c r="H12" s="189" t="n">
        <f aca="false">'Valuation output'!L7</f>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c>
      <c r="B15" s="189" t="n">
        <f aca="false">H2</f>
      </c>
      <c r="G15" s="191" t="n">
        <f aca="false">'Valuation output'!B39</f>
      </c>
      <c r="H15" s="192" t="n">
        <f aca="false">B15/G15</f>
      </c>
    </row>
    <row r="16" s="188" customFormat="true" ht="12" hidden="false" customHeight="false" outlineLevel="0" collapsed="false">
      <c r="A16" s="188" t="n">
        <f aca="false">A3</f>
      </c>
      <c r="B16" s="189" t="n">
        <f aca="false">H3</f>
      </c>
      <c r="C16" s="189" t="n">
        <f aca="false">B3-B2</f>
      </c>
      <c r="D16" s="193" t="n">
        <f aca="false">'Valuation output'!C38</f>
      </c>
      <c r="E16" s="189" t="n">
        <f aca="false">C16/D16</f>
      </c>
      <c r="F16" s="189" t="n">
        <f aca="false">B16-E16</f>
      </c>
      <c r="G16" s="189" t="n">
        <f aca="false">G15+E16</f>
      </c>
      <c r="H16" s="192" t="n">
        <f aca="false">B16/G16</f>
      </c>
    </row>
    <row r="17" s="188" customFormat="true" ht="12" hidden="false" customHeight="false" outlineLevel="0" collapsed="false">
      <c r="A17" s="188" t="n">
        <f aca="false">A4</f>
      </c>
      <c r="B17" s="189" t="n">
        <f aca="false">H4</f>
      </c>
      <c r="C17" s="189" t="n">
        <f aca="false">B4-B3</f>
      </c>
      <c r="D17" s="193" t="n">
        <f aca="false">'Valuation output'!D38</f>
      </c>
      <c r="E17" s="189" t="n">
        <f aca="false">C17/D17</f>
      </c>
      <c r="F17" s="189" t="n">
        <f aca="false">B17-E17</f>
      </c>
      <c r="G17" s="189" t="n">
        <f aca="false">G16+E17</f>
      </c>
      <c r="H17" s="192" t="n">
        <f aca="false">B17/G17</f>
      </c>
    </row>
    <row r="18" s="188" customFormat="true" ht="12" hidden="false" customHeight="false" outlineLevel="0" collapsed="false">
      <c r="A18" s="188" t="n">
        <f aca="false">A5</f>
      </c>
      <c r="B18" s="189" t="n">
        <f aca="false">H5</f>
      </c>
      <c r="C18" s="189" t="n">
        <f aca="false">B5-B4</f>
      </c>
      <c r="D18" s="193" t="n">
        <f aca="false">'Valuation output'!E38</f>
      </c>
      <c r="E18" s="189" t="n">
        <f aca="false">C18/D18</f>
      </c>
      <c r="F18" s="189" t="n">
        <f aca="false">B18-E18</f>
      </c>
      <c r="G18" s="189" t="n">
        <f aca="false">G17+E18</f>
      </c>
      <c r="H18" s="192" t="n">
        <f aca="false">B18/G18</f>
      </c>
    </row>
    <row r="19" s="188" customFormat="true" ht="12" hidden="false" customHeight="false" outlineLevel="0" collapsed="false">
      <c r="A19" s="188" t="n">
        <f aca="false">A6</f>
      </c>
      <c r="B19" s="189" t="n">
        <f aca="false">H6</f>
      </c>
      <c r="C19" s="189" t="n">
        <f aca="false">B6-B5</f>
      </c>
      <c r="D19" s="193" t="n">
        <f aca="false">'Valuation output'!F38</f>
      </c>
      <c r="E19" s="189" t="n">
        <f aca="false">C19/D19</f>
      </c>
      <c r="F19" s="189" t="n">
        <f aca="false">B19-E19</f>
      </c>
      <c r="G19" s="189" t="n">
        <f aca="false">G18+E19</f>
      </c>
      <c r="H19" s="192" t="n">
        <f aca="false">B19/G19</f>
      </c>
    </row>
    <row r="20" s="188" customFormat="true" ht="12" hidden="false" customHeight="false" outlineLevel="0" collapsed="false">
      <c r="A20" s="188" t="n">
        <f aca="false">A7</f>
      </c>
      <c r="B20" s="189" t="n">
        <f aca="false">H7</f>
      </c>
      <c r="C20" s="189" t="n">
        <f aca="false">B7-B6</f>
      </c>
      <c r="D20" s="193" t="n">
        <f aca="false">'Valuation output'!G38</f>
      </c>
      <c r="E20" s="189" t="n">
        <f aca="false">C20/D20</f>
      </c>
      <c r="F20" s="189" t="n">
        <f aca="false">B20-E20</f>
      </c>
      <c r="G20" s="189" t="n">
        <f aca="false">G19+E20</f>
      </c>
      <c r="H20" s="192" t="n">
        <f aca="false">B20/G20</f>
      </c>
    </row>
    <row r="21" s="188" customFormat="true" ht="12" hidden="false" customHeight="false" outlineLevel="0" collapsed="false">
      <c r="A21" s="188" t="n">
        <f aca="false">A8</f>
      </c>
      <c r="B21" s="189" t="n">
        <f aca="false">H8</f>
      </c>
      <c r="C21" s="189" t="n">
        <f aca="false">B8-B7</f>
      </c>
      <c r="D21" s="193" t="n">
        <f aca="false">'Valuation output'!H38</f>
      </c>
      <c r="E21" s="189" t="n">
        <f aca="false">C21/D21</f>
      </c>
      <c r="F21" s="189" t="n">
        <f aca="false">B21-E21</f>
      </c>
      <c r="G21" s="189" t="n">
        <f aca="false">G20+E21</f>
      </c>
      <c r="H21" s="192" t="n">
        <f aca="false">B21/G21</f>
      </c>
    </row>
    <row r="22" s="188" customFormat="true" ht="12" hidden="false" customHeight="false" outlineLevel="0" collapsed="false">
      <c r="A22" s="188" t="n">
        <f aca="false">A9</f>
      </c>
      <c r="B22" s="189" t="n">
        <f aca="false">H9</f>
      </c>
      <c r="C22" s="189" t="n">
        <f aca="false">B9-B8</f>
      </c>
      <c r="D22" s="193" t="n">
        <f aca="false">'Valuation output'!I38</f>
      </c>
      <c r="E22" s="189" t="n">
        <f aca="false">C22/D22</f>
      </c>
      <c r="F22" s="189" t="n">
        <f aca="false">B22-E22</f>
      </c>
      <c r="G22" s="189" t="n">
        <f aca="false">G21+E22</f>
      </c>
      <c r="H22" s="192" t="n">
        <f aca="false">B22/G22</f>
      </c>
    </row>
    <row r="23" s="188" customFormat="true" ht="12" hidden="false" customHeight="false" outlineLevel="0" collapsed="false">
      <c r="A23" s="188" t="n">
        <f aca="false">A10</f>
      </c>
      <c r="B23" s="189" t="n">
        <f aca="false">H10</f>
      </c>
      <c r="C23" s="189" t="n">
        <f aca="false">B10-B9</f>
      </c>
      <c r="D23" s="193" t="n">
        <f aca="false">'Valuation output'!J38</f>
      </c>
      <c r="E23" s="189" t="n">
        <f aca="false">C23/D23</f>
      </c>
      <c r="F23" s="189" t="n">
        <f aca="false">B23-E23</f>
      </c>
      <c r="G23" s="189" t="n">
        <f aca="false">G22+E23</f>
      </c>
      <c r="H23" s="192" t="n">
        <f aca="false">B23/G23</f>
      </c>
    </row>
    <row r="24" s="188" customFormat="true" ht="12" hidden="false" customHeight="false" outlineLevel="0" collapsed="false">
      <c r="A24" s="188" t="n">
        <f aca="false">A11</f>
      </c>
      <c r="B24" s="189" t="n">
        <f aca="false">H11</f>
      </c>
      <c r="C24" s="189" t="n">
        <f aca="false">B11-B10</f>
      </c>
      <c r="D24" s="193" t="n">
        <f aca="false">'Valuation output'!K38</f>
      </c>
      <c r="E24" s="189" t="n">
        <f aca="false">C24/D24</f>
      </c>
      <c r="F24" s="189" t="n">
        <f aca="false">B24-E24</f>
      </c>
      <c r="G24" s="189" t="n">
        <f aca="false">G23+E24</f>
      </c>
      <c r="H24" s="192" t="n">
        <f aca="false">B24/G24</f>
      </c>
    </row>
    <row r="25" s="188" customFormat="true" ht="12" hidden="false" customHeight="false" outlineLevel="0" collapsed="false">
      <c r="A25" s="188" t="n">
        <f aca="false">A12</f>
      </c>
      <c r="B25" s="189" t="n">
        <f aca="false">H12</f>
      </c>
      <c r="C25" s="189" t="n">
        <f aca="false">B12-B11</f>
      </c>
      <c r="D25" s="193" t="n">
        <f aca="false">'Valuation output'!L38</f>
      </c>
      <c r="E25" s="189" t="n">
        <f aca="false">C25/D25</f>
      </c>
      <c r="F25" s="189" t="n">
        <f aca="false">B25-E25</f>
      </c>
      <c r="G25" s="189" t="n">
        <f aca="false">G24+E25</f>
      </c>
      <c r="H25" s="192" t="n">
        <f aca="false">B25/G25</f>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c>
      <c r="H28" s="194" t="n">
        <f aca="false">'Valuation output'!C12</f>
      </c>
    </row>
    <row r="29" customFormat="false" ht="12" hidden="false" customHeight="false" outlineLevel="0" collapsed="false">
      <c r="A29" s="0" t="n">
        <f aca="false">A17</f>
      </c>
      <c r="H29" s="194" t="n">
        <f aca="false">'Valuation output'!D12</f>
      </c>
    </row>
    <row r="30" customFormat="false" ht="12" hidden="false" customHeight="false" outlineLevel="0" collapsed="false">
      <c r="A30" s="0" t="n">
        <f aca="false">A18</f>
      </c>
      <c r="H30" s="194" t="n">
        <f aca="false">'Valuation output'!E12</f>
      </c>
    </row>
    <row r="31" customFormat="false" ht="12" hidden="false" customHeight="false" outlineLevel="0" collapsed="false">
      <c r="A31" s="0" t="n">
        <f aca="false">A19</f>
      </c>
      <c r="H31" s="194" t="n">
        <f aca="false">'Valuation output'!F12</f>
      </c>
    </row>
    <row r="32" customFormat="false" ht="12" hidden="false" customHeight="false" outlineLevel="0" collapsed="false">
      <c r="A32" s="0" t="n">
        <f aca="false">A20</f>
      </c>
      <c r="H32" s="194" t="n">
        <f aca="false">'Valuation output'!G12</f>
      </c>
    </row>
    <row r="33" customFormat="false" ht="12" hidden="false" customHeight="false" outlineLevel="0" collapsed="false">
      <c r="A33" s="0" t="n">
        <f aca="false">A21</f>
      </c>
      <c r="H33" s="194" t="n">
        <f aca="false">'Valuation output'!H12</f>
      </c>
    </row>
    <row r="34" customFormat="false" ht="12" hidden="false" customHeight="false" outlineLevel="0" collapsed="false">
      <c r="A34" s="0" t="n">
        <f aca="false">A22</f>
      </c>
      <c r="H34" s="194" t="n">
        <f aca="false">'Valuation output'!I12</f>
      </c>
    </row>
    <row r="35" customFormat="false" ht="12" hidden="false" customHeight="false" outlineLevel="0" collapsed="false">
      <c r="A35" s="0" t="n">
        <f aca="false">A23</f>
      </c>
      <c r="H35" s="194" t="n">
        <f aca="false">'Valuation output'!J12</f>
      </c>
    </row>
    <row r="36" customFormat="false" ht="12" hidden="false" customHeight="false" outlineLevel="0" collapsed="false">
      <c r="A36" s="0" t="n">
        <f aca="false">A24</f>
      </c>
      <c r="H36" s="194" t="n">
        <f aca="false">'Valuation output'!K12</f>
      </c>
    </row>
    <row r="37" customFormat="false" ht="12" hidden="false" customHeight="false" outlineLevel="0" collapsed="false">
      <c r="A37" s="0" t="n">
        <f aca="false">A25</f>
      </c>
      <c r="H37" s="194" t="n">
        <f aca="false">'Valuation output'!L12</f>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c>
      <c r="B40" s="186" t="n">
        <f aca="false">H28</f>
      </c>
      <c r="C40" s="195" t="n">
        <f aca="false">(1+'Summary Sheet'!B40)</f>
      </c>
      <c r="D40" s="196" t="n">
        <f aca="false">F16</f>
      </c>
      <c r="F40" s="196" t="n">
        <f aca="false">D40/C40</f>
      </c>
    </row>
    <row r="41" customFormat="false" ht="12" hidden="false" customHeight="false" outlineLevel="0" collapsed="false">
      <c r="A41" s="0" t="n">
        <f aca="false">A29</f>
      </c>
      <c r="B41" s="186" t="n">
        <f aca="false">H29</f>
      </c>
      <c r="C41" s="195" t="n">
        <f aca="false">C40*(1+B41)</f>
      </c>
      <c r="D41" s="196" t="n">
        <f aca="false">F17</f>
      </c>
      <c r="F41" s="196" t="n">
        <f aca="false">D41/C41</f>
      </c>
    </row>
    <row r="42" customFormat="false" ht="12" hidden="false" customHeight="false" outlineLevel="0" collapsed="false">
      <c r="A42" s="0" t="n">
        <f aca="false">A30</f>
      </c>
      <c r="B42" s="186" t="n">
        <f aca="false">H30</f>
      </c>
      <c r="C42" s="195" t="n">
        <f aca="false">C41*(1+B42)</f>
      </c>
      <c r="D42" s="196" t="n">
        <f aca="false">F18</f>
      </c>
      <c r="F42" s="196" t="n">
        <f aca="false">D42/C42</f>
      </c>
    </row>
    <row r="43" customFormat="false" ht="12" hidden="false" customHeight="false" outlineLevel="0" collapsed="false">
      <c r="A43" s="0" t="n">
        <f aca="false">A31</f>
      </c>
      <c r="B43" s="186" t="n">
        <f aca="false">H31</f>
      </c>
      <c r="C43" s="195" t="n">
        <f aca="false">C42*(1+B43)</f>
      </c>
      <c r="D43" s="196" t="n">
        <f aca="false">F19</f>
      </c>
      <c r="F43" s="196" t="n">
        <f aca="false">D43/C43</f>
      </c>
    </row>
    <row r="44" customFormat="false" ht="12" hidden="false" customHeight="false" outlineLevel="0" collapsed="false">
      <c r="A44" s="0" t="n">
        <f aca="false">A32</f>
      </c>
      <c r="B44" s="186" t="n">
        <f aca="false">H32</f>
      </c>
      <c r="C44" s="195" t="n">
        <f aca="false">C43*(1+B44)</f>
      </c>
      <c r="D44" s="196" t="n">
        <f aca="false">F20</f>
      </c>
      <c r="F44" s="196" t="n">
        <f aca="false">D44/C44</f>
      </c>
    </row>
    <row r="45" customFormat="false" ht="12" hidden="false" customHeight="false" outlineLevel="0" collapsed="false">
      <c r="A45" s="0" t="n">
        <f aca="false">A33</f>
      </c>
      <c r="B45" s="186" t="n">
        <f aca="false">H33</f>
      </c>
      <c r="C45" s="195" t="n">
        <f aca="false">C44*(1+B45)</f>
      </c>
      <c r="D45" s="196" t="n">
        <f aca="false">F21</f>
      </c>
      <c r="F45" s="196" t="n">
        <f aca="false">D45/C45</f>
      </c>
    </row>
    <row r="46" customFormat="false" ht="12" hidden="false" customHeight="false" outlineLevel="0" collapsed="false">
      <c r="A46" s="0" t="n">
        <f aca="false">A34</f>
      </c>
      <c r="B46" s="186" t="n">
        <f aca="false">H34</f>
      </c>
      <c r="C46" s="195" t="n">
        <f aca="false">C45*(1+B46)</f>
      </c>
      <c r="D46" s="196" t="n">
        <f aca="false">F22</f>
      </c>
      <c r="F46" s="196" t="n">
        <f aca="false">D46/C46</f>
      </c>
    </row>
    <row r="47" customFormat="false" ht="12" hidden="false" customHeight="false" outlineLevel="0" collapsed="false">
      <c r="A47" s="0" t="n">
        <f aca="false">A35</f>
      </c>
      <c r="B47" s="186" t="n">
        <f aca="false">H35</f>
      </c>
      <c r="C47" s="195" t="n">
        <f aca="false">C46*(1+B47)</f>
      </c>
      <c r="D47" s="196" t="n">
        <f aca="false">F23</f>
      </c>
      <c r="F47" s="196" t="n">
        <f aca="false">D47/C47</f>
      </c>
    </row>
    <row r="48" customFormat="false" ht="12" hidden="false" customHeight="false" outlineLevel="0" collapsed="false">
      <c r="A48" s="0" t="n">
        <f aca="false">A36</f>
      </c>
      <c r="B48" s="186" t="n">
        <f aca="false">H36</f>
      </c>
      <c r="C48" s="195" t="n">
        <f aca="false">C47*(1+B48)</f>
      </c>
      <c r="D48" s="196" t="n">
        <f aca="false">F24</f>
      </c>
      <c r="F48" s="196" t="n">
        <f aca="false">D48/C48</f>
      </c>
    </row>
    <row r="49" customFormat="false" ht="12" hidden="false" customHeight="false" outlineLevel="0" collapsed="false">
      <c r="A49" s="0" t="n">
        <f aca="false">A37</f>
      </c>
      <c r="B49" s="186" t="n">
        <f aca="false">H37</f>
      </c>
      <c r="C49" s="195" t="n">
        <f aca="false">C48*(1+B49)</f>
      </c>
      <c r="D49" s="196" t="n">
        <f aca="false">F25</f>
      </c>
      <c r="E49" s="196" t="n">
        <f aca="false">'Valuation output'!B18</f>
      </c>
      <c r="F49" s="196" t="n">
        <f aca="false">(D49+E49)/C49</f>
      </c>
    </row>
    <row r="50" customFormat="false" ht="12" hidden="false" customHeight="false" outlineLevel="0" collapsed="false">
      <c r="A50" s="0" t="s">
        <v>144</v>
      </c>
      <c r="F50" s="196" t="n">
        <f aca="false">SUM(F40:F49)</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c>
    </row>
    <row r="3" customFormat="false" ht="12.65" hidden="false" customHeight="false" outlineLevel="0" collapsed="false">
      <c r="A3" s="199" t="s">
        <v>221</v>
      </c>
      <c r="B3" s="199"/>
      <c r="D3" s="201" t="n">
        <f aca="false">'Input sheet'!B33</f>
      </c>
    </row>
    <row r="4" customFormat="false" ht="12.65" hidden="false" customHeight="false" outlineLevel="0" collapsed="false">
      <c r="A4" s="199" t="s">
        <v>222</v>
      </c>
      <c r="B4" s="199"/>
      <c r="D4" s="202" t="n">
        <f aca="false">'Input sheet'!B34</f>
      </c>
    </row>
    <row r="5" customFormat="false" ht="12.65" hidden="false" customHeight="false" outlineLevel="0" collapsed="false">
      <c r="A5" s="199" t="s">
        <v>223</v>
      </c>
      <c r="B5" s="199"/>
      <c r="D5" s="203" t="n">
        <f aca="false">'Input sheet'!B35</f>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c>
    </row>
    <row r="8" customFormat="false" ht="12.65" hidden="false" customHeight="false" outlineLevel="0" collapsed="false">
      <c r="A8" s="199" t="s">
        <v>227</v>
      </c>
      <c r="B8" s="199"/>
      <c r="D8" s="202" t="n">
        <f aca="false">'Input sheet'!B32</f>
      </c>
    </row>
    <row r="9" customFormat="false" ht="12.65" hidden="false" customHeight="false" outlineLevel="0" collapsed="false">
      <c r="A9" s="199" t="s">
        <v>228</v>
      </c>
      <c r="B9" s="199"/>
      <c r="D9" s="205" t="n">
        <f aca="false">'Input sheet'!B18</f>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c>
      <c r="D13" s="199" t="s">
        <v>232</v>
      </c>
      <c r="F13" s="211" t="n">
        <f aca="false">D8</f>
      </c>
      <c r="G13" s="212"/>
    </row>
    <row r="14" s="199" customFormat="true" ht="12.65" hidden="false" customHeight="false" outlineLevel="0" collapsed="false">
      <c r="A14" s="199" t="s">
        <v>233</v>
      </c>
      <c r="C14" s="210" t="n">
        <f aca="false">D3</f>
      </c>
      <c r="D14" s="199" t="s">
        <v>234</v>
      </c>
      <c r="F14" s="213" t="n">
        <f aca="false">D9</f>
      </c>
      <c r="G14" s="212"/>
    </row>
    <row r="15" s="199" customFormat="true" ht="12.65" hidden="false" customHeight="false" outlineLevel="0" collapsed="false">
      <c r="A15" s="199" t="s">
        <v>235</v>
      </c>
      <c r="C15" s="214" t="e">
        <f aca="false">(C13*F14+C26*F13)/(F14+F13)</f>
      </c>
      <c r="D15" s="199" t="s">
        <v>236</v>
      </c>
      <c r="F15" s="215" t="n">
        <f aca="false">D7</f>
      </c>
    </row>
    <row r="16" s="199" customFormat="true" ht="12.65" hidden="false" customHeight="false" outlineLevel="0" collapsed="false">
      <c r="A16" s="199" t="s">
        <v>237</v>
      </c>
      <c r="C16" s="210" t="n">
        <f aca="false">C14</f>
      </c>
      <c r="D16" s="199" t="s">
        <v>238</v>
      </c>
      <c r="F16" s="216" t="n">
        <f aca="false">D5^2</f>
      </c>
    </row>
    <row r="17" s="199" customFormat="true" ht="12.65" hidden="false" customHeight="false" outlineLevel="0" collapsed="false">
      <c r="A17" s="199" t="s">
        <v>239</v>
      </c>
      <c r="C17" s="217" t="n">
        <f aca="false">D4</f>
      </c>
      <c r="D17" s="199" t="s">
        <v>240</v>
      </c>
      <c r="F17" s="215" t="n">
        <f aca="false">D6</f>
      </c>
    </row>
    <row r="18" s="199" customFormat="true" ht="12.65" hidden="false" customHeight="false" outlineLevel="0" collapsed="false">
      <c r="C18" s="209"/>
      <c r="D18" s="199" t="s">
        <v>241</v>
      </c>
      <c r="F18" s="218" t="n">
        <f aca="false">F15-F17</f>
      </c>
    </row>
    <row r="19" s="199" customFormat="true" ht="12.65" hidden="false" customHeight="false" outlineLevel="0" collapsed="false"/>
    <row r="20" s="199" customFormat="true" ht="12.65" hidden="false" customHeight="false" outlineLevel="0" collapsed="false">
      <c r="A20" s="199" t="s">
        <v>242</v>
      </c>
      <c r="B20" s="219" t="e">
        <f aca="false">(LN(C15/C16)+(F18+(F16/2))*C17)/(((F16)^(0.5))*(C17^0.5))</f>
      </c>
    </row>
    <row r="21" s="199" customFormat="true" ht="12.65" hidden="false" customHeight="false" outlineLevel="0" collapsed="false">
      <c r="A21" s="199" t="s">
        <v>243</v>
      </c>
      <c r="B21" s="219" t="e">
        <f aca="false">NORMSDIST(B20)</f>
      </c>
    </row>
    <row r="22" s="199" customFormat="true" ht="12.65" hidden="false" customHeight="false" outlineLevel="0" collapsed="false"/>
    <row r="23" s="199" customFormat="true" ht="15.75" hidden="false" customHeight="true" outlineLevel="0" collapsed="false">
      <c r="A23" s="199" t="s">
        <v>244</v>
      </c>
      <c r="B23" s="219" t="e">
        <f aca="false">B20-((F16^0.5)*(C17^(0.5)))</f>
      </c>
    </row>
    <row r="24" s="199" customFormat="true" ht="12.65" hidden="false" customHeight="false" outlineLevel="0" collapsed="false">
      <c r="A24" s="199" t="s">
        <v>245</v>
      </c>
      <c r="B24" s="219" t="e">
        <f aca="false">NORMSDIST(B23)</f>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c>
      <c r="G26" s="221"/>
    </row>
    <row r="27" s="199" customFormat="true" ht="12.65" hidden="false" customHeight="false" outlineLevel="0" collapsed="false">
      <c r="A27" s="199" t="s">
        <v>247</v>
      </c>
      <c r="D27" s="222" t="e">
        <f aca="false">C26*D8</f>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c>
    </row>
    <row r="3" s="226" customFormat="true" ht="15.75" hidden="false" customHeight="false" outlineLevel="0" collapsed="false">
      <c r="A3" s="225" t="s">
        <v>250</v>
      </c>
      <c r="B3" s="227" t="n">
        <f aca="false">'Valuation output'!L39</f>
      </c>
    </row>
    <row r="4" s="226" customFormat="true" ht="15.75" hidden="false" customHeight="false" outlineLevel="0" collapsed="false">
      <c r="A4" s="225" t="s">
        <v>251</v>
      </c>
      <c r="B4" s="227" t="n">
        <f aca="false">B3-B2</f>
      </c>
    </row>
    <row r="5" s="226" customFormat="true" ht="15.75" hidden="false" customHeight="false" outlineLevel="0" collapsed="false">
      <c r="A5" s="225" t="s">
        <v>252</v>
      </c>
      <c r="B5" s="227" t="n">
        <f aca="false">'Valuation output'!L5-'Valuation output'!B5</f>
      </c>
    </row>
    <row r="6" s="226" customFormat="true" ht="15.75" hidden="false" customHeight="false" outlineLevel="0" collapsed="false">
      <c r="A6" s="225" t="s">
        <v>253</v>
      </c>
      <c r="B6" s="228" t="n">
        <f aca="false">B5/B4</f>
      </c>
    </row>
    <row r="7" s="226" customFormat="true" ht="15.75" hidden="false" customHeight="false" outlineLevel="0" collapsed="false">
      <c r="A7" s="225" t="s">
        <v>254</v>
      </c>
      <c r="B7" s="228" t="n">
        <f aca="false">'Valuation output'!L40</f>
      </c>
    </row>
    <row r="8" s="226" customFormat="true" ht="15.75" hidden="false" customHeight="false" outlineLevel="0" collapsed="false">
      <c r="A8" s="225" t="s">
        <v>255</v>
      </c>
      <c r="B8" s="228" t="n">
        <f aca="false">(1/'Valuation output'!L13)^(1/10)-1</f>
      </c>
    </row>
    <row r="9" s="226" customFormat="true" ht="15.75" hidden="false" customHeight="false" outlineLevel="0" collapsed="false">
      <c r="A9" s="229" t="s">
        <v>256</v>
      </c>
      <c r="B9" s="230" t="n">
        <f aca="false">'Valuation output'!B33/'Valuation output'!B34</f>
      </c>
    </row>
    <row r="10" s="226" customFormat="true" ht="15.75" hidden="false" customHeight="false" outlineLevel="0" collapsed="false">
      <c r="A10" s="231"/>
      <c r="B10" s="232" t="str">
        <f aca="false">IF(B9="NA","Value is negative. See below",IF(B9&gt;2,"Value seems high. See below",IF(B9&lt;0.5,"Value seems low. See below"," ")))</f>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c>
      <c r="B12" s="255" t="n">
        <v>12540</v>
      </c>
      <c r="C12" s="252" t="s">
        <v>285</v>
      </c>
      <c r="D12" s="252"/>
      <c r="E12" s="252"/>
      <c r="F12" s="252"/>
      <c r="G12" s="252"/>
      <c r="H12" s="252"/>
      <c r="I12" s="252"/>
    </row>
    <row r="13" s="253" customFormat="true" ht="12.65" hidden="false" customHeight="false" outlineLevel="0" collapsed="false">
      <c r="A13" s="254" t="n">
        <f aca="false">IF((0-A12)&lt;$F$6,IF(A12&gt;-1,,A12-1),)</f>
      </c>
      <c r="B13" s="255"/>
      <c r="C13" s="252"/>
      <c r="D13" s="252"/>
      <c r="E13" s="252"/>
      <c r="F13" s="252"/>
      <c r="G13" s="252"/>
      <c r="H13" s="252"/>
      <c r="I13" s="252"/>
    </row>
    <row r="14" s="253" customFormat="true" ht="12.65" hidden="false" customHeight="false" outlineLevel="0" collapsed="false">
      <c r="A14" s="254" t="n">
        <f aca="false">IF((0-A13)&lt;$F$6,IF(A13&gt;-1,,A13-1),)</f>
      </c>
      <c r="B14" s="255"/>
      <c r="C14" s="252"/>
      <c r="D14" s="252"/>
      <c r="E14" s="252"/>
      <c r="F14" s="252"/>
      <c r="G14" s="252"/>
      <c r="H14" s="252"/>
      <c r="I14" s="252"/>
    </row>
    <row r="15" s="253" customFormat="true" ht="12.65" hidden="false" customHeight="false" outlineLevel="0" collapsed="false">
      <c r="A15" s="254" t="n">
        <f aca="false">IF((0-A14)&lt;$F$6,IF(A14&gt;-1,,A14-1),)</f>
      </c>
      <c r="B15" s="255"/>
      <c r="C15" s="252"/>
      <c r="D15" s="252"/>
      <c r="E15" s="252"/>
      <c r="F15" s="252"/>
      <c r="G15" s="252"/>
      <c r="H15" s="252"/>
      <c r="I15" s="252"/>
    </row>
    <row r="16" s="253" customFormat="true" ht="12.65" hidden="false" customHeight="false" outlineLevel="0" collapsed="false">
      <c r="A16" s="254" t="n">
        <f aca="false">IF((0-A15)&lt;$F$6,IF(A15&gt;-1,,A15-1),)</f>
      </c>
      <c r="B16" s="255"/>
      <c r="C16" s="252"/>
      <c r="D16" s="252"/>
      <c r="E16" s="252"/>
      <c r="F16" s="252"/>
      <c r="G16" s="252"/>
      <c r="H16" s="252"/>
      <c r="I16" s="252"/>
    </row>
    <row r="17" s="253" customFormat="true" ht="12.65" hidden="false" customHeight="false" outlineLevel="0" collapsed="false">
      <c r="A17" s="254" t="n">
        <f aca="false">IF((0-A16)&lt;$F$6,IF(A16&gt;-1,,A16-1),)</f>
      </c>
      <c r="B17" s="255"/>
      <c r="C17" s="252"/>
      <c r="D17" s="252"/>
      <c r="E17" s="252"/>
      <c r="F17" s="252"/>
      <c r="G17" s="252"/>
      <c r="H17" s="252"/>
      <c r="I17" s="252"/>
    </row>
    <row r="18" s="253" customFormat="true" ht="12.65" hidden="false" customHeight="false" outlineLevel="0" collapsed="false">
      <c r="A18" s="254" t="n">
        <f aca="false">IF((0-A17)&lt;$F$6,IF(A17&gt;-1,,A17-1),)</f>
      </c>
      <c r="B18" s="255"/>
      <c r="C18" s="252"/>
      <c r="D18" s="252"/>
      <c r="E18" s="252"/>
      <c r="F18" s="252"/>
      <c r="G18" s="252"/>
      <c r="H18" s="252"/>
      <c r="I18" s="252"/>
    </row>
    <row r="19" s="253" customFormat="true" ht="12.65" hidden="false" customHeight="false" outlineLevel="0" collapsed="false">
      <c r="A19" s="254" t="n">
        <f aca="false">IF((0-A18)&lt;$F$6,IF(A18&gt;-1,,A18-1),)</f>
      </c>
      <c r="B19" s="255"/>
      <c r="C19" s="252"/>
      <c r="D19" s="252"/>
      <c r="E19" s="252"/>
      <c r="F19" s="252"/>
      <c r="G19" s="252"/>
      <c r="H19" s="252"/>
      <c r="I19" s="252"/>
    </row>
    <row r="20" s="253" customFormat="true" ht="12.65" hidden="false" customHeight="false" outlineLevel="0" collapsed="false">
      <c r="A20" s="254" t="n">
        <f aca="false">IF((0-A19)&lt;$F$6,IF(A19&gt;-1,,A19-1),)</f>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c>
      <c r="C24" s="251" t="n">
        <f aca="false">1</f>
      </c>
      <c r="D24" s="251" t="n">
        <f aca="false">B24*C24</f>
      </c>
      <c r="E24" s="252"/>
      <c r="F24" s="252"/>
      <c r="G24" s="252"/>
      <c r="H24" s="252"/>
      <c r="I24" s="252"/>
    </row>
    <row r="25" s="253" customFormat="true" ht="12.65" hidden="false" customHeight="false" outlineLevel="0" collapsed="false">
      <c r="A25" s="254" t="n">
        <f aca="false">A11</f>
      </c>
      <c r="B25" s="251" t="n">
        <f aca="false">B11</f>
      </c>
      <c r="C25" s="251" t="n">
        <f aca="false">IF(A25&lt;0,($F$6+A25)/$F$6,0)</f>
      </c>
      <c r="D25" s="251" t="n">
        <f aca="false">B25*C25</f>
      </c>
      <c r="E25" s="257" t="n">
        <f aca="false">IF(A25&lt;0,B25/$F$6,0)</f>
      </c>
      <c r="F25" s="252"/>
      <c r="G25" s="252"/>
      <c r="H25" s="252"/>
      <c r="I25" s="252"/>
    </row>
    <row r="26" s="253" customFormat="true" ht="12.65" hidden="false" customHeight="false" outlineLevel="0" collapsed="false">
      <c r="A26" s="254" t="n">
        <f aca="false">A12</f>
      </c>
      <c r="B26" s="251" t="n">
        <f aca="false">B12</f>
      </c>
      <c r="C26" s="251" t="n">
        <f aca="false">IF(A26&lt;0,($F$6+A26)/$F$6,0)</f>
      </c>
      <c r="D26" s="251" t="n">
        <f aca="false">B26*C26</f>
      </c>
      <c r="E26" s="257" t="n">
        <f aca="false">IF(A26&lt;0,B26/$F$6,0)</f>
      </c>
      <c r="F26" s="252"/>
      <c r="G26" s="252"/>
      <c r="H26" s="252"/>
      <c r="I26" s="252"/>
    </row>
    <row r="27" s="253" customFormat="true" ht="12.65" hidden="false" customHeight="false" outlineLevel="0" collapsed="false">
      <c r="A27" s="254" t="n">
        <f aca="false">A13</f>
      </c>
      <c r="B27" s="251" t="n">
        <f aca="false">B13</f>
      </c>
      <c r="C27" s="251" t="n">
        <f aca="false">IF(A27&lt;0,($F$6+A27)/$F$6,0)</f>
      </c>
      <c r="D27" s="251" t="n">
        <f aca="false">B27*C27</f>
      </c>
      <c r="E27" s="257" t="n">
        <f aca="false">IF(A27&lt;0,B27/$F$6,0)</f>
      </c>
      <c r="F27" s="252"/>
      <c r="G27" s="252"/>
      <c r="H27" s="252"/>
      <c r="I27" s="252"/>
    </row>
    <row r="28" s="253" customFormat="true" ht="12.65" hidden="false" customHeight="false" outlineLevel="0" collapsed="false">
      <c r="A28" s="254" t="n">
        <f aca="false">A14</f>
      </c>
      <c r="B28" s="251" t="n">
        <f aca="false">B14</f>
      </c>
      <c r="C28" s="251" t="n">
        <f aca="false">IF(A28&lt;0,($F$6+A28)/$F$6,0)</f>
      </c>
      <c r="D28" s="251" t="n">
        <f aca="false">B28*C28</f>
      </c>
      <c r="E28" s="257" t="n">
        <f aca="false">IF(A28&lt;0,B28/$F$6,0)</f>
      </c>
      <c r="F28" s="252"/>
      <c r="G28" s="252"/>
      <c r="H28" s="252"/>
      <c r="I28" s="252"/>
    </row>
    <row r="29" s="253" customFormat="true" ht="12.65" hidden="false" customHeight="false" outlineLevel="0" collapsed="false">
      <c r="A29" s="254" t="n">
        <f aca="false">A15</f>
      </c>
      <c r="B29" s="251" t="n">
        <f aca="false">B15</f>
      </c>
      <c r="C29" s="251" t="n">
        <f aca="false">IF(A29&lt;0,($F$6+A29)/$F$6,0)</f>
      </c>
      <c r="D29" s="251" t="n">
        <f aca="false">B29*C29</f>
      </c>
      <c r="E29" s="257" t="n">
        <f aca="false">IF(A29&lt;0,B29/$F$6,0)</f>
      </c>
      <c r="F29" s="252"/>
      <c r="G29" s="252"/>
      <c r="H29" s="252"/>
      <c r="I29" s="252"/>
    </row>
    <row r="30" s="253" customFormat="true" ht="12.65" hidden="false" customHeight="false" outlineLevel="0" collapsed="false">
      <c r="A30" s="254" t="n">
        <f aca="false">A16</f>
      </c>
      <c r="B30" s="251" t="n">
        <f aca="false">B16</f>
      </c>
      <c r="C30" s="251" t="n">
        <f aca="false">IF(A30&lt;0,($F$6+A30)/$F$6,0)</f>
      </c>
      <c r="D30" s="251" t="n">
        <f aca="false">B30*C30</f>
      </c>
      <c r="E30" s="257" t="n">
        <f aca="false">IF(A30&lt;0,B30/$F$6,0)</f>
      </c>
      <c r="F30" s="252"/>
      <c r="G30" s="252"/>
      <c r="H30" s="252"/>
      <c r="I30" s="252"/>
    </row>
    <row r="31" s="253" customFormat="true" ht="12.65" hidden="false" customHeight="false" outlineLevel="0" collapsed="false">
      <c r="A31" s="254" t="n">
        <f aca="false">A17</f>
      </c>
      <c r="B31" s="251" t="n">
        <f aca="false">B17</f>
      </c>
      <c r="C31" s="251" t="n">
        <f aca="false">IF(A31&lt;0,($F$6+A31)/$F$6,0)</f>
      </c>
      <c r="D31" s="251" t="n">
        <f aca="false">B31*C31</f>
      </c>
      <c r="E31" s="257" t="n">
        <f aca="false">IF(A31&lt;0,B31/$F$6,0)</f>
      </c>
      <c r="F31" s="252"/>
      <c r="G31" s="252"/>
      <c r="H31" s="252"/>
      <c r="I31" s="252"/>
    </row>
    <row r="32" s="253" customFormat="true" ht="12.65" hidden="false" customHeight="false" outlineLevel="0" collapsed="false">
      <c r="A32" s="254" t="n">
        <f aca="false">A18</f>
      </c>
      <c r="B32" s="251" t="n">
        <f aca="false">B18</f>
      </c>
      <c r="C32" s="251" t="n">
        <f aca="false">IF(A32&lt;0,($F$6+A32)/$F$6,0)</f>
      </c>
      <c r="D32" s="251" t="n">
        <f aca="false">B32*C32</f>
      </c>
      <c r="E32" s="257" t="n">
        <f aca="false">IF(A32&lt;0,B32/$F$6,0)</f>
      </c>
      <c r="F32" s="252"/>
      <c r="G32" s="252"/>
      <c r="H32" s="252"/>
      <c r="I32" s="252"/>
    </row>
    <row r="33" s="253" customFormat="true" ht="12.65" hidden="false" customHeight="false" outlineLevel="0" collapsed="false">
      <c r="A33" s="254" t="n">
        <f aca="false">A19</f>
      </c>
      <c r="B33" s="251" t="n">
        <f aca="false">B19</f>
      </c>
      <c r="C33" s="251" t="n">
        <f aca="false">IF(A33&lt;0,($F$6+A33)/$F$6,0)</f>
      </c>
      <c r="D33" s="251" t="n">
        <f aca="false">B33*C33</f>
      </c>
      <c r="E33" s="257" t="n">
        <f aca="false">IF(A33&lt;0,B33/$F$6,0)</f>
      </c>
      <c r="F33" s="252"/>
      <c r="G33" s="252"/>
      <c r="H33" s="252"/>
      <c r="I33" s="252"/>
    </row>
    <row r="34" s="253" customFormat="true" ht="15.75" hidden="false" customHeight="true" outlineLevel="0" collapsed="false">
      <c r="A34" s="254" t="n">
        <f aca="false">A20</f>
      </c>
      <c r="B34" s="251" t="n">
        <f aca="false">B20</f>
      </c>
      <c r="C34" s="251" t="n">
        <f aca="false">IF(A34&lt;0,($F$6+A34)/$F$6,0)</f>
      </c>
      <c r="D34" s="258" t="n">
        <f aca="false">B34*C34</f>
      </c>
      <c r="E34" s="259" t="n">
        <f aca="false">IF(A34&lt;0,B34/$F$6,0)</f>
      </c>
      <c r="F34" s="252"/>
      <c r="G34" s="252"/>
      <c r="H34" s="252"/>
      <c r="I34" s="252"/>
    </row>
    <row r="35" s="199" customFormat="true" ht="12.65" hidden="false" customHeight="false" outlineLevel="0" collapsed="false">
      <c r="A35" s="199" t="s">
        <v>291</v>
      </c>
      <c r="D35" s="260" t="n">
        <f aca="false">SUM(D24:D34)</f>
      </c>
      <c r="E35" s="220" t="n">
        <f aca="false">SUM(E25:E34)</f>
      </c>
    </row>
    <row r="37" s="199" customFormat="true" ht="12.65" hidden="false" customHeight="false" outlineLevel="0" collapsed="false">
      <c r="A37" s="199" t="s">
        <v>292</v>
      </c>
      <c r="D37" s="260" t="n">
        <f aca="false">E35</f>
      </c>
    </row>
    <row r="38" s="199" customFormat="true" ht="12.65" hidden="false" customHeight="false" outlineLevel="0" collapsed="false"/>
    <row r="39" s="199" customFormat="true" ht="12.65" hidden="false" customHeight="false" outlineLevel="0" collapsed="false">
      <c r="A39" s="199" t="s">
        <v>293</v>
      </c>
      <c r="D39" s="261" t="n">
        <f aca="false">F7-D37</f>
      </c>
      <c r="E39" s="199" t="s">
        <v>294</v>
      </c>
    </row>
    <row r="40" customFormat="false" ht="12.65" hidden="false" customHeight="false" outlineLevel="0" collapsed="false">
      <c r="A40" s="0" t="s">
        <v>295</v>
      </c>
      <c r="D40" s="262" t="n">
        <f aca="false">D39*'Input sheet'!B21</f>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c>
      <c r="B22" s="200" t="n">
        <f aca="false">B7</f>
      </c>
      <c r="C22" s="201" t="n">
        <f aca="false">B22/(1+$C$15)^A22</f>
      </c>
    </row>
    <row r="23" s="199" customFormat="true" ht="12.65" hidden="false" customHeight="false" outlineLevel="0" collapsed="false">
      <c r="A23" s="219" t="n">
        <f aca="false">A8</f>
      </c>
      <c r="B23" s="200" t="n">
        <f aca="false">B8</f>
      </c>
      <c r="C23" s="201" t="n">
        <f aca="false">B23/(1+$C$15)^A23</f>
      </c>
    </row>
    <row r="24" s="199" customFormat="true" ht="12.65" hidden="false" customHeight="false" outlineLevel="0" collapsed="false">
      <c r="A24" s="219" t="n">
        <f aca="false">A9</f>
      </c>
      <c r="B24" s="200" t="n">
        <f aca="false">B9</f>
      </c>
      <c r="C24" s="201" t="n">
        <f aca="false">B24/(1+$C$15)^A24</f>
      </c>
    </row>
    <row r="25" s="199" customFormat="true" ht="12.65" hidden="false" customHeight="false" outlineLevel="0" collapsed="false">
      <c r="A25" s="219" t="n">
        <f aca="false">A10</f>
      </c>
      <c r="B25" s="200" t="n">
        <f aca="false">B10</f>
      </c>
      <c r="C25" s="201" t="n">
        <f aca="false">B25/(1+$C$15)^A25</f>
      </c>
    </row>
    <row r="26" s="199" customFormat="true" ht="12.65" hidden="false" customHeight="false" outlineLevel="0" collapsed="false">
      <c r="A26" s="219" t="n">
        <f aca="false">A11</f>
      </c>
      <c r="B26" s="200" t="n">
        <f aca="false">B11</f>
      </c>
      <c r="C26" s="201" t="n">
        <f aca="false">B26/(1+$C$15)^A26</f>
      </c>
    </row>
    <row r="27" s="199" customFormat="true" ht="12.65" hidden="false" customHeight="false" outlineLevel="0" collapsed="false">
      <c r="A27" s="269" t="str">
        <f aca="false">A12</f>
      </c>
      <c r="B27" s="270" t="n">
        <f aca="false">IF(B12&gt;0,IF(D18&gt;0,B12/D18,B12),0)</f>
      </c>
      <c r="C27" s="271" t="n">
        <f aca="false">IF(D18&gt;0,(B27*(1-(1+C15)^(-D18))/C15)/(1+$C$15)^5,B27/(1+C15)^6)</f>
      </c>
      <c r="D27" s="199" t="s">
        <v>309</v>
      </c>
    </row>
    <row r="28" s="199" customFormat="true" ht="12.65" hidden="false" customHeight="false" outlineLevel="0" collapsed="false">
      <c r="A28" s="272" t="s">
        <v>310</v>
      </c>
      <c r="B28" s="273"/>
      <c r="C28" s="274" t="n">
        <f aca="false">SUM(C22:C27)</f>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c>
      <c r="G31" s="199" t="s">
        <v>313</v>
      </c>
    </row>
    <row r="32" s="199" customFormat="true" ht="12.65" hidden="false" customHeight="false" outlineLevel="0" collapsed="false">
      <c r="A32" s="199" t="s">
        <v>314</v>
      </c>
      <c r="F32" s="275" t="n">
        <f aca="false">E4-F31</f>
      </c>
      <c r="G32" s="199" t="s">
        <v>315</v>
      </c>
    </row>
    <row r="33" s="199" customFormat="true" ht="12.65" hidden="false" customHeight="false" outlineLevel="0" collapsed="false">
      <c r="A33" s="199" t="s">
        <v>316</v>
      </c>
      <c r="F33" s="276" t="n">
        <f aca="false">C28</f>
      </c>
      <c r="G33" s="199" t="s">
        <v>317</v>
      </c>
    </row>
    <row r="34" customFormat="false" ht="12.65" hidden="false" customHeight="false" outlineLevel="0" collapsed="false">
      <c r="A34" s="199" t="s">
        <v>318</v>
      </c>
      <c r="F34" s="277" t="n">
        <f aca="false">C28/(5+D18)</f>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c>
      <c r="J3" s="203" t="n">
        <f aca="false">IF(H3&gt;0,H3/$H$16,)</f>
      </c>
      <c r="K3" s="203" t="n">
        <f aca="false">IF(J3=0,0,I3*J3)</f>
      </c>
      <c r="M3" s="287" t="s">
        <v>327</v>
      </c>
      <c r="N3" s="287"/>
      <c r="O3" s="287"/>
      <c r="P3" s="287"/>
      <c r="Q3" s="287"/>
    </row>
    <row r="4" s="199" customFormat="true" ht="15" hidden="false" customHeight="true" outlineLevel="0" collapsed="false">
      <c r="A4" s="285" t="s">
        <v>328</v>
      </c>
      <c r="B4" s="202" t="n">
        <f aca="false">'Input sheet'!B18</f>
      </c>
      <c r="G4" s="286" t="s">
        <v>329</v>
      </c>
      <c r="H4" s="286" t="n">
        <v>16951</v>
      </c>
      <c r="I4" s="203" t="n">
        <f aca="false">IF(H4=0,0,VLOOKUP(G4,'Country equity risk premiums'!$A$2:$D$187,4))</f>
      </c>
      <c r="J4" s="203" t="n">
        <f aca="false">IF(H4&gt;0,H4/$H$16,)</f>
      </c>
      <c r="K4" s="203" t="n">
        <f aca="false">IF(J4=0,0,I4*J4)</f>
      </c>
      <c r="M4" s="287"/>
      <c r="N4" s="287"/>
      <c r="O4" s="287"/>
      <c r="P4" s="287"/>
      <c r="Q4" s="287"/>
    </row>
    <row r="5" s="199" customFormat="true" ht="15" hidden="false" customHeight="true" outlineLevel="0" collapsed="false">
      <c r="A5" s="285" t="s">
        <v>330</v>
      </c>
      <c r="B5" s="200" t="n">
        <f aca="false">'Input sheet'!B19</f>
      </c>
      <c r="G5" s="286" t="s">
        <v>331</v>
      </c>
      <c r="H5" s="286" t="n">
        <v>11372</v>
      </c>
      <c r="I5" s="203" t="n">
        <f aca="false">IF(H5=0,0,VLOOKUP(G5,'Country equity risk premiums'!$A$2:$D$187,4))</f>
      </c>
      <c r="J5" s="203" t="n">
        <f aca="false">IF(H5&gt;0,H5/$H$16,)</f>
      </c>
      <c r="K5" s="203" t="n">
        <f aca="false">IF(J5=0,0,I5*J5)</f>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c>
      <c r="J6" s="203" t="n">
        <f aca="false">IF(H6&gt;0,H6/$H$16,)</f>
      </c>
      <c r="K6" s="203" t="n">
        <f aca="false">IF(J6=0,0,I6*J6)</f>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c>
      <c r="J7" s="203" t="n">
        <f aca="false">IF(H7&gt;0,H7/$H$16,)</f>
      </c>
      <c r="K7" s="203" t="n">
        <f aca="false">IF(J7=0,0,I7*J7)</f>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c>
      <c r="J8" s="203" t="n">
        <f aca="false">IF(H8&gt;0,H8/$H$16,)</f>
      </c>
      <c r="K8" s="203" t="n">
        <f aca="false">IF(J8=0,0,I8*J8)</f>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c>
      <c r="G9" s="286"/>
      <c r="H9" s="286"/>
      <c r="I9" s="203" t="n">
        <f aca="false">IF(H9=0,0,VLOOKUP(G9,'Country equity risk premiums'!$A$2:$D$187,4))</f>
      </c>
      <c r="J9" s="203" t="n">
        <f aca="false">IF(H9&gt;0,H9/$H$16,)</f>
      </c>
      <c r="K9" s="203" t="n">
        <f aca="false">IF(J9=0,0,I9*J9)</f>
      </c>
      <c r="M9" s="287"/>
      <c r="N9" s="287"/>
      <c r="O9" s="287"/>
      <c r="P9" s="287"/>
      <c r="Q9" s="287"/>
    </row>
    <row r="10" s="199" customFormat="true" ht="15" hidden="false" customHeight="true" outlineLevel="0" collapsed="false">
      <c r="A10" s="199" t="s">
        <v>337</v>
      </c>
      <c r="B10" s="204" t="n">
        <f aca="false">'Input sheet'!B28</f>
      </c>
      <c r="G10" s="286"/>
      <c r="H10" s="286"/>
      <c r="I10" s="203" t="n">
        <f aca="false">IF(H10=0,0,VLOOKUP(G10,'Country equity risk premiums'!$A$2:$D$187,4))</f>
      </c>
      <c r="J10" s="203" t="n">
        <f aca="false">IF(H10&gt;0,H10/$H$16,)</f>
      </c>
      <c r="K10" s="203" t="n">
        <f aca="false">IF(J10=0,0,I10*J10)</f>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c>
      <c r="J11" s="203" t="n">
        <f aca="false">IF(H11&gt;0,H11/$H$16,)</f>
      </c>
      <c r="K11" s="203" t="n">
        <f aca="false">IF(J11=0,0,I11*J11)</f>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c>
      <c r="J12" s="203" t="n">
        <f aca="false">IF(H12&gt;0,H12/$H$16,)</f>
      </c>
      <c r="K12" s="203" t="n">
        <f aca="false">IF(J12=0,0,I12*J12)</f>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c>
      <c r="G13" s="286"/>
      <c r="H13" s="286"/>
      <c r="I13" s="203" t="n">
        <f aca="false">IF(H13=0,0,VLOOKUP(G13,'Country equity risk premiums'!$A$2:$D$187,4))</f>
      </c>
      <c r="J13" s="203" t="n">
        <f aca="false">IF(H13&gt;0,H13/$H$16,)</f>
      </c>
      <c r="K13" s="203" t="n">
        <f aca="false">IF(J13=0,0,I13*J13)</f>
      </c>
      <c r="M13" s="287"/>
      <c r="N13" s="287"/>
      <c r="O13" s="287"/>
      <c r="P13" s="287"/>
      <c r="Q13" s="287"/>
    </row>
    <row r="14" s="199" customFormat="true" ht="15" hidden="false" customHeight="true" outlineLevel="0" collapsed="false">
      <c r="B14" s="288"/>
      <c r="G14" s="293"/>
      <c r="H14" s="286"/>
      <c r="I14" s="293"/>
      <c r="J14" s="203" t="n">
        <f aca="false">IF(H14&gt;0,H14/$H$16,)</f>
      </c>
      <c r="K14" s="203" t="n">
        <f aca="false">IF(J14=0,0,I14*J14)</f>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c>
      <c r="K15" s="203" t="n">
        <f aca="false">IF(J15=0,0,I15*J15)</f>
      </c>
      <c r="M15" s="287"/>
      <c r="N15" s="287"/>
      <c r="O15" s="287"/>
      <c r="P15" s="287"/>
      <c r="Q15" s="287"/>
    </row>
    <row r="16" s="199" customFormat="true" ht="15" hidden="false" customHeight="true" outlineLevel="0" collapsed="false">
      <c r="A16" s="199" t="s">
        <v>344</v>
      </c>
      <c r="B16" s="200" t="n">
        <f aca="false">'Input sheet'!B12</f>
      </c>
      <c r="G16" s="295" t="s">
        <v>345</v>
      </c>
      <c r="H16" s="295" t="n">
        <f aca="false">SUM(H3:H15)</f>
      </c>
      <c r="I16" s="295"/>
      <c r="J16" s="203" t="n">
        <f aca="false">SUM(J3:J15)</f>
      </c>
      <c r="K16" s="203" t="n">
        <f aca="false">SUM(K3:K15)</f>
      </c>
      <c r="M16" s="287"/>
      <c r="N16" s="287"/>
      <c r="O16" s="287"/>
      <c r="P16" s="287"/>
      <c r="Q16" s="287"/>
    </row>
    <row r="17" s="199" customFormat="true" ht="15" hidden="false" customHeight="true" outlineLevel="0" collapsed="false">
      <c r="A17" s="199" t="s">
        <v>346</v>
      </c>
      <c r="B17" s="200" t="n">
        <f aca="false">'Input sheet'!B10</f>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c>
      <c r="H19" s="286" t="n">
        <v>0</v>
      </c>
      <c r="I19" s="218" t="n">
        <f aca="false">'Country equity risk premiums'!B191</f>
      </c>
      <c r="J19" s="203" t="n">
        <f aca="false">H19/$H$30</f>
      </c>
      <c r="K19" s="297" t="n">
        <f aca="false">I19*J19</f>
      </c>
    </row>
    <row r="20" s="199" customFormat="true" ht="15" hidden="false" customHeight="true" outlineLevel="0" collapsed="false">
      <c r="A20" s="199" t="s">
        <v>352</v>
      </c>
      <c r="B20" s="298" t="n">
        <v>0.035</v>
      </c>
      <c r="G20" s="219" t="str">
        <f aca="false">'Country equity risk premiums'!A192</f>
      </c>
      <c r="H20" s="286" t="n">
        <f aca="false">3159+4281</f>
      </c>
      <c r="I20" s="218" t="n">
        <f aca="false">'Country equity risk premiums'!B192</f>
      </c>
      <c r="J20" s="203" t="n">
        <f aca="false">H20/$H$30</f>
      </c>
      <c r="K20" s="297" t="n">
        <f aca="false">I20*J20</f>
      </c>
    </row>
    <row r="21" s="199" customFormat="true" ht="15" hidden="false" customHeight="true" outlineLevel="0" collapsed="false">
      <c r="A21" s="199" t="s">
        <v>353</v>
      </c>
      <c r="B21" s="249" t="s">
        <v>354</v>
      </c>
      <c r="G21" s="219" t="str">
        <f aca="false">'Country equity risk premiums'!A193</f>
      </c>
      <c r="H21" s="286"/>
      <c r="I21" s="218" t="n">
        <f aca="false">'Country equity risk premiums'!B193</f>
      </c>
      <c r="J21" s="203" t="n">
        <f aca="false">H21/$H$30</f>
      </c>
      <c r="K21" s="297" t="n">
        <f aca="false">I21*J21</f>
      </c>
    </row>
    <row r="22" s="199" customFormat="true" ht="15" hidden="false" customHeight="true" outlineLevel="0" collapsed="false">
      <c r="A22" s="199" t="s">
        <v>355</v>
      </c>
      <c r="B22" s="249" t="n">
        <v>1</v>
      </c>
      <c r="G22" s="219" t="str">
        <f aca="false">'Country equity risk premiums'!A194</f>
      </c>
      <c r="H22" s="286" t="n">
        <v>0</v>
      </c>
      <c r="I22" s="218" t="n">
        <f aca="false">'Country equity risk premiums'!B194</f>
      </c>
      <c r="J22" s="203" t="n">
        <f aca="false">H22/$H$30</f>
      </c>
      <c r="K22" s="297" t="n">
        <f aca="false">I22*J22</f>
      </c>
    </row>
    <row r="23" s="199" customFormat="true" ht="15" hidden="false" customHeight="true" outlineLevel="0" collapsed="false">
      <c r="A23" s="199" t="s">
        <v>303</v>
      </c>
      <c r="B23" s="292" t="n">
        <f aca="false">IF(B19="Direct Input",B20,IF(B19="Synthetic Rating",'Synthetic rating'!D13,B10+VLOOKUP('Cost of capital worksheet'!B21,'Synthetic rating'!G39:H53,2)))</f>
      </c>
      <c r="G23" s="219" t="str">
        <f aca="false">'Country equity risk premiums'!A195</f>
      </c>
      <c r="H23" s="286" t="n">
        <v>0</v>
      </c>
      <c r="I23" s="218" t="n">
        <f aca="false">'Country equity risk premiums'!B195</f>
      </c>
      <c r="J23" s="203" t="n">
        <f aca="false">H23/$H$30</f>
      </c>
      <c r="K23" s="297" t="n">
        <f aca="false">I23*J23</f>
      </c>
    </row>
    <row r="24" s="199" customFormat="true" ht="15" hidden="false" customHeight="true" outlineLevel="0" collapsed="false">
      <c r="A24" s="199" t="s">
        <v>356</v>
      </c>
      <c r="B24" s="299" t="n">
        <f aca="false">'Input sheet'!B21</f>
      </c>
      <c r="G24" s="219" t="str">
        <f aca="false">'Country equity risk premiums'!A196</f>
      </c>
      <c r="H24" s="286"/>
      <c r="I24" s="218" t="n">
        <f aca="false">'Country equity risk premiums'!B196</f>
      </c>
      <c r="J24" s="203" t="n">
        <f aca="false">H24/$H$30</f>
      </c>
      <c r="K24" s="297" t="n">
        <f aca="false">I24*J24</f>
      </c>
    </row>
    <row r="25" s="199" customFormat="true" ht="15" hidden="false" customHeight="true" outlineLevel="0" collapsed="false">
      <c r="B25" s="288"/>
      <c r="G25" s="219" t="str">
        <f aca="false">'Country equity risk premiums'!A197</f>
      </c>
      <c r="H25" s="286" t="n">
        <v>0</v>
      </c>
      <c r="I25" s="218" t="n">
        <f aca="false">'Country equity risk premiums'!B197</f>
      </c>
      <c r="J25" s="203" t="n">
        <f aca="false">H25/$H$30</f>
      </c>
      <c r="K25" s="297" t="n">
        <f aca="false">I25*J25</f>
      </c>
    </row>
    <row r="26" s="199" customFormat="true" ht="15" hidden="false" customHeight="true" outlineLevel="0" collapsed="false">
      <c r="A26" s="199" t="s">
        <v>357</v>
      </c>
      <c r="B26" s="296" t="n">
        <v>0</v>
      </c>
      <c r="G26" s="219" t="str">
        <f aca="false">'Country equity risk premiums'!A198</f>
      </c>
      <c r="H26" s="286" t="n">
        <v>93864</v>
      </c>
      <c r="I26" s="218" t="n">
        <f aca="false">'Country equity risk premiums'!B198</f>
      </c>
      <c r="J26" s="203" t="n">
        <f aca="false">H26/$H$30</f>
      </c>
      <c r="K26" s="297" t="n">
        <f aca="false">I26*J26</f>
      </c>
    </row>
    <row r="27" s="199" customFormat="true" ht="15" hidden="false" customHeight="true" outlineLevel="0" collapsed="false">
      <c r="A27" s="199" t="s">
        <v>358</v>
      </c>
      <c r="B27" s="296" t="n">
        <v>0</v>
      </c>
      <c r="G27" s="219" t="str">
        <f aca="false">'Country equity risk premiums'!A199</f>
      </c>
      <c r="H27" s="286"/>
      <c r="I27" s="218" t="n">
        <f aca="false">'Country equity risk premiums'!B199</f>
      </c>
      <c r="J27" s="203" t="n">
        <f aca="false">H27/$H$30</f>
      </c>
      <c r="K27" s="297" t="n">
        <f aca="false">I27*J27</f>
      </c>
    </row>
    <row r="28" s="199" customFormat="true" ht="15" hidden="false" customHeight="true" outlineLevel="0" collapsed="false">
      <c r="A28" s="199" t="s">
        <v>359</v>
      </c>
      <c r="B28" s="296" t="n">
        <v>0</v>
      </c>
      <c r="G28" s="286"/>
      <c r="H28" s="286"/>
      <c r="I28" s="300"/>
      <c r="J28" s="203" t="n">
        <f aca="false">H28/$H$30</f>
      </c>
      <c r="K28" s="297" t="n">
        <f aca="false">I28*J28</f>
      </c>
    </row>
    <row r="29" s="199" customFormat="true" ht="15" hidden="false" customHeight="true" outlineLevel="0" collapsed="false">
      <c r="A29" s="199" t="s">
        <v>360</v>
      </c>
      <c r="B29" s="296" t="n">
        <v>0</v>
      </c>
      <c r="G29" s="286"/>
      <c r="H29" s="286"/>
      <c r="I29" s="300"/>
      <c r="J29" s="203" t="n">
        <f aca="false">H29/$H$30</f>
      </c>
      <c r="K29" s="297" t="n">
        <f aca="false">I29*J29</f>
      </c>
    </row>
    <row r="30" s="199" customFormat="true" ht="15" hidden="false" customHeight="true" outlineLevel="0" collapsed="false">
      <c r="B30" s="288"/>
      <c r="G30" s="295" t="s">
        <v>345</v>
      </c>
      <c r="H30" s="295" t="n">
        <f aca="false">SUM(H19:H29)</f>
      </c>
      <c r="I30" s="204"/>
      <c r="J30" s="203" t="n">
        <f aca="false">SUM(J19:J29)</f>
      </c>
      <c r="K30" s="301" t="n">
        <f aca="false">SUM(K19:K29)</f>
      </c>
    </row>
    <row r="31" s="199" customFormat="true" ht="15" hidden="false" customHeight="true" outlineLevel="0" collapsed="false">
      <c r="A31" s="199" t="s">
        <v>361</v>
      </c>
      <c r="B31" s="200" t="n">
        <f aca="false">IF('Input sheet'!B14="Yes",'Operating lease converter'!F33,0)</f>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c>
      <c r="J34" s="305" t="n">
        <f aca="false">H34*I34</f>
      </c>
      <c r="K34" s="304" t="n">
        <f aca="false">IF(I34=0,0,VLOOKUP(G34,'Industry Averages(US)'!$A$2:$S$95,7))</f>
      </c>
    </row>
    <row r="35" s="199" customFormat="true" ht="15" hidden="false" customHeight="true" outlineLevel="0" collapsed="false">
      <c r="A35" s="199" t="s">
        <v>370</v>
      </c>
      <c r="B35" s="296" t="n">
        <v>70</v>
      </c>
      <c r="G35" s="286" t="s">
        <v>371</v>
      </c>
      <c r="H35" s="303" t="n">
        <v>30</v>
      </c>
      <c r="I35" s="304" t="n">
        <f aca="false">IF(G35=0,,VLOOKUP(G35,'Industry Averages(US)'!$A$2:$S$95,15))</f>
      </c>
      <c r="J35" s="305" t="n">
        <f aca="false">H35*I35</f>
      </c>
      <c r="K35" s="304" t="n">
        <f aca="false">IF(I35=0,0,VLOOKUP(G35,'Industry Averages(US)'!$A$2:$S$95,7))</f>
      </c>
    </row>
    <row r="36" s="199" customFormat="true" ht="15" hidden="false" customHeight="true" outlineLevel="0" collapsed="false">
      <c r="A36" s="199" t="s">
        <v>372</v>
      </c>
      <c r="B36" s="296" t="n">
        <v>5</v>
      </c>
      <c r="G36" s="286"/>
      <c r="H36" s="303"/>
      <c r="I36" s="304" t="n">
        <f aca="false">IF(G36=0,,VLOOKUP(G36,'Industry Averages(US)'!$A$2:$S$95,15))</f>
      </c>
      <c r="J36" s="305" t="n">
        <f aca="false">H36*I36</f>
      </c>
      <c r="K36" s="304" t="n">
        <f aca="false">IF(I36=0,0,VLOOKUP(G36,'Industry Averages(US)'!$A$2:$S$95,7))</f>
      </c>
    </row>
    <row r="37" s="199" customFormat="true" ht="15" hidden="false" customHeight="true" outlineLevel="0" collapsed="false">
      <c r="G37" s="286"/>
      <c r="H37" s="303"/>
      <c r="I37" s="304" t="n">
        <f aca="false">IF(G37=0,,VLOOKUP(G37,'Industry Averages(US)'!$A$2:$S$95,15))</f>
      </c>
      <c r="J37" s="305" t="n">
        <f aca="false">H37*I37</f>
      </c>
      <c r="K37" s="304" t="n">
        <f aca="false">IF(I37=0,0,VLOOKUP(G37,'Industry Averages(US)'!$A$2:$S$95,7))</f>
      </c>
    </row>
    <row r="38" s="306" customFormat="true" ht="15" hidden="false" customHeight="true" outlineLevel="0" collapsed="false">
      <c r="A38" s="206" t="s">
        <v>286</v>
      </c>
      <c r="B38" s="199"/>
      <c r="C38" s="199"/>
      <c r="D38" s="199"/>
      <c r="E38" s="199"/>
      <c r="F38" s="199"/>
      <c r="G38" s="286"/>
      <c r="H38" s="303"/>
      <c r="I38" s="304" t="n">
        <f aca="false">IF(G38=0,,VLOOKUP(G38,'Industry Averages(US)'!$A$2:$S$95,15))</f>
      </c>
      <c r="J38" s="305" t="n">
        <f aca="false">H38*I38</f>
      </c>
      <c r="K38" s="304" t="n">
        <f aca="false">IF(I38=0,0,VLOOKUP(G38,'Industry Averages(US)'!$A$2:$S$95,7))</f>
      </c>
    </row>
    <row r="39" s="199" customFormat="true" ht="15" hidden="false" customHeight="true" outlineLevel="0" collapsed="false">
      <c r="A39" s="219" t="s">
        <v>373</v>
      </c>
      <c r="B39" s="219"/>
      <c r="C39" s="201" t="n">
        <f aca="false">B17*(1-(1+B23)^(-B18))/B23+B16/(1+B23)^B18</f>
      </c>
      <c r="G39" s="286"/>
      <c r="H39" s="303"/>
      <c r="I39" s="304" t="n">
        <f aca="false">IF(G39=0,,VLOOKUP(G39,'Industry Averages(US)'!$A$2:$S$95,15))</f>
      </c>
      <c r="J39" s="305" t="n">
        <f aca="false">H39*I39</f>
      </c>
      <c r="K39" s="304" t="n">
        <f aca="false">IF(I39=0,0,VLOOKUP(G39,'Industry Averages(US)'!$A$2:$S$95,7))</f>
      </c>
    </row>
    <row r="40" s="199" customFormat="true" ht="15" hidden="false" customHeight="true" outlineLevel="0" collapsed="false">
      <c r="A40" s="219" t="s">
        <v>374</v>
      </c>
      <c r="B40" s="219"/>
      <c r="C40" s="201" t="n">
        <f aca="false">B27*(1-(1+B23)^(-B28))/B23+B26/(1+B23)^B28</f>
      </c>
      <c r="G40" s="286"/>
      <c r="H40" s="303"/>
      <c r="I40" s="304" t="n">
        <f aca="false">IF(G40=0,,VLOOKUP(G40,'Industry Averages(US)'!$A$2:$S$95,15))</f>
      </c>
      <c r="J40" s="305" t="n">
        <f aca="false">H40*I40</f>
      </c>
      <c r="K40" s="304" t="n">
        <f aca="false">IF(I40=0,0,VLOOKUP(G40,'Industry Averages(US)'!$A$2:$S$95,7))</f>
      </c>
    </row>
    <row r="41" s="199" customFormat="true" ht="15" hidden="false" customHeight="true" outlineLevel="0" collapsed="false">
      <c r="A41" s="219" t="s">
        <v>375</v>
      </c>
      <c r="B41" s="219"/>
      <c r="C41" s="201" t="n">
        <f aca="false">B31</f>
      </c>
      <c r="G41" s="286"/>
      <c r="H41" s="303"/>
      <c r="I41" s="304" t="n">
        <f aca="false">IF(G41=0,,VLOOKUP(G41,'Industry Averages(US)'!$A$2:$S$95,15))</f>
      </c>
      <c r="J41" s="305" t="n">
        <f aca="false">H41*I41</f>
      </c>
      <c r="K41" s="304" t="n">
        <f aca="false">IF(I41=0,0,VLOOKUP(G41,'Industry Averages(US)'!$A$2:$S$95,7))</f>
      </c>
    </row>
    <row r="42" customFormat="false" ht="12.65" hidden="false" customHeight="false" outlineLevel="0" collapsed="false">
      <c r="A42" s="219" t="s">
        <v>376</v>
      </c>
      <c r="B42" s="219"/>
      <c r="C42" s="201" t="n">
        <f aca="false">B29-C40</f>
      </c>
      <c r="D42" s="199"/>
      <c r="E42" s="199"/>
      <c r="F42" s="199"/>
      <c r="G42" s="286"/>
      <c r="H42" s="303"/>
      <c r="I42" s="304" t="n">
        <f aca="false">IF(G42=0,,VLOOKUP(G42,'Industry Averages(US)'!$A$2:$S$95,15))</f>
      </c>
      <c r="J42" s="305" t="n">
        <f aca="false">H42*I42</f>
      </c>
      <c r="K42" s="304" t="n">
        <f aca="false">IF(I42=0,0,VLOOKUP(G42,'Industry Averages(US)'!$A$2:$S$95,7))</f>
      </c>
    </row>
    <row r="43" customFormat="false" ht="12.65" hidden="false" customHeight="false" outlineLevel="0" collapsed="false">
      <c r="A43" s="219" t="s">
        <v>377</v>
      </c>
      <c r="B43" s="219"/>
      <c r="C43" s="307" t="n">
        <f aca="false">IF(B7="Direct Input",B8,B9*(1+(1-B24)*(C46/B46)))</f>
      </c>
      <c r="D43" s="199"/>
      <c r="E43" s="199"/>
      <c r="F43" s="199"/>
      <c r="G43" s="286"/>
      <c r="H43" s="303"/>
      <c r="I43" s="304" t="n">
        <f aca="false">IF(G43=0,,VLOOKUP(G43,'Industry Averages(US)'!$A$2:$S$95,15))</f>
      </c>
      <c r="J43" s="305" t="n">
        <f aca="false">H43*I43</f>
      </c>
      <c r="K43" s="304" t="n">
        <f aca="false">IF(I43=0,0,VLOOKUP(G43,'Industry Averages(US)'!$A$2:$S$95,7))</f>
      </c>
    </row>
    <row r="44" customFormat="false" ht="12.65" hidden="false" customHeight="false" outlineLevel="0" collapsed="false">
      <c r="A44" s="199"/>
      <c r="B44" s="199"/>
      <c r="C44" s="307"/>
      <c r="D44" s="199"/>
      <c r="E44" s="199"/>
      <c r="F44" s="199"/>
      <c r="G44" s="286"/>
      <c r="H44" s="303"/>
      <c r="I44" s="304" t="n">
        <f aca="false">IF(G44=0,,VLOOKUP(G44,'Industry Averages(US)'!$A$2:$S$95,15))</f>
      </c>
      <c r="J44" s="305" t="n">
        <f aca="false">H44*I44</f>
      </c>
      <c r="K44" s="304" t="n">
        <f aca="false">IF(I44=0,0,VLOOKUP(G44,'Industry Averages(US)'!$A$2:$S$95,7))</f>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c>
      <c r="J45" s="305" t="n">
        <f aca="false">H45*I45</f>
      </c>
      <c r="K45" s="304" t="n">
        <f aca="false">IF(I45=0,0,VLOOKUP(G45,'Industry Averages(US)'!$A$2:$S$95,7))</f>
      </c>
    </row>
    <row r="46" customFormat="false" ht="12.65" hidden="false" customHeight="false" outlineLevel="0" collapsed="false">
      <c r="A46" s="219" t="s">
        <v>380</v>
      </c>
      <c r="B46" s="201" t="n">
        <f aca="false">B4*B5</f>
      </c>
      <c r="C46" s="201" t="n">
        <f aca="false">C39+C40+C41</f>
      </c>
      <c r="D46" s="201" t="n">
        <f aca="false">B34*B35</f>
      </c>
      <c r="E46" s="200" t="n">
        <f aca="false">SUM(B46:D46)</f>
      </c>
      <c r="F46" s="199"/>
      <c r="G46" s="309" t="s">
        <v>57</v>
      </c>
      <c r="H46" s="310" t="n">
        <f aca="false">SUM(H34:H45)</f>
      </c>
      <c r="I46" s="311"/>
      <c r="J46" s="305" t="n">
        <f aca="false">SUM(J34:J45)</f>
      </c>
      <c r="K46" s="311" t="n">
        <f aca="false">K34*(J34/J46)+K35*J35/J46+K36*J36/J46+K37*J37/J46+K38*J38/J46+K39*J39/J46+K40*J40/J46+K41*J41/J46+K42*J42/J46+K43*J43/J46+K44*J44/J46+K45*J45/J46</f>
      </c>
    </row>
    <row r="47" customFormat="false" ht="12.65" hidden="false" customHeight="false" outlineLevel="0" collapsed="false">
      <c r="A47" s="219" t="s">
        <v>381</v>
      </c>
      <c r="B47" s="203" t="n">
        <f aca="false">B46/$E$46</f>
      </c>
      <c r="C47" s="203" t="n">
        <f aca="false">C46/$E$46</f>
      </c>
      <c r="D47" s="203" t="n">
        <f aca="false">D46/$E$46</f>
      </c>
      <c r="E47" s="312" t="n">
        <f aca="false">SUM(B47:D47)</f>
      </c>
      <c r="F47" s="199"/>
    </row>
    <row r="48" customFormat="false" ht="17.35" hidden="false" customHeight="false" outlineLevel="0" collapsed="false">
      <c r="A48" s="219" t="s">
        <v>382</v>
      </c>
      <c r="B48" s="204" t="n">
        <f aca="false">B10+C43*B13</f>
      </c>
      <c r="C48" s="203" t="n">
        <f aca="false">B23*(1-B24)</f>
      </c>
      <c r="D48" s="313" t="n">
        <f aca="false">B36/B35</f>
      </c>
      <c r="E48" s="314" t="n">
        <f aca="false">B47*B48+C47*C48+D47*D48</f>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c>
      <c r="I50" s="304" t="n">
        <f aca="false">IF(G50=0,,VLOOKUP(G50,'Global industry averages'!$A$2:$O$95,15))</f>
      </c>
      <c r="J50" s="305" t="n">
        <f aca="false">H50*I50</f>
      </c>
      <c r="K50" s="304" t="n">
        <f aca="false">IF(G50=0,,VLOOKUP(G50,'Global industry averages'!$A$2:$O$95,7))</f>
      </c>
    </row>
    <row r="51" customFormat="false" ht="12.65" hidden="false" customHeight="false" outlineLevel="0" collapsed="false">
      <c r="G51" s="286" t="s">
        <v>384</v>
      </c>
      <c r="H51" s="303" t="n">
        <f aca="false">9721</f>
      </c>
      <c r="I51" s="304" t="n">
        <f aca="false">IF(G51=0,,VLOOKUP(G51,'Global industry averages'!$A$2:$O$95,15))</f>
      </c>
      <c r="J51" s="305" t="n">
        <f aca="false">H51*I51</f>
      </c>
      <c r="K51" s="304" t="n">
        <f aca="false">IF(G51=0,,VLOOKUP(G51,'Global industry averages'!$A$2:$O$95,7))</f>
      </c>
    </row>
    <row r="52" customFormat="false" ht="12.65" hidden="false" customHeight="false" outlineLevel="0" collapsed="false">
      <c r="G52" s="286" t="s">
        <v>371</v>
      </c>
      <c r="H52" s="303" t="n">
        <v>17459</v>
      </c>
      <c r="I52" s="304" t="n">
        <f aca="false">IF(G52=0,,VLOOKUP(G52,'Global industry averages'!$A$2:$O$95,15))</f>
      </c>
      <c r="J52" s="305" t="n">
        <f aca="false">H52*I52</f>
      </c>
      <c r="K52" s="304" t="n">
        <f aca="false">IF(G52=0,,VLOOKUP(G52,'Global industry averages'!$A$2:$O$95,7))</f>
      </c>
    </row>
    <row r="53" customFormat="false" ht="12.65" hidden="false" customHeight="false" outlineLevel="0" collapsed="false">
      <c r="G53" s="286"/>
      <c r="H53" s="303"/>
      <c r="I53" s="304" t="n">
        <f aca="false">IF(G53=0,,VLOOKUP(G53,'Global industry averages'!$A$2:$O$95,15))</f>
      </c>
      <c r="J53" s="305" t="n">
        <f aca="false">H53*I53</f>
      </c>
      <c r="K53" s="304" t="n">
        <f aca="false">IF(G53=0,,VLOOKUP(G53,'Global industry averages'!$A$2:$O$95,7))</f>
      </c>
    </row>
    <row r="54" customFormat="false" ht="12.65" hidden="false" customHeight="false" outlineLevel="0" collapsed="false">
      <c r="G54" s="286"/>
      <c r="H54" s="303"/>
      <c r="I54" s="304" t="n">
        <f aca="false">IF(G54=0,,VLOOKUP(G54,'Global industry averages'!$A$2:$O$95,15))</f>
      </c>
      <c r="J54" s="305" t="n">
        <f aca="false">H54*I54</f>
      </c>
      <c r="K54" s="304" t="n">
        <f aca="false">IF(G54=0,,VLOOKUP(G54,'Global industry averages'!$A$2:$O$95,7))</f>
      </c>
    </row>
    <row r="55" customFormat="false" ht="12.65" hidden="false" customHeight="false" outlineLevel="0" collapsed="false">
      <c r="G55" s="286"/>
      <c r="H55" s="303"/>
      <c r="I55" s="304" t="n">
        <f aca="false">IF(G55=0,,VLOOKUP(G55,'Global industry averages'!$A$2:$O$95,15))</f>
      </c>
      <c r="J55" s="305" t="n">
        <f aca="false">H55*I55</f>
      </c>
      <c r="K55" s="304" t="n">
        <f aca="false">IF(G55=0,,VLOOKUP(G55,'Global industry averages'!$A$2:$O$95,7))</f>
      </c>
    </row>
    <row r="56" customFormat="false" ht="12.65" hidden="false" customHeight="false" outlineLevel="0" collapsed="false">
      <c r="G56" s="286"/>
      <c r="H56" s="303"/>
      <c r="I56" s="304" t="n">
        <f aca="false">IF(G56=0,,VLOOKUP(G56,'Global industry averages'!$A$2:$O$95,15))</f>
      </c>
      <c r="J56" s="305" t="n">
        <f aca="false">H56*I56</f>
      </c>
      <c r="K56" s="304" t="n">
        <f aca="false">IF(G56=0,,VLOOKUP(G56,'Global industry averages'!$A$2:$O$95,7))</f>
      </c>
    </row>
    <row r="57" customFormat="false" ht="12.65" hidden="false" customHeight="false" outlineLevel="0" collapsed="false">
      <c r="G57" s="286"/>
      <c r="H57" s="303"/>
      <c r="I57" s="304" t="n">
        <f aca="false">IF(G57=0,,VLOOKUP(G57,'Global industry averages'!$A$2:$O$95,15))</f>
      </c>
      <c r="J57" s="305" t="n">
        <f aca="false">H57*I57</f>
      </c>
      <c r="K57" s="304" t="n">
        <f aca="false">IF(G57=0,,VLOOKUP(G57,'Global industry averages'!$A$2:$O$95,7))</f>
      </c>
    </row>
    <row r="58" customFormat="false" ht="12.65" hidden="false" customHeight="false" outlineLevel="0" collapsed="false">
      <c r="G58" s="286"/>
      <c r="H58" s="303"/>
      <c r="I58" s="304" t="n">
        <f aca="false">IF(G58=0,,VLOOKUP(G58,'Global industry averages'!$A$2:$O$95,15))</f>
      </c>
      <c r="J58" s="305" t="n">
        <f aca="false">H58*I58</f>
      </c>
      <c r="K58" s="304" t="n">
        <f aca="false">IF(G58=0,,VLOOKUP(G58,'Global industry averages'!$A$2:$O$95,7))</f>
      </c>
    </row>
    <row r="59" customFormat="false" ht="12.65" hidden="false" customHeight="false" outlineLevel="0" collapsed="false">
      <c r="G59" s="286"/>
      <c r="H59" s="303"/>
      <c r="I59" s="304" t="n">
        <f aca="false">IF(G59=0,,VLOOKUP(G59,'Global industry averages'!$A$2:$O$95,15))</f>
      </c>
      <c r="J59" s="305" t="n">
        <f aca="false">H59*I59</f>
      </c>
      <c r="K59" s="304" t="n">
        <f aca="false">IF(G59=0,,VLOOKUP(G59,'Global industry averages'!$A$2:$O$95,7))</f>
      </c>
    </row>
    <row r="60" customFormat="false" ht="12.65" hidden="false" customHeight="false" outlineLevel="0" collapsed="false">
      <c r="G60" s="286"/>
      <c r="H60" s="303"/>
      <c r="I60" s="304" t="n">
        <f aca="false">IF(G60=0,,VLOOKUP(G60,'Global industry averages'!$A$2:$O$95,15))</f>
      </c>
      <c r="J60" s="305" t="n">
        <f aca="false">H60*I60</f>
      </c>
      <c r="K60" s="304" t="n">
        <f aca="false">IF(G60=0,,VLOOKUP(G60,'Global industry averages'!$A$2:$O$95,7))</f>
      </c>
    </row>
    <row r="61" customFormat="false" ht="12.65" hidden="false" customHeight="false" outlineLevel="0" collapsed="false">
      <c r="G61" s="286"/>
      <c r="H61" s="303"/>
      <c r="I61" s="304" t="n">
        <f aca="false">IF(G61=0,,VLOOKUP(G61,'Global industry averages'!$A$2:$O$95,15))</f>
      </c>
      <c r="J61" s="305" t="n">
        <f aca="false">H61*I61</f>
      </c>
      <c r="K61" s="304" t="n">
        <f aca="false">IF(G61=0,,VLOOKUP(G61,'Global industry averages'!$A$2:$O$95,7))</f>
      </c>
    </row>
    <row r="62" customFormat="false" ht="12.65" hidden="false" customHeight="false" outlineLevel="0" collapsed="false">
      <c r="G62" s="309" t="s">
        <v>57</v>
      </c>
      <c r="H62" s="310" t="n">
        <f aca="false">SUM(H50:H61)</f>
      </c>
      <c r="I62" s="311"/>
      <c r="J62" s="305" t="n">
        <f aca="false">SUM(J50:J61)</f>
      </c>
      <c r="K62" s="311" t="n">
        <f aca="false">K50*(J50/J62)+K51*J51/J62+K52*J52/J62+K53*J53/J62+K54*J54/J62+K55*J55/J62+K56*J56/J62+K57*J57/J62+K58*J58/J62+K59*J59/J62+K60*J60/J62+K61*J61/J62</f>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c>
      <c r="G6" s="199" t="s">
        <v>392</v>
      </c>
      <c r="H6" s="199"/>
      <c r="I6" s="199"/>
      <c r="J6" s="199"/>
    </row>
    <row r="7" s="318" customFormat="true" ht="12.65" hidden="false" customHeight="false" outlineLevel="0" collapsed="false">
      <c r="A7" s="199" t="s">
        <v>393</v>
      </c>
      <c r="B7" s="199"/>
      <c r="C7" s="199"/>
      <c r="D7" s="199"/>
      <c r="E7" s="199"/>
      <c r="F7" s="320" t="n">
        <f aca="false">'Input sheet'!B28</f>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c>
      <c r="E9" s="199"/>
      <c r="F9" s="285"/>
      <c r="G9" s="199"/>
      <c r="H9" s="199"/>
      <c r="I9" s="199"/>
      <c r="J9" s="199"/>
    </row>
    <row r="10" s="318" customFormat="true" ht="12.65" hidden="false" customHeight="false" outlineLevel="0" collapsed="false">
      <c r="A10" s="199" t="s">
        <v>395</v>
      </c>
      <c r="D10" s="322" t="str">
        <f aca="false">IF(C4=1,VLOOKUP(D9,A19:D33,3),(IF(C4=2,VLOOKUP(D9,A38:D52,3),VLOOKUP(D9,F19:I33,3))))</f>
      </c>
      <c r="F10" s="208" t="s">
        <v>396</v>
      </c>
    </row>
    <row r="11" s="318" customFormat="true" ht="12.65" hidden="false" customHeight="false" outlineLevel="0" collapsed="false">
      <c r="A11" s="199" t="s">
        <v>397</v>
      </c>
      <c r="D11" s="323" t="n">
        <f aca="false">IF(C4=1,VLOOKUP(D9,A19:D33,4),(IF(C4=2,VLOOKUP(D9,A38:D52,4),VLOOKUP(D9,F19:I33,4))))</f>
      </c>
      <c r="F11" s="208" t="s">
        <v>398</v>
      </c>
    </row>
    <row r="12" s="318" customFormat="true" ht="12.65" hidden="false" customHeight="false" outlineLevel="0" collapsed="false">
      <c r="A12" s="199" t="s">
        <v>399</v>
      </c>
      <c r="D12" s="323" t="n">
        <f aca="false">VLOOKUP('Input sheet'!B5,'Country equity risk premiums'!A2:C187,3)</f>
      </c>
      <c r="F12" s="208"/>
    </row>
    <row r="13" s="199" customFormat="true" ht="12.65" hidden="false" customHeight="false" outlineLevel="0" collapsed="false">
      <c r="A13" s="199" t="s">
        <v>400</v>
      </c>
      <c r="D13" s="324" t="n">
        <f aca="false">F7+D11+D12</f>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c>
    </row>
    <row r="3" customFormat="false" ht="12.65" hidden="false" customHeight="false" outlineLevel="0" collapsed="false">
      <c r="A3" s="22" t="s">
        <v>765</v>
      </c>
      <c r="B3" s="386" t="n">
        <v>10045</v>
      </c>
      <c r="C3" s="386" t="n">
        <v>2404</v>
      </c>
      <c r="D3" s="386" t="n">
        <v>2871</v>
      </c>
      <c r="E3" s="387" t="n">
        <f aca="false">B3-C3+D3</f>
      </c>
    </row>
    <row r="4" customFormat="false" ht="12.65" hidden="false" customHeight="false" outlineLevel="0" collapsed="false">
      <c r="A4" s="22" t="s">
        <v>39</v>
      </c>
      <c r="B4" s="386" t="n">
        <v>60024</v>
      </c>
      <c r="C4" s="386" t="n">
        <v>24171</v>
      </c>
      <c r="D4" s="386" t="n">
        <v>23359</v>
      </c>
      <c r="E4" s="387" t="n">
        <f aca="false">B4-C4+D4</f>
      </c>
    </row>
    <row r="5" customFormat="false" ht="12.65" hidden="false" customHeight="false" outlineLevel="0" collapsed="false">
      <c r="A5" s="22" t="s">
        <v>766</v>
      </c>
      <c r="B5" s="386" t="n">
        <v>1456</v>
      </c>
      <c r="C5" s="386" t="n">
        <v>276</v>
      </c>
      <c r="D5" s="386" t="n">
        <v>525</v>
      </c>
      <c r="E5" s="387" t="n">
        <f aca="false">B5-C5+D5</f>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c>
      <c r="C7" s="386"/>
      <c r="D7" s="386" t="n">
        <f aca="false">10493+3499+73557</f>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c>
      <c r="C9" s="386"/>
      <c r="D9" s="386" t="n">
        <f aca="false">16371+44081+184638</f>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c>
      <c r="C14" s="389" t="n">
        <f aca="false">6392/24416</f>
      </c>
      <c r="D14" s="389" t="n">
        <f aca="false">6289/24180</f>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c>
      <c r="D2" s="88" t="n">
        <f aca="false">C2</f>
      </c>
      <c r="E2" s="88" t="n">
        <f aca="false">D2</f>
      </c>
      <c r="F2" s="88" t="n">
        <f aca="false">E2</f>
      </c>
      <c r="G2" s="88" t="n">
        <f aca="false">F2</f>
      </c>
      <c r="H2" s="88" t="n">
        <f aca="false">G2-((G2-$M$2)/5)</f>
      </c>
      <c r="I2" s="88" t="n">
        <f aca="false">G2-((G2-$M$2)/5)*2</f>
      </c>
      <c r="J2" s="88" t="n">
        <f aca="false">G2-((G2-$M$2)/5)*3</f>
      </c>
      <c r="K2" s="88" t="n">
        <f aca="false">G2-((G2-$M$2)/5)*4</f>
      </c>
      <c r="L2" s="88" t="n">
        <f aca="false">G2-((G2-$M$2)/5)*5</f>
      </c>
      <c r="M2" s="89" t="n">
        <f aca="false">IF('Input sheet'!B55="Yes",'Input sheet'!B56,'Input sheet'!B28)</f>
      </c>
    </row>
    <row r="3" customFormat="false" ht="15" hidden="false" customHeight="true" outlineLevel="0" collapsed="false">
      <c r="A3" s="86" t="s">
        <v>38</v>
      </c>
      <c r="B3" s="90" t="n">
        <f aca="false">'Input sheet'!B8</f>
      </c>
      <c r="C3" s="91" t="n">
        <f aca="false">B3*(1+C2)</f>
      </c>
      <c r="D3" s="91" t="n">
        <f aca="false">C3*(1+D2)</f>
      </c>
      <c r="E3" s="91" t="n">
        <f aca="false">D3*(1+E2)</f>
      </c>
      <c r="F3" s="91" t="n">
        <f aca="false">E3*(1+F2)</f>
      </c>
      <c r="G3" s="91" t="n">
        <f aca="false">F3*(1+G2)</f>
      </c>
      <c r="H3" s="91" t="n">
        <f aca="false">G3*(1+H2)</f>
      </c>
      <c r="I3" s="91" t="n">
        <f aca="false">H3*(1+I2)</f>
      </c>
      <c r="J3" s="91" t="n">
        <f aca="false">I3*(1+J2)</f>
      </c>
      <c r="K3" s="91" t="n">
        <f aca="false">J3*(1+K2)</f>
      </c>
      <c r="L3" s="91" t="n">
        <f aca="false">K3*(1+L2)</f>
      </c>
      <c r="M3" s="92" t="n">
        <f aca="false">L3*(1+M2)</f>
      </c>
    </row>
    <row r="4" customFormat="false" ht="15" hidden="false" customHeight="true" outlineLevel="0" collapsed="false">
      <c r="A4" s="86" t="s">
        <v>126</v>
      </c>
      <c r="B4" s="93" t="n">
        <f aca="false">B5/B3</f>
      </c>
      <c r="C4" s="88" t="n">
        <f aca="false">IF(C1&gt;'Input sheet'!$B$25,('Input sheet'!$B$24-0.02),('Input sheet'!$B$24-0.02)-((('Input sheet'!$B$24-0.02)-$B$4)/'Input sheet'!$B$25)*('Input sheet'!$B$25-C1))</f>
      </c>
      <c r="D4" s="88" t="n">
        <f aca="false">IF(D1&gt;'Input sheet'!$B$25,('Input sheet'!$B$24-0.02),('Input sheet'!$B$24-0.02)-((('Input sheet'!$B$24-0.02)-$B$4)/'Input sheet'!$B$25)*('Input sheet'!$B$25-D1))</f>
      </c>
      <c r="E4" s="88" t="n">
        <f aca="false">IF(E1&gt;'Input sheet'!$B$25,('Input sheet'!$B$24-0.02),('Input sheet'!$B$24-0.02)-((('Input sheet'!$B$24-0.02)-$B$4)/'Input sheet'!$B$25)*('Input sheet'!$B$25-E1))</f>
      </c>
      <c r="F4" s="88" t="n">
        <f aca="false">IF(F1&gt;'Input sheet'!$B$25,('Input sheet'!$B$24-0.02),('Input sheet'!$B$24-0.02)-((('Input sheet'!$B$24-0.02)-$B$4)/'Input sheet'!$B$25)*('Input sheet'!$B$25-F1))</f>
      </c>
      <c r="G4" s="88" t="n">
        <f aca="false">IF(G1&gt;'Input sheet'!$B$25,('Input sheet'!$B$24-0.02),('Input sheet'!$B$24-0.02)-((('Input sheet'!$B$24-0.02)-$B$4)/'Input sheet'!$B$25)*('Input sheet'!$B$25-G1))</f>
      </c>
      <c r="H4" s="88" t="n">
        <f aca="false">IF(H1&gt;'Input sheet'!$B$25,('Input sheet'!$B$24-0.02),('Input sheet'!$B$24-0.02)-((('Input sheet'!$B$24-0.02)-$B$4)/'Input sheet'!$B$25)*('Input sheet'!$B$25-H1))</f>
      </c>
      <c r="I4" s="88" t="n">
        <f aca="false">IF(I1&gt;'Input sheet'!$B$25,('Input sheet'!$B$24-0.02),('Input sheet'!$B$24-0.02)-((('Input sheet'!$B$24-0.02)-$B$4)/'Input sheet'!$B$25)*('Input sheet'!$B$25-I1))</f>
      </c>
      <c r="J4" s="88" t="n">
        <f aca="false">IF(J1&gt;'Input sheet'!$B$25,('Input sheet'!$B$24-0.02),('Input sheet'!$B$24-0.02)-((('Input sheet'!$B$24-0.02)-$B$4)/'Input sheet'!$B$25)*('Input sheet'!$B$25-J1))</f>
      </c>
      <c r="K4" s="88" t="n">
        <f aca="false">IF(K1&gt;'Input sheet'!$B$25,('Input sheet'!$B$24-0.02),('Input sheet'!$B$24-0.02)-((('Input sheet'!$B$24-0.02)-$B$4)/'Input sheet'!$B$25)*('Input sheet'!$B$25-K1))</f>
      </c>
      <c r="L4" s="88" t="n">
        <f aca="false">IF(L1&gt;'Input sheet'!$B$25,('Input sheet'!$B$24-0.02),('Input sheet'!$B$24-0.02)-((('Input sheet'!$B$24-0.02)-$B$4)/'Input sheet'!$B$25)*('Input sheet'!$B$25-L1))</f>
      </c>
      <c r="M4" s="89" t="n">
        <f aca="false">L4</f>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c>
      <c r="C5" s="91" t="n">
        <f aca="false">C4*C3</f>
      </c>
      <c r="D5" s="91" t="n">
        <f aca="false">D4*D3</f>
      </c>
      <c r="E5" s="91" t="n">
        <f aca="false">E4*E3</f>
      </c>
      <c r="F5" s="91" t="n">
        <f aca="false">F4*F3</f>
      </c>
      <c r="G5" s="91" t="n">
        <f aca="false">G4*G3</f>
      </c>
      <c r="H5" s="91" t="n">
        <f aca="false">H4*H3</f>
      </c>
      <c r="I5" s="91" t="n">
        <f aca="false">I4*I3</f>
      </c>
      <c r="J5" s="91" t="n">
        <f aca="false">J4*J3</f>
      </c>
      <c r="K5" s="91" t="n">
        <f aca="false">K4*K3</f>
      </c>
      <c r="L5" s="91" t="n">
        <f aca="false">L4*L3</f>
      </c>
      <c r="M5" s="92" t="n">
        <f aca="false">M4*M3</f>
      </c>
      <c r="N5" s="94" t="n">
        <f aca="false">M5-B5</f>
      </c>
    </row>
    <row r="6" customFormat="false" ht="15" hidden="false" customHeight="true" outlineLevel="0" collapsed="false">
      <c r="A6" s="86" t="s">
        <v>128</v>
      </c>
      <c r="B6" s="95" t="n">
        <f aca="false">'Input sheet'!B20</f>
      </c>
      <c r="C6" s="96" t="n">
        <f aca="false">B6</f>
      </c>
      <c r="D6" s="96" t="n">
        <f aca="false">C6</f>
      </c>
      <c r="E6" s="96" t="n">
        <f aca="false">D6</f>
      </c>
      <c r="F6" s="96" t="n">
        <f aca="false">E6</f>
      </c>
      <c r="G6" s="96" t="n">
        <f aca="false">F6</f>
      </c>
      <c r="H6" s="96" t="n">
        <f aca="false">G6+($M$6-$G$6)/5</f>
      </c>
      <c r="I6" s="96" t="n">
        <f aca="false">H6+($M$6-$G$6)/5</f>
      </c>
      <c r="J6" s="96" t="n">
        <f aca="false">I6+($M$6-$G$6)/5</f>
      </c>
      <c r="K6" s="96" t="n">
        <f aca="false">J6+($M$6-$G$6)/5</f>
      </c>
      <c r="L6" s="96" t="n">
        <f aca="false">K6+($M$6-$G$6)/5</f>
      </c>
      <c r="M6" s="96" t="n">
        <f aca="false">IF('Input sheet'!B50="Yes",'Input sheet'!B20,'Input sheet'!B21)</f>
      </c>
    </row>
    <row r="7" customFormat="false" ht="15" hidden="false" customHeight="true" outlineLevel="0" collapsed="false">
      <c r="A7" s="86" t="s">
        <v>129</v>
      </c>
      <c r="B7" s="90" t="n">
        <f aca="false">IF(B5&gt;0,B5*(1-B6),B5)</f>
      </c>
      <c r="C7" s="91" t="n">
        <f aca="false">IF(C5&gt;0,IF(C5&lt;B10,C5,C5-(C5-B10)*C6),C5)</f>
      </c>
      <c r="D7" s="91" t="n">
        <f aca="false">IF(D5&gt;0,IF(D5&lt;C10,D5,D5-(D5-C10)*D6),D5)</f>
      </c>
      <c r="E7" s="91" t="n">
        <f aca="false">IF(E5&gt;0,IF(E5&lt;D10,E5,E5-(E5-D10)*E6),E5)</f>
      </c>
      <c r="F7" s="91" t="n">
        <f aca="false">IF(F5&gt;0,IF(F5&lt;E10,F5,F5-(F5-E10)*F6),F5)</f>
      </c>
      <c r="G7" s="91" t="n">
        <f aca="false">IF(G5&gt;0,IF(G5&lt;F10,G5,G5-(G5-F10)*G6),G5)</f>
      </c>
      <c r="H7" s="91" t="n">
        <f aca="false">IF(H5&gt;0,IF(H5&lt;G10,H5,H5-(H5-G10)*H6),H5)</f>
      </c>
      <c r="I7" s="91" t="n">
        <f aca="false">IF(I5&gt;0,IF(I5&lt;H10,I5,I5-(I5-H10)*I6),I5)</f>
      </c>
      <c r="J7" s="91" t="n">
        <f aca="false">IF(J5&gt;0,IF(J5&lt;I10,J5,J5-(J5-I10)*J6),J5)</f>
      </c>
      <c r="K7" s="91" t="n">
        <f aca="false">IF(K5&gt;0,IF(K5&lt;J10,K5,K5-(K5-J10)*K6),K5)</f>
      </c>
      <c r="L7" s="91" t="n">
        <f aca="false">IF(L5&gt;0,IF(L5&lt;K10,L5,L5-(L5-K10)*L6),L5)</f>
      </c>
      <c r="M7" s="91" t="n">
        <f aca="false">M5*(1-M6)</f>
      </c>
    </row>
    <row r="8" customFormat="false" ht="15" hidden="false" customHeight="true" outlineLevel="0" collapsed="false">
      <c r="A8" s="86" t="s">
        <v>130</v>
      </c>
      <c r="B8" s="90"/>
      <c r="C8" s="91" t="n">
        <f aca="false">(C3-B3)/C38</f>
      </c>
      <c r="D8" s="91" t="n">
        <f aca="false">(D3-C3)/D38</f>
      </c>
      <c r="E8" s="91" t="n">
        <f aca="false">(E3-D3)/E38</f>
      </c>
      <c r="F8" s="91" t="n">
        <f aca="false">(F3-E3)/F38</f>
      </c>
      <c r="G8" s="91" t="n">
        <f aca="false">(G3-F3)/G38</f>
      </c>
      <c r="H8" s="91" t="n">
        <f aca="false">(H3-G3)/H38</f>
      </c>
      <c r="I8" s="91" t="n">
        <f aca="false">(I3-H3)/I38</f>
      </c>
      <c r="J8" s="91" t="n">
        <f aca="false">(J3-I3)/J38</f>
      </c>
      <c r="K8" s="91" t="n">
        <f aca="false">(K3-J3)/K38</f>
      </c>
      <c r="L8" s="91" t="n">
        <f aca="false">(L3-K3)/L38</f>
      </c>
      <c r="M8" s="97" t="n">
        <f aca="false">IF(M2&gt;0,(M2/M40)*M7,0)</f>
      </c>
      <c r="N8" s="94" t="n">
        <f aca="false">SUM(C8:M8)</f>
      </c>
    </row>
    <row r="9" customFormat="false" ht="15" hidden="false" customHeight="true" outlineLevel="0" collapsed="false">
      <c r="A9" s="86" t="s">
        <v>131</v>
      </c>
      <c r="B9" s="90"/>
      <c r="C9" s="91" t="n">
        <f aca="false">C7-C8</f>
      </c>
      <c r="D9" s="91" t="n">
        <f aca="false">D7-D8</f>
      </c>
      <c r="E9" s="91" t="n">
        <f aca="false">E7-E8</f>
      </c>
      <c r="F9" s="91" t="n">
        <f aca="false">F7-F8</f>
      </c>
      <c r="G9" s="91" t="n">
        <f aca="false">G7-G8</f>
      </c>
      <c r="H9" s="91" t="n">
        <f aca="false">H7-H8</f>
      </c>
      <c r="I9" s="91" t="n">
        <f aca="false">I7-I8</f>
      </c>
      <c r="J9" s="91" t="n">
        <f aca="false">J7-J8</f>
      </c>
      <c r="K9" s="91" t="n">
        <f aca="false">K7-K8</f>
      </c>
      <c r="L9" s="91" t="n">
        <f aca="false">L7-L8</f>
      </c>
      <c r="M9" s="97" t="n">
        <f aca="false">M7-M8</f>
      </c>
    </row>
    <row r="10" customFormat="false" ht="15" hidden="false" customHeight="true" outlineLevel="0" collapsed="false">
      <c r="A10" s="86" t="s">
        <v>132</v>
      </c>
      <c r="B10" s="90" t="n">
        <f aca="false">IF('Input sheet'!B52="Yes",'Input sheet'!B53,0)</f>
      </c>
      <c r="C10" s="91" t="n">
        <f aca="false">IF(C5&lt;0,B10-C5,IF(B10&gt;C5,B10-C5,0))</f>
      </c>
      <c r="D10" s="91" t="n">
        <f aca="false">IF(D5&lt;0,C10-D5,IF(C10&gt;D5,C10-D5,0))</f>
      </c>
      <c r="E10" s="91" t="n">
        <f aca="false">IF(E5&lt;0,D10-E5,IF(D10&gt;E5,D10-E5,0))</f>
      </c>
      <c r="F10" s="91" t="n">
        <f aca="false">IF(F5&lt;0,E10-F5,IF(E10&gt;F5,E10-F5,0))</f>
      </c>
      <c r="G10" s="91" t="n">
        <f aca="false">IF(G5&lt;0,F10-G5,IF(F10&gt;G5,F10-G5,0))</f>
      </c>
      <c r="H10" s="91" t="n">
        <f aca="false">IF(H5&lt;0,G10-H5,IF(G10&gt;H5,G10-H5,0))</f>
      </c>
      <c r="I10" s="91" t="n">
        <f aca="false">IF(I5&lt;0,H10-I5,IF(H10&gt;I5,H10-I5,0))</f>
      </c>
      <c r="J10" s="91" t="n">
        <f aca="false">IF(J5&lt;0,I10-J5,IF(I10&gt;J5,I10-J5,0))</f>
      </c>
      <c r="K10" s="91" t="n">
        <f aca="false">IF(K5&lt;0,J10-K5,IF(J10&gt;K5,J10-K5,0))</f>
      </c>
      <c r="L10" s="91" t="n">
        <f aca="false">IF(L5&lt;0,K10-L5,IF(K10&gt;L5,K10-L5,0))</f>
      </c>
      <c r="M10" s="91" t="n">
        <f aca="false">IF(M5&lt;0,L10-M5,IF(L10&gt;M5,L10-M5,0))</f>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c>
      <c r="D12" s="88" t="n">
        <f aca="false">C12</f>
      </c>
      <c r="E12" s="88" t="n">
        <f aca="false">D12</f>
      </c>
      <c r="F12" s="88" t="n">
        <f aca="false">E12</f>
      </c>
      <c r="G12" s="88" t="n">
        <f aca="false">F12</f>
      </c>
      <c r="H12" s="88" t="n">
        <f aca="false">G12-($G$12-$M$12)/5</f>
      </c>
      <c r="I12" s="88" t="n">
        <f aca="false">H12-($G$12-$M$12)/5</f>
      </c>
      <c r="J12" s="88" t="n">
        <f aca="false">I12-($G$12-$M$12)/5</f>
      </c>
      <c r="K12" s="88" t="n">
        <f aca="false">J12-($G$12-$M$12)/5</f>
      </c>
      <c r="L12" s="88" t="n">
        <f aca="false">K12-($G$12-$M$12)/5</f>
      </c>
      <c r="M12" s="89" t="n">
        <f aca="false">IF('Input sheet'!B39="Yes",'Input sheet'!B40,'Input sheet'!B28+0.045)</f>
      </c>
    </row>
    <row r="13" customFormat="false" ht="15" hidden="false" customHeight="true" outlineLevel="0" collapsed="false">
      <c r="A13" s="99" t="s">
        <v>134</v>
      </c>
      <c r="B13" s="87"/>
      <c r="C13" s="100" t="n">
        <f aca="false">1/(1+C12)</f>
      </c>
      <c r="D13" s="100" t="n">
        <f aca="false">C13*(1/(1+D12))</f>
      </c>
      <c r="E13" s="100" t="n">
        <f aca="false">D13*(1/(1+E12))</f>
      </c>
      <c r="F13" s="100" t="n">
        <f aca="false">E13*(1/(1+F12))</f>
      </c>
      <c r="G13" s="100" t="n">
        <f aca="false">F13*(1/(1+G12))</f>
      </c>
      <c r="H13" s="100" t="n">
        <f aca="false">G13*(1/(1+H12))</f>
      </c>
      <c r="I13" s="100" t="n">
        <f aca="false">H13*(1/(1+I12))</f>
      </c>
      <c r="J13" s="100" t="n">
        <f aca="false">I13*(1/(1+J12))</f>
      </c>
      <c r="K13" s="100" t="n">
        <f aca="false">J13*(1/(1+K12))</f>
      </c>
      <c r="L13" s="100" t="n">
        <f aca="false">K13*(1/(1+L12))</f>
      </c>
      <c r="M13" s="98"/>
    </row>
    <row r="14" customFormat="false" ht="15" hidden="false" customHeight="true" outlineLevel="0" collapsed="false">
      <c r="A14" s="99" t="s">
        <v>135</v>
      </c>
      <c r="B14" s="87"/>
      <c r="C14" s="91" t="n">
        <f aca="false">C9*C13</f>
      </c>
      <c r="D14" s="91" t="n">
        <f aca="false">D9*D13</f>
      </c>
      <c r="E14" s="91" t="n">
        <f aca="false">E9*E13</f>
      </c>
      <c r="F14" s="91" t="n">
        <f aca="false">F9*F13</f>
      </c>
      <c r="G14" s="91" t="n">
        <f aca="false">G9*G13</f>
      </c>
      <c r="H14" s="91" t="n">
        <f aca="false">H9*H13</f>
      </c>
      <c r="I14" s="91" t="n">
        <f aca="false">I9*I13</f>
      </c>
      <c r="J14" s="91" t="n">
        <f aca="false">J9*J13</f>
      </c>
      <c r="K14" s="91" t="n">
        <f aca="false">K9*K13</f>
      </c>
      <c r="L14" s="91" t="n">
        <f aca="false">L9*L13</f>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c>
      <c r="C16" s="101"/>
      <c r="D16" s="101"/>
      <c r="E16" s="101"/>
      <c r="F16" s="101"/>
      <c r="G16" s="101"/>
      <c r="H16" s="101"/>
      <c r="I16" s="101"/>
      <c r="J16" s="101"/>
      <c r="K16" s="101"/>
      <c r="L16" s="101"/>
    </row>
    <row r="17" customFormat="false" ht="15" hidden="false" customHeight="true" outlineLevel="0" collapsed="false">
      <c r="A17" s="102" t="s">
        <v>137</v>
      </c>
      <c r="B17" s="93" t="n">
        <f aca="false">M12</f>
      </c>
      <c r="C17" s="101"/>
      <c r="D17" s="101"/>
      <c r="E17" s="101"/>
      <c r="F17" s="101"/>
      <c r="G17" s="101"/>
      <c r="H17" s="101"/>
      <c r="I17" s="101"/>
      <c r="J17" s="101"/>
      <c r="K17" s="101"/>
      <c r="L17" s="101"/>
    </row>
    <row r="18" customFormat="false" ht="15.75" hidden="false" customHeight="false" outlineLevel="0" collapsed="false">
      <c r="A18" s="102" t="s">
        <v>138</v>
      </c>
      <c r="B18" s="90" t="n">
        <f aca="false">B16/(B17-M2)</f>
      </c>
      <c r="C18" s="101"/>
      <c r="D18" s="103"/>
      <c r="E18" s="101"/>
      <c r="F18" s="101"/>
      <c r="G18" s="101"/>
      <c r="H18" s="101"/>
      <c r="I18" s="101"/>
      <c r="J18" s="101"/>
      <c r="K18" s="101"/>
      <c r="L18" s="101"/>
    </row>
    <row r="19" customFormat="false" ht="15.75" hidden="false" customHeight="false" outlineLevel="0" collapsed="false">
      <c r="A19" s="102" t="s">
        <v>139</v>
      </c>
      <c r="B19" s="104" t="n">
        <f aca="false">B18*L13</f>
      </c>
      <c r="C19" s="101"/>
      <c r="D19" s="101"/>
      <c r="E19" s="101"/>
      <c r="F19" s="101"/>
      <c r="G19" s="101"/>
      <c r="H19" s="101"/>
      <c r="I19" s="101"/>
      <c r="J19" s="101"/>
      <c r="K19" s="101"/>
      <c r="L19" s="101"/>
    </row>
    <row r="20" customFormat="false" ht="15.75" hidden="false" customHeight="false" outlineLevel="0" collapsed="false">
      <c r="A20" s="102" t="s">
        <v>140</v>
      </c>
      <c r="B20" s="104" t="n">
        <f aca="false">SUM(C14:L14)</f>
      </c>
      <c r="C20" s="101"/>
      <c r="D20" s="101"/>
      <c r="E20" s="101"/>
      <c r="F20" s="101"/>
      <c r="G20" s="101"/>
      <c r="H20" s="101"/>
      <c r="I20" s="101"/>
      <c r="J20" s="101"/>
      <c r="K20" s="101"/>
      <c r="L20" s="101"/>
    </row>
    <row r="21" customFormat="false" ht="15.75" hidden="false" customHeight="false" outlineLevel="0" collapsed="false">
      <c r="A21" s="102" t="s">
        <v>141</v>
      </c>
      <c r="B21" s="104" t="n">
        <f aca="false">B19+B20</f>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c>
      <c r="C30" s="101"/>
      <c r="D30" s="101"/>
      <c r="E30" s="101"/>
      <c r="F30" s="101"/>
      <c r="G30" s="101"/>
      <c r="H30" s="101"/>
      <c r="I30" s="101"/>
      <c r="J30" s="101"/>
      <c r="K30" s="101"/>
      <c r="L30" s="101"/>
    </row>
    <row r="31" customFormat="false" ht="15.75" hidden="false" customHeight="false" outlineLevel="0" collapsed="false">
      <c r="A31" s="102" t="s">
        <v>151</v>
      </c>
      <c r="B31" s="104" t="n">
        <f aca="false">B29-B30</f>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c>
      <c r="C32" s="101"/>
      <c r="D32" s="101"/>
      <c r="E32" s="101"/>
      <c r="F32" s="101"/>
      <c r="G32" s="101"/>
      <c r="H32" s="101"/>
      <c r="I32" s="101"/>
      <c r="J32" s="101"/>
      <c r="K32" s="101"/>
      <c r="L32" s="101"/>
    </row>
    <row r="33" customFormat="false" ht="15.75" hidden="false" customHeight="false" outlineLevel="0" collapsed="false">
      <c r="A33" s="102" t="s">
        <v>153</v>
      </c>
      <c r="B33" s="109" t="n">
        <f aca="false">B31/B32</f>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c>
      <c r="C34" s="101"/>
      <c r="D34" s="101"/>
      <c r="E34" s="101"/>
      <c r="F34" s="101"/>
      <c r="G34" s="101"/>
      <c r="H34" s="101"/>
      <c r="I34" s="101"/>
      <c r="J34" s="101"/>
      <c r="K34" s="101"/>
      <c r="L34" s="101"/>
    </row>
    <row r="35" customFormat="false" ht="15.75" hidden="false" customHeight="false" outlineLevel="0" collapsed="false">
      <c r="A35" s="102" t="s">
        <v>155</v>
      </c>
      <c r="B35" s="95" t="n">
        <f aca="false">B34/B33</f>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c>
      <c r="D38" s="112" t="n">
        <f aca="false">C38</f>
      </c>
      <c r="E38" s="112" t="n">
        <f aca="false">D38</f>
      </c>
      <c r="F38" s="112" t="n">
        <f aca="false">E38</f>
      </c>
      <c r="G38" s="112" t="n">
        <f aca="false">F38</f>
      </c>
      <c r="H38" s="112" t="n">
        <f aca="false">G38</f>
      </c>
      <c r="I38" s="112" t="n">
        <f aca="false">H38</f>
      </c>
      <c r="J38" s="112" t="n">
        <f aca="false">I38</f>
      </c>
      <c r="K38" s="112" t="n">
        <f aca="false">J38</f>
      </c>
      <c r="L38" s="112" t="n">
        <f aca="false">K38</f>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14" t="n">
        <f aca="false">B39+C8</f>
      </c>
      <c r="D39" s="114" t="n">
        <f aca="false">C39+D8</f>
      </c>
      <c r="E39" s="114" t="n">
        <f aca="false">D39+E8</f>
      </c>
      <c r="F39" s="114" t="n">
        <f aca="false">E39+F8</f>
      </c>
      <c r="G39" s="114" t="n">
        <f aca="false">F39+G8</f>
      </c>
      <c r="H39" s="114" t="n">
        <f aca="false">G39+H8</f>
      </c>
      <c r="I39" s="114" t="n">
        <f aca="false">H39+I8</f>
      </c>
      <c r="J39" s="114" t="n">
        <f aca="false">I39+J8</f>
      </c>
      <c r="K39" s="114" t="n">
        <f aca="false">J39+K8</f>
      </c>
      <c r="L39" s="114" t="n">
        <f aca="false">K39+L8</f>
      </c>
      <c r="M39" s="98"/>
    </row>
    <row r="40" customFormat="false" ht="15.75" hidden="false" customHeight="false" outlineLevel="0" collapsed="false">
      <c r="A40" s="111" t="s">
        <v>160</v>
      </c>
      <c r="B40" s="93" t="n">
        <f aca="false">B7/B39</f>
      </c>
      <c r="C40" s="88" t="n">
        <f aca="false">C7/C39</f>
      </c>
      <c r="D40" s="88" t="n">
        <f aca="false">D7/D39</f>
      </c>
      <c r="E40" s="88" t="n">
        <f aca="false">E7/E39</f>
      </c>
      <c r="F40" s="88" t="n">
        <f aca="false">F7/F39</f>
      </c>
      <c r="G40" s="88" t="n">
        <f aca="false">G7/G39</f>
      </c>
      <c r="H40" s="88" t="n">
        <f aca="false">H7/H39</f>
      </c>
      <c r="I40" s="88" t="n">
        <f aca="false">I7/I39</f>
      </c>
      <c r="J40" s="88" t="n">
        <f aca="false">J7/J39</f>
      </c>
      <c r="K40" s="88" t="n">
        <f aca="false">K7/K39</f>
      </c>
      <c r="L40" s="115" t="n">
        <f aca="false">L7/L39</f>
      </c>
      <c r="M40" s="88" t="n">
        <f aca="false">IF('Input sheet'!B42="Yes",'Input sheet'!B43,'Review valuation'!L12)</f>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c>
    </row>
    <row r="4" customFormat="false" ht="12.8" hidden="false" customHeight="false" outlineLevel="0" collapsed="false">
      <c r="A4" s="0" t="s">
        <v>798</v>
      </c>
      <c r="B4" s="196" t="n">
        <f aca="false">'Review valuation'!B31</f>
      </c>
    </row>
    <row r="5" customFormat="false" ht="12.8" hidden="false" customHeight="false" outlineLevel="0" collapsed="false">
      <c r="A5" s="0" t="s">
        <v>799</v>
      </c>
      <c r="B5" s="0" t="n">
        <f aca="false">B4-B3</f>
      </c>
    </row>
    <row r="7" customFormat="false" ht="12.8" hidden="false" customHeight="false" outlineLevel="0" collapsed="false">
      <c r="A7" s="0" t="s">
        <v>800</v>
      </c>
      <c r="B7" s="196" t="n">
        <f aca="false">'Valuation output'!B33</f>
      </c>
    </row>
    <row r="8" customFormat="false" ht="12.8" hidden="false" customHeight="false" outlineLevel="0" collapsed="false">
      <c r="A8" s="0" t="s">
        <v>801</v>
      </c>
      <c r="B8" s="196" t="n">
        <f aca="false">'Review valuation'!B33</f>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