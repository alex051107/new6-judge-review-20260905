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Review valuation" sheetId="17" state="visible" r:id="rId19"/>
    <sheet name="Review summary" sheetId="18" state="visible" r:id="rId20"/>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<sst xmlns="http://schemas.openxmlformats.org/spreadsheetml/2006/main" count="1489" uniqueCount="797">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</sst>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v>#NAME?</v>
      </c>
      <c r="B11" s="0" t="e">
        <f aca="false">'input sheet'!#ref!</f>
        <v>#VALUE!</v>
      </c>
      <c r="C11" s="0" t="e">
        <f aca="false">'valuation output'!#ref!</f>
        <v>#VALUE!</v>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v>0.202049395691014</v>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v>0.369186552050413</v>
      </c>
      <c r="J22" s="42" t="n">
        <f aca="false">VLOOKUP(B6,'Industry Averages(US)'!A2:S95,3)</f>
        <v>0.020755625</v>
      </c>
      <c r="K22" s="43" t="n">
        <f aca="false">VLOOKUP(B7,'Global industry averages'!A2:N95,3)</f>
        <v>0.03694784946</v>
      </c>
    </row>
    <row r="23" s="15" customFormat="true" ht="12.65" hidden="false" customHeight="false" outlineLevel="0" collapsed="false">
      <c r="A23" s="22" t="s">
        <v>62</v>
      </c>
      <c r="B23" s="44" t="n">
        <v>0.15</v>
      </c>
      <c r="C23" s="25" t="s">
        <v>63</v>
      </c>
      <c r="E23" s="41" t="s">
        <v>64</v>
      </c>
      <c r="F23" s="13"/>
      <c r="G23" s="13"/>
      <c r="H23" s="13"/>
      <c r="I23" s="42" t="n">
        <f aca="false">'Valuation output'!B4</f>
        <v>0.0769555877117426</v>
      </c>
      <c r="J23" s="43" t="n">
        <f aca="false">VLOOKUP(B6,'Industry Averages(US)'!A2:S95,4)</f>
        <v>0.0420773842407521</v>
      </c>
      <c r="K23" s="43" t="n">
        <f aca="false">VLOOKUP(B7,'Global industry averages'!A2:N95,4)</f>
        <v>0.0411818943269006</v>
      </c>
    </row>
    <row r="24" s="15" customFormat="true" ht="12.65" hidden="false" customHeight="false" outlineLevel="0" collapsed="false">
      <c r="A24" s="22" t="s">
        <v>65</v>
      </c>
      <c r="B24" s="44" t="n">
        <v>0.125</v>
      </c>
      <c r="C24" s="25" t="s">
        <v>66</v>
      </c>
      <c r="E24" s="41" t="s">
        <v>67</v>
      </c>
      <c r="F24" s="13"/>
      <c r="G24" s="13"/>
      <c r="H24" s="13"/>
      <c r="I24" s="45" t="n">
        <f aca="false">B8/(B11+B12-B15)</f>
        <v>5.94727818259751</v>
      </c>
      <c r="J24" s="45" t="n">
        <f aca="false">VLOOKUP(B6,'Industry Averages(US)'!A2:S95,14)</f>
        <v>3.67189921606203</v>
      </c>
      <c r="K24" s="45" t="n">
        <f aca="false">VLOOKUP(B7,'Global industry averages'!A2:N95,14)</f>
        <v>2.62304509580232</v>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v>0.151391623096445</v>
      </c>
      <c r="J25" s="43" t="n">
        <f aca="false">VLOOKUP(B6,'Industry Averages(US)'!A2:S95,5)</f>
        <v>0.119029963471071</v>
      </c>
      <c r="K25" s="43" t="n">
        <f aca="false">VLOOKUP(B7,'Global industry averages'!A2:N95,5)</f>
        <v>0.0833519291038559</v>
      </c>
    </row>
    <row r="26" s="15" customFormat="true" ht="12.65" hidden="false" customHeight="false" outlineLevel="0" collapsed="false">
      <c r="A26" s="22" t="s">
        <v>71</v>
      </c>
      <c r="B26" s="46" t="n">
        <f aca="false">I24</f>
        <v>5.94727818259751</v>
      </c>
      <c r="C26" s="25" t="s">
        <v>72</v>
      </c>
      <c r="E26" s="41" t="s">
        <v>73</v>
      </c>
      <c r="F26" s="13"/>
      <c r="G26" s="13"/>
      <c r="H26" s="13"/>
      <c r="I26" s="47"/>
      <c r="J26" s="48" t="n">
        <f aca="false">VLOOKUP(B6,'Industry Averages(US)'!A2:S95,10)</f>
        <v>0.499397698378044</v>
      </c>
      <c r="K26" s="43" t="n">
        <f aca="false">VLOOKUP(B6,'Global industry averages'!A2:Z95,10)</f>
        <v>0.306129225</v>
      </c>
    </row>
    <row r="27" s="15" customFormat="true" ht="12.65" hidden="false" customHeight="false" outlineLevel="0" collapsed="false">
      <c r="A27" s="39" t="s">
        <v>74</v>
      </c>
      <c r="B27" s="49"/>
      <c r="C27" s="25"/>
      <c r="E27" s="50" t="s">
        <v>75</v>
      </c>
      <c r="F27" s="51"/>
      <c r="G27" s="51"/>
      <c r="H27" s="51"/>
      <c r="I27" s="51"/>
      <c r="J27" s="52" t="n">
        <f aca="false">VLOOKUP(B6,'Industry Averages(US)'!A2:S95,13)</f>
        <v>0.0661083214324344</v>
      </c>
      <c r="K27" s="43" t="n">
        <f aca="false">VLOOKUP(B6,'Global industry averages'!A2:Z95,13)</f>
        <v>0.0776201938680476</v>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v>626133.958954877</v>
      </c>
    </row>
    <row r="31" s="15" customFormat="true" ht="12.65" hidden="false" customHeight="false" outlineLevel="0" collapsed="false">
      <c r="A31" s="34" t="s">
        <v>81</v>
      </c>
      <c r="B31" s="53" t="s">
        <v>82</v>
      </c>
      <c r="D31" s="25"/>
      <c r="E31" s="56" t="s">
        <v>83</v>
      </c>
      <c r="F31" s="34"/>
      <c r="G31" s="34"/>
      <c r="H31" s="34"/>
      <c r="I31" s="34"/>
      <c r="J31" s="57" t="n">
        <f aca="false">'Valuation output'!M5</f>
        <v>78266.7448693597</v>
      </c>
    </row>
    <row r="32" s="15" customFormat="true" ht="12.65" hidden="false" customHeight="false" outlineLevel="0" collapsed="false">
      <c r="A32" s="34" t="s">
        <v>84</v>
      </c>
      <c r="B32" s="46" t="n">
        <v>21.65</v>
      </c>
      <c r="C32" s="58"/>
      <c r="D32" s="25"/>
      <c r="E32" s="56" t="s">
        <v>85</v>
      </c>
      <c r="F32" s="34"/>
      <c r="G32" s="34"/>
      <c r="H32" s="34"/>
      <c r="I32" s="34"/>
      <c r="J32" s="42" t="n">
        <f aca="false">'Valuation output'!L40</f>
        <v>0.380842631785374</v>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v>0.15</v>
      </c>
      <c r="D2" s="88" t="n">
        <f aca="false">C2</f>
        <v>0.15</v>
      </c>
      <c r="E2" s="88" t="n">
        <f aca="false">D2</f>
        <v>0.15</v>
      </c>
      <c r="F2" s="88" t="n">
        <f aca="false">E2</f>
        <v>0.15</v>
      </c>
      <c r="G2" s="88" t="n">
        <f aca="false">F2</f>
        <v>0.15</v>
      </c>
      <c r="H2" s="88" t="n">
        <f aca="false">G2-((G2-$M$2)/5)</f>
        <v>0.126</v>
      </c>
      <c r="I2" s="88" t="n">
        <f aca="false">G2-((G2-$M$2)/5)*2</f>
        <v>0.102</v>
      </c>
      <c r="J2" s="88" t="n">
        <f aca="false">G2-((G2-$M$2)/5)*3</f>
        <v>0.078</v>
      </c>
      <c r="K2" s="88" t="n">
        <f aca="false">G2-((G2-$M$2)/5)*4</f>
        <v>0.054</v>
      </c>
      <c r="L2" s="88" t="n">
        <f aca="false">G2-((G2-$M$2)/5)*5</f>
        <v>0.03</v>
      </c>
      <c r="M2" s="89" t="n">
        <f aca="false">IF('Input sheet'!B55="Yes",'Input sheet'!B56,'Input sheet'!B28)</f>
        <v>0.03</v>
      </c>
    </row>
    <row r="3" customFormat="false" ht="15" hidden="false" customHeight="true" outlineLevel="0" collapsed="false">
      <c r="A3" s="86" t="s">
        <v>38</v>
      </c>
      <c r="B3" s="90" t="n">
        <f aca="false">'Input sheet'!B8</f>
        <v>208125</v>
      </c>
      <c r="C3" s="91" t="n">
        <f aca="false">B3*(1+C2)</f>
        <v>239343.75</v>
      </c>
      <c r="D3" s="91" t="n">
        <f aca="false">C3*(1+D2)</f>
        <v>275245.3125</v>
      </c>
      <c r="E3" s="91" t="n">
        <f aca="false">D3*(1+E2)</f>
        <v>316532.109375</v>
      </c>
      <c r="F3" s="91" t="n">
        <f aca="false">E3*(1+F2)</f>
        <v>364011.92578125</v>
      </c>
      <c r="G3" s="91" t="n">
        <f aca="false">F3*(1+G2)</f>
        <v>418613.714648437</v>
      </c>
      <c r="H3" s="91" t="n">
        <f aca="false">G3*(1+H2)</f>
        <v>471359.04269414</v>
      </c>
      <c r="I3" s="91" t="n">
        <f aca="false">H3*(1+I2)</f>
        <v>519437.665048943</v>
      </c>
      <c r="J3" s="91" t="n">
        <f aca="false">I3*(1+J2)</f>
        <v>559953.80292276</v>
      </c>
      <c r="K3" s="91" t="n">
        <f aca="false">J3*(1+K2)</f>
        <v>590191.308280589</v>
      </c>
      <c r="L3" s="91" t="n">
        <f aca="false">K3*(1+L2)</f>
        <v>607897.047529007</v>
      </c>
      <c r="M3" s="92" t="n">
        <f aca="false">L3*(1+M2)</f>
        <v>626133.958954877</v>
      </c>
    </row>
    <row r="4" customFormat="false" ht="15" hidden="false" customHeight="true" outlineLevel="0" collapsed="false">
      <c r="A4" s="86" t="s">
        <v>126</v>
      </c>
      <c r="B4" s="93" t="n">
        <f aca="false">B5/B3</f>
        <v>0.0769555877117426</v>
      </c>
      <c r="C4" s="88" t="n">
        <f aca="false">IF(C1&gt;'Input sheet'!$B$25,'Input sheet'!$B$24,'Input sheet'!$B$24-(('Input sheet'!$B$24-$B$4)/'Input sheet'!$B$25)*('Input sheet'!$B$25-C1))</f>
        <v>0.0865644701693941</v>
      </c>
      <c r="D4" s="88" t="n">
        <f aca="false">IF(D1&gt;'Input sheet'!$B$25,'Input sheet'!$B$24,'Input sheet'!$B$24-(('Input sheet'!$B$24-$B$4)/'Input sheet'!$B$25)*('Input sheet'!$B$25-D1))</f>
        <v>0.0961733526270456</v>
      </c>
      <c r="E4" s="88" t="n">
        <f aca="false">IF(E1&gt;'Input sheet'!$B$25,'Input sheet'!$B$24,'Input sheet'!$B$24-(('Input sheet'!$B$24-$B$4)/'Input sheet'!$B$25)*('Input sheet'!$B$25-E1))</f>
        <v>0.105782235084697</v>
      </c>
      <c r="F4" s="88" t="n">
        <f aca="false">IF(F1&gt;'Input sheet'!$B$25,'Input sheet'!$B$24,'Input sheet'!$B$24-(('Input sheet'!$B$24-$B$4)/'Input sheet'!$B$25)*('Input sheet'!$B$25-F1))</f>
        <v>0.115391117542349</v>
      </c>
      <c r="G4" s="88" t="n">
        <f aca="false">IF(G1&gt;'Input sheet'!$B$25,'Input sheet'!$B$24,'Input sheet'!$B$24-(('Input sheet'!$B$24-$B$4)/'Input sheet'!$B$25)*('Input sheet'!$B$25-G1))</f>
        <v>0.125</v>
      </c>
      <c r="H4" s="88" t="n">
        <f aca="false">IF(H1&gt;'Input sheet'!$B$25,'Input sheet'!$B$24,'Input sheet'!$B$24-(('Input sheet'!$B$24-$B$4)/'Input sheet'!$B$25)*('Input sheet'!$B$25-H1))</f>
        <v>0.125</v>
      </c>
      <c r="I4" s="88" t="n">
        <f aca="false">IF(I1&gt;'Input sheet'!$B$25,'Input sheet'!$B$24,'Input sheet'!$B$24-(('Input sheet'!$B$24-$B$4)/'Input sheet'!$B$25)*('Input sheet'!$B$25-I1))</f>
        <v>0.125</v>
      </c>
      <c r="J4" s="88" t="n">
        <f aca="false">IF(J1&gt;'Input sheet'!$B$25,'Input sheet'!$B$24,'Input sheet'!$B$24-(('Input sheet'!$B$24-$B$4)/'Input sheet'!$B$25)*('Input sheet'!$B$25-J1))</f>
        <v>0.125</v>
      </c>
      <c r="K4" s="88" t="n">
        <f aca="false">IF(K1&gt;'Input sheet'!$B$25,'Input sheet'!$B$24,'Input sheet'!$B$24-(('Input sheet'!$B$24-$B$4)/'Input sheet'!$B$25)*('Input sheet'!$B$25-K1))</f>
        <v>0.125</v>
      </c>
      <c r="L4" s="88" t="n">
        <f aca="false">IF(L1&gt;'Input sheet'!$B$25,'Input sheet'!$B$24,'Input sheet'!$B$24-(('Input sheet'!$B$24-$B$4)/'Input sheet'!$B$25)*('Input sheet'!$B$25-L1))</f>
        <v>0.125</v>
      </c>
      <c r="M4" s="89" t="n">
        <f aca="false">L4</f>
        <v>0.125</v>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v>16016.3816925064</v>
      </c>
      <c r="C5" s="91" t="n">
        <f aca="false">C4*C3</f>
        <v>20718.6649071059</v>
      </c>
      <c r="D5" s="91" t="n">
        <f aca="false">D4*D3</f>
        <v>26471.2644980039</v>
      </c>
      <c r="E5" s="91" t="n">
        <f aca="false">E4*E3</f>
        <v>33483.4740057613</v>
      </c>
      <c r="F5" s="91" t="n">
        <f aca="false">F4*F3</f>
        <v>42003.7429146409</v>
      </c>
      <c r="G5" s="91" t="n">
        <f aca="false">G4*G3</f>
        <v>52326.7143310547</v>
      </c>
      <c r="H5" s="91" t="n">
        <f aca="false">H4*H3</f>
        <v>58919.8803367675</v>
      </c>
      <c r="I5" s="91" t="n">
        <f aca="false">I4*I3</f>
        <v>64929.7081311178</v>
      </c>
      <c r="J5" s="91" t="n">
        <f aca="false">J4*J3</f>
        <v>69994.225365345</v>
      </c>
      <c r="K5" s="91" t="n">
        <f aca="false">K4*K3</f>
        <v>73773.9135350737</v>
      </c>
      <c r="L5" s="91" t="n">
        <f aca="false">L4*L3</f>
        <v>75987.1309411259</v>
      </c>
      <c r="M5" s="92" t="n">
        <f aca="false">M4*M3</f>
        <v>78266.7448693597</v>
      </c>
      <c r="N5" s="94" t="n">
        <f aca="false">M5-B5</f>
        <v>62250.3631768532</v>
      </c>
    </row>
    <row r="6" customFormat="false" ht="15" hidden="false" customHeight="true" outlineLevel="0" collapsed="false">
      <c r="A6" s="86" t="s">
        <v>128</v>
      </c>
      <c r="B6" s="95" t="n">
        <f aca="false">'Input sheet'!B20</f>
        <v>0.202049395691014</v>
      </c>
      <c r="C6" s="96" t="n">
        <f aca="false">B6</f>
        <v>0.202049395691014</v>
      </c>
      <c r="D6" s="96" t="n">
        <f aca="false">C6</f>
        <v>0.202049395691014</v>
      </c>
      <c r="E6" s="96" t="n">
        <f aca="false">D6</f>
        <v>0.202049395691014</v>
      </c>
      <c r="F6" s="96" t="n">
        <f aca="false">E6</f>
        <v>0.202049395691014</v>
      </c>
      <c r="G6" s="96" t="n">
        <f aca="false">F6</f>
        <v>0.202049395691014</v>
      </c>
      <c r="H6" s="96" t="n">
        <f aca="false">G6+($M$6-$G$6)/5</f>
        <v>0.209639516552811</v>
      </c>
      <c r="I6" s="96" t="n">
        <f aca="false">H6+($M$6-$G$6)/5</f>
        <v>0.217229637414609</v>
      </c>
      <c r="J6" s="96" t="n">
        <f aca="false">I6+($M$6-$G$6)/5</f>
        <v>0.224819758276406</v>
      </c>
      <c r="K6" s="96" t="n">
        <f aca="false">J6+($M$6-$G$6)/5</f>
        <v>0.232409879138203</v>
      </c>
      <c r="L6" s="96" t="n">
        <f aca="false">K6+($M$6-$G$6)/5</f>
        <v>0.24</v>
      </c>
      <c r="M6" s="96" t="n">
        <f aca="false">IF('Input sheet'!B50="Yes",'Input sheet'!B20,'Input sheet'!B21)</f>
        <v>0.24</v>
      </c>
    </row>
    <row r="7" customFormat="false" ht="15" hidden="false" customHeight="true" outlineLevel="0" collapsed="false">
      <c r="A7" s="86" t="s">
        <v>129</v>
      </c>
      <c r="B7" s="90" t="n">
        <f aca="false">IF(B5&gt;0,B5*(1-B6),B5)</f>
        <v>12780.2814503789</v>
      </c>
      <c r="C7" s="91" t="n">
        <f aca="false">IF(C5&gt;0,IF(C5&lt;B10,C5,C5-(C5-B10)*C6),C5)</f>
        <v>16532.4711831005</v>
      </c>
      <c r="D7" s="91" t="n">
        <f aca="false">IF(D5&gt;0,IF(D5&lt;C10,D5,D5-(D5-C10)*D6),D5)</f>
        <v>21122.7615030052</v>
      </c>
      <c r="E7" s="91" t="n">
        <f aca="false">IF(E5&gt;0,IF(E5&lt;D10,E5,E5-(E5-D10)*E6),E5)</f>
        <v>26718.1583172614</v>
      </c>
      <c r="F7" s="91" t="n">
        <f aca="false">IF(F5&gt;0,IF(F5&lt;E10,F5,F5-(F5-E10)*F6),F5)</f>
        <v>33516.9120419769</v>
      </c>
      <c r="G7" s="91" t="n">
        <f aca="false">IF(G5&gt;0,IF(G5&lt;F10,G5,G5-(G5-F10)*G6),G5)</f>
        <v>41754.1333219687</v>
      </c>
      <c r="H7" s="91" t="n">
        <f aca="false">IF(H5&gt;0,IF(H5&lt;G10,H5,H5-(H5-G10)*H6),H5)</f>
        <v>46567.9451076181</v>
      </c>
      <c r="I7" s="91" t="n">
        <f aca="false">IF(I5&gt;0,IF(I5&lt;H10,I5,I5-(I5-H10)*I6),I5)</f>
        <v>50825.0511763588</v>
      </c>
      <c r="J7" s="91" t="n">
        <f aca="false">IF(J5&gt;0,IF(J5&lt;I10,J5,J5-(J5-I10)*J6),J5)</f>
        <v>54258.1405379639</v>
      </c>
      <c r="K7" s="91" t="n">
        <f aca="false">IF(K5&gt;0,IF(K5&lt;J10,K5,K5-(K5-J10)*K6),K5)</f>
        <v>56628.127206835</v>
      </c>
      <c r="L7" s="91" t="n">
        <f aca="false">IF(L5&gt;0,IF(L5&lt;K10,L5,L5-(L5-K10)*L6),L5)</f>
        <v>57750.2195152557</v>
      </c>
      <c r="M7" s="91" t="n">
        <f aca="false">M5*(1-M6)</f>
        <v>59482.7261007133</v>
      </c>
    </row>
    <row r="8" customFormat="false" ht="15" hidden="false" customHeight="true" outlineLevel="0" collapsed="false">
      <c r="A8" s="86" t="s">
        <v>130</v>
      </c>
      <c r="B8" s="90"/>
      <c r="C8" s="91" t="n">
        <f aca="false">(C3-B3)/C38</f>
        <v>5249.25</v>
      </c>
      <c r="D8" s="91" t="n">
        <f aca="false">(D3-C3)/D38</f>
        <v>6036.6375</v>
      </c>
      <c r="E8" s="91" t="n">
        <f aca="false">(E3-D3)/E38</f>
        <v>6942.13312499999</v>
      </c>
      <c r="F8" s="91" t="n">
        <f aca="false">(F3-E3)/F38</f>
        <v>7983.45309374999</v>
      </c>
      <c r="G8" s="91" t="n">
        <f aca="false">(G3-F3)/G38</f>
        <v>9180.97105781249</v>
      </c>
      <c r="H8" s="91" t="n">
        <f aca="false">(H3-G3)/H38</f>
        <v>8868.81804184687</v>
      </c>
      <c r="I8" s="91" t="n">
        <f aca="false">(I3-H3)/I38</f>
        <v>8084.13880747776</v>
      </c>
      <c r="J8" s="91" t="n">
        <f aca="false">(J3-I3)/J38</f>
        <v>6812.55132681919</v>
      </c>
      <c r="K8" s="91" t="n">
        <f aca="false">(K3-J3)/K38</f>
        <v>5084.25945944614</v>
      </c>
      <c r="L8" s="91" t="n">
        <f aca="false">(L3-K3)/L38</f>
        <v>2977.11637236457</v>
      </c>
      <c r="M8" s="97" t="n">
        <f aca="false">IF(M2&gt;0,(M2/M40)*M7,0)</f>
        <v>17844.817830214</v>
      </c>
      <c r="N8" s="94" t="n">
        <f aca="false">SUM(C8:M8)</f>
        <v>85064.146614731</v>
      </c>
    </row>
    <row r="9" customFormat="false" ht="15" hidden="false" customHeight="true" outlineLevel="0" collapsed="false">
      <c r="A9" s="86" t="s">
        <v>131</v>
      </c>
      <c r="B9" s="90"/>
      <c r="C9" s="91" t="n">
        <f aca="false">C7-C8</f>
        <v>11283.2211831005</v>
      </c>
      <c r="D9" s="91" t="n">
        <f aca="false">D7-D8</f>
        <v>15086.1240030052</v>
      </c>
      <c r="E9" s="91" t="n">
        <f aca="false">E7-E8</f>
        <v>19776.0251922614</v>
      </c>
      <c r="F9" s="91" t="n">
        <f aca="false">F7-F8</f>
        <v>25533.458948227</v>
      </c>
      <c r="G9" s="91" t="n">
        <f aca="false">G7-G8</f>
        <v>32573.1622641562</v>
      </c>
      <c r="H9" s="91" t="n">
        <f aca="false">H7-H8</f>
        <v>37699.1270657712</v>
      </c>
      <c r="I9" s="91" t="n">
        <f aca="false">I7-I8</f>
        <v>42740.912368881</v>
      </c>
      <c r="J9" s="91" t="n">
        <f aca="false">J7-J8</f>
        <v>47445.5892111447</v>
      </c>
      <c r="K9" s="91" t="n">
        <f aca="false">K7-K8</f>
        <v>51543.8677473888</v>
      </c>
      <c r="L9" s="91" t="n">
        <f aca="false">L7-L8</f>
        <v>54773.1031428911</v>
      </c>
      <c r="M9" s="97" t="n">
        <f aca="false">M7-M8</f>
        <v>41637.9082704993</v>
      </c>
    </row>
    <row r="10" customFormat="false" ht="15" hidden="false" customHeight="true" outlineLevel="0" collapsed="false">
      <c r="A10" s="86" t="s">
        <v>132</v>
      </c>
      <c r="B10" s="90" t="n">
        <f aca="false">IF('Input sheet'!B52="Yes",'Input sheet'!B53,0)</f>
        <v>0</v>
      </c>
      <c r="C10" s="91" t="n">
        <f aca="false">IF(C5&lt;0,B10-C5,IF(B10&gt;C5,B10-C5,0))</f>
        <v>0</v>
      </c>
      <c r="D10" s="91" t="n">
        <f aca="false">IF(D5&lt;0,C10-D5,IF(C10&gt;D5,C10-D5,0))</f>
        <v>0</v>
      </c>
      <c r="E10" s="91" t="n">
        <f aca="false">IF(E5&lt;0,D10-E5,IF(D10&gt;E5,D10-E5,0))</f>
        <v>0</v>
      </c>
      <c r="F10" s="91" t="n">
        <f aca="false">IF(F5&lt;0,E10-F5,IF(E10&gt;F5,E10-F5,0))</f>
        <v>0</v>
      </c>
      <c r="G10" s="91" t="n">
        <f aca="false">IF(G5&lt;0,F10-G5,IF(F10&gt;G5,F10-G5,0))</f>
        <v>0</v>
      </c>
      <c r="H10" s="91" t="n">
        <f aca="false">IF(H5&lt;0,G10-H5,IF(G10&gt;H5,G10-H5,0))</f>
        <v>0</v>
      </c>
      <c r="I10" s="91" t="n">
        <f aca="false">IF(I5&lt;0,H10-I5,IF(H10&gt;I5,H10-I5,0))</f>
        <v>0</v>
      </c>
      <c r="J10" s="91" t="n">
        <f aca="false">IF(J5&lt;0,I10-J5,IF(I10&gt;J5,I10-J5,0))</f>
        <v>0</v>
      </c>
      <c r="K10" s="91" t="n">
        <f aca="false">IF(K5&lt;0,J10-K5,IF(J10&gt;K5,J10-K5,0))</f>
        <v>0</v>
      </c>
      <c r="L10" s="91" t="n">
        <f aca="false">IF(L5&lt;0,K10-L5,IF(K10&gt;L5,K10-L5,0))</f>
        <v>0</v>
      </c>
      <c r="M10" s="91" t="n">
        <f aca="false">IF(M5&lt;0,L10-M5,IF(L10&gt;M5,L10-M5,0))</f>
        <v>0</v>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v>0.0797</v>
      </c>
      <c r="D12" s="88" t="n">
        <f aca="false">C12</f>
        <v>0.0797</v>
      </c>
      <c r="E12" s="88" t="n">
        <f aca="false">D12</f>
        <v>0.0797</v>
      </c>
      <c r="F12" s="88" t="n">
        <f aca="false">E12</f>
        <v>0.0797</v>
      </c>
      <c r="G12" s="88" t="n">
        <f aca="false">F12</f>
        <v>0.0797</v>
      </c>
      <c r="H12" s="88" t="n">
        <f aca="false">G12-($G$12-$M$12)/5</f>
        <v>0.07876</v>
      </c>
      <c r="I12" s="88" t="n">
        <f aca="false">H12-($G$12-$M$12)/5</f>
        <v>0.07782</v>
      </c>
      <c r="J12" s="88" t="n">
        <f aca="false">I12-($G$12-$M$12)/5</f>
        <v>0.07688</v>
      </c>
      <c r="K12" s="88" t="n">
        <f aca="false">J12-($G$12-$M$12)/5</f>
        <v>0.07594</v>
      </c>
      <c r="L12" s="88" t="n">
        <f aca="false">K12-($G$12-$M$12)/5</f>
        <v>0.075</v>
      </c>
      <c r="M12" s="89" t="n">
        <f aca="false">IF('Input sheet'!B39="Yes",'Input sheet'!B40,'Input sheet'!B28+0.045)</f>
        <v>0.075</v>
      </c>
    </row>
    <row r="13" customFormat="false" ht="15" hidden="false" customHeight="true" outlineLevel="0" collapsed="false">
      <c r="A13" s="99" t="s">
        <v>134</v>
      </c>
      <c r="B13" s="87"/>
      <c r="C13" s="100" t="n">
        <f aca="false">1/(1+C12)</f>
        <v>0.92618319903677</v>
      </c>
      <c r="D13" s="100" t="n">
        <f aca="false">C13*(1/(1+D12))</f>
        <v>0.857815318177984</v>
      </c>
      <c r="E13" s="100" t="n">
        <f aca="false">D13*(1/(1+E12))</f>
        <v>0.79449413557283</v>
      </c>
      <c r="F13" s="100" t="n">
        <f aca="false">E13*(1/(1+F12))</f>
        <v>0.735847120100797</v>
      </c>
      <c r="G13" s="100" t="n">
        <f aca="false">F13*(1/(1+G12))</f>
        <v>0.68152923969695</v>
      </c>
      <c r="H13" s="100" t="n">
        <f aca="false">G13*(1/(1+H12))</f>
        <v>0.631770958968584</v>
      </c>
      <c r="I13" s="100" t="n">
        <f aca="false">H13*(1/(1+I12))</f>
        <v>0.586156277456889</v>
      </c>
      <c r="J13" s="100" t="n">
        <f aca="false">I13*(1/(1+J12))</f>
        <v>0.544309744314027</v>
      </c>
      <c r="K13" s="100" t="n">
        <f aca="false">J13*(1/(1+K12))</f>
        <v>0.505892284248217</v>
      </c>
      <c r="L13" s="100" t="n">
        <f aca="false">K13*(1/(1+L12))</f>
        <v>0.470597473719272</v>
      </c>
      <c r="M13" s="98"/>
    </row>
    <row r="14" customFormat="false" ht="15" hidden="false" customHeight="true" outlineLevel="0" collapsed="false">
      <c r="A14" s="99" t="s">
        <v>135</v>
      </c>
      <c r="B14" s="87"/>
      <c r="C14" s="91" t="n">
        <f aca="false">C9*C13</f>
        <v>10450.3298908035</v>
      </c>
      <c r="D14" s="91" t="n">
        <f aca="false">D9*D13</f>
        <v>12941.1082617104</v>
      </c>
      <c r="E14" s="91" t="n">
        <f aca="false">E9*E13</f>
        <v>15711.9360401923</v>
      </c>
      <c r="F14" s="91" t="n">
        <f aca="false">F9*F13</f>
        <v>18788.7222332647</v>
      </c>
      <c r="G14" s="91" t="n">
        <f aca="false">G9*G13</f>
        <v>22199.5625124158</v>
      </c>
      <c r="H14" s="91" t="n">
        <f aca="false">H9*H13</f>
        <v>23817.2136586208</v>
      </c>
      <c r="I14" s="91" t="n">
        <f aca="false">I9*I13</f>
        <v>25052.8540892544</v>
      </c>
      <c r="J14" s="91" t="n">
        <f aca="false">J9*J13</f>
        <v>25825.0965323465</v>
      </c>
      <c r="K14" s="91" t="n">
        <f aca="false">K9*K13</f>
        <v>26075.6449937145</v>
      </c>
      <c r="L14" s="91" t="n">
        <f aca="false">L9*L13</f>
        <v>25776.0839668096</v>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v>41637.9082704993</v>
      </c>
      <c r="C16" s="101"/>
      <c r="D16" s="101"/>
      <c r="E16" s="101"/>
      <c r="F16" s="101"/>
      <c r="G16" s="101"/>
      <c r="H16" s="101"/>
      <c r="I16" s="101"/>
      <c r="J16" s="101"/>
      <c r="K16" s="101"/>
      <c r="L16" s="101"/>
    </row>
    <row r="17" customFormat="false" ht="15" hidden="false" customHeight="true" outlineLevel="0" collapsed="false">
      <c r="A17" s="102" t="s">
        <v>137</v>
      </c>
      <c r="B17" s="93" t="n">
        <f aca="false">M12</f>
        <v>0.075</v>
      </c>
      <c r="C17" s="101"/>
      <c r="D17" s="101"/>
      <c r="E17" s="101"/>
      <c r="F17" s="101"/>
      <c r="G17" s="101"/>
      <c r="H17" s="101"/>
      <c r="I17" s="101"/>
      <c r="J17" s="101"/>
      <c r="K17" s="101"/>
      <c r="L17" s="101"/>
    </row>
    <row r="18" customFormat="false" ht="15.75" hidden="false" customHeight="false" outlineLevel="0" collapsed="false">
      <c r="A18" s="102" t="s">
        <v>138</v>
      </c>
      <c r="B18" s="90" t="n">
        <f aca="false">B16/(B17-M2)</f>
        <v>925286.850455541</v>
      </c>
      <c r="C18" s="101"/>
      <c r="D18" s="103"/>
      <c r="E18" s="101"/>
      <c r="F18" s="101"/>
      <c r="G18" s="101"/>
      <c r="H18" s="101"/>
      <c r="I18" s="101"/>
      <c r="J18" s="101"/>
      <c r="K18" s="101"/>
      <c r="L18" s="101"/>
    </row>
    <row r="19" customFormat="false" ht="15.75" hidden="false" customHeight="false" outlineLevel="0" collapsed="false">
      <c r="A19" s="102" t="s">
        <v>139</v>
      </c>
      <c r="B19" s="104" t="n">
        <f aca="false">B18*L13</f>
        <v>435437.654290039</v>
      </c>
      <c r="C19" s="101"/>
      <c r="D19" s="101"/>
      <c r="E19" s="101"/>
      <c r="F19" s="101"/>
      <c r="G19" s="101"/>
      <c r="H19" s="101"/>
      <c r="I19" s="101"/>
      <c r="J19" s="101"/>
      <c r="K19" s="101"/>
      <c r="L19" s="101"/>
    </row>
    <row r="20" customFormat="false" ht="15.75" hidden="false" customHeight="false" outlineLevel="0" collapsed="false">
      <c r="A20" s="102" t="s">
        <v>140</v>
      </c>
      <c r="B20" s="104" t="n">
        <f aca="false">SUM(C14:L14)</f>
        <v>206638.552179133</v>
      </c>
      <c r="C20" s="101"/>
      <c r="D20" s="101"/>
      <c r="E20" s="101"/>
      <c r="F20" s="101"/>
      <c r="G20" s="101"/>
      <c r="H20" s="101"/>
      <c r="I20" s="101"/>
      <c r="J20" s="101"/>
      <c r="K20" s="101"/>
      <c r="L20" s="101"/>
    </row>
    <row r="21" customFormat="false" ht="15.75" hidden="false" customHeight="false" outlineLevel="0" collapsed="false">
      <c r="A21" s="102" t="s">
        <v>141</v>
      </c>
      <c r="B21" s="104" t="n">
        <f aca="false">B19+B20</f>
        <v>642076.206469171</v>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v>0</v>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v>321038.103234586</v>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v>642076.206469171</v>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v>45811.1830749357</v>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v>0</v>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v>27050</v>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v>0</v>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v>623315.023394236</v>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v>0</v>
      </c>
      <c r="C30" s="101"/>
      <c r="D30" s="101"/>
      <c r="E30" s="101"/>
      <c r="F30" s="101"/>
      <c r="G30" s="101"/>
      <c r="H30" s="101"/>
      <c r="I30" s="101"/>
      <c r="J30" s="101"/>
      <c r="K30" s="101"/>
      <c r="L30" s="101"/>
    </row>
    <row r="31" customFormat="false" ht="15.75" hidden="false" customHeight="false" outlineLevel="0" collapsed="false">
      <c r="A31" s="102" t="s">
        <v>151</v>
      </c>
      <c r="B31" s="104" t="n">
        <f aca="false">B29-B30</f>
        <v>623315.023394236</v>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v>497</v>
      </c>
      <c r="C32" s="101"/>
      <c r="D32" s="101"/>
      <c r="E32" s="101"/>
      <c r="F32" s="101"/>
      <c r="G32" s="101"/>
      <c r="H32" s="101"/>
      <c r="I32" s="101"/>
      <c r="J32" s="101"/>
      <c r="K32" s="101"/>
      <c r="L32" s="101"/>
    </row>
    <row r="33" customFormat="false" ht="15.75" hidden="false" customHeight="false" outlineLevel="0" collapsed="false">
      <c r="A33" s="102" t="s">
        <v>153</v>
      </c>
      <c r="B33" s="109" t="n">
        <f aca="false">B31/B32</f>
        <v>1254.15497664836</v>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v>1970.19</v>
      </c>
      <c r="C34" s="101"/>
      <c r="D34" s="101"/>
      <c r="E34" s="101"/>
      <c r="F34" s="101"/>
      <c r="G34" s="101"/>
      <c r="H34" s="101"/>
      <c r="I34" s="101"/>
      <c r="J34" s="101"/>
      <c r="K34" s="101"/>
      <c r="L34" s="101"/>
    </row>
    <row r="35" customFormat="false" ht="15.75" hidden="false" customHeight="false" outlineLevel="0" collapsed="false">
      <c r="A35" s="102" t="s">
        <v>155</v>
      </c>
      <c r="B35" s="95" t="n">
        <f aca="false">B34/B33</f>
        <v>1.5709302571722</v>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v>5.94727818259751</v>
      </c>
      <c r="D38" s="112" t="n">
        <f aca="false">C38</f>
        <v>5.94727818259751</v>
      </c>
      <c r="E38" s="112" t="n">
        <f aca="false">D38</f>
        <v>5.94727818259751</v>
      </c>
      <c r="F38" s="112" t="n">
        <f aca="false">E38</f>
        <v>5.94727818259751</v>
      </c>
      <c r="G38" s="112" t="n">
        <f aca="false">F38</f>
        <v>5.94727818259751</v>
      </c>
      <c r="H38" s="112" t="n">
        <f aca="false">G38</f>
        <v>5.94727818259751</v>
      </c>
      <c r="I38" s="112" t="n">
        <f aca="false">H38</f>
        <v>5.94727818259751</v>
      </c>
      <c r="J38" s="112" t="n">
        <f aca="false">I38</f>
        <v>5.94727818259751</v>
      </c>
      <c r="K38" s="112" t="n">
        <f aca="false">J38</f>
        <v>5.94727818259751</v>
      </c>
      <c r="L38" s="112" t="n">
        <f aca="false">K38</f>
        <v>5.94727818259751</v>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84418.6830749357</v>
      </c>
      <c r="C39" s="114" t="n">
        <f aca="false">B39+C8</f>
        <v>89667.9330749357</v>
      </c>
      <c r="D39" s="114" t="n">
        <f aca="false">C39+D8</f>
        <v>95704.5705749357</v>
      </c>
      <c r="E39" s="114" t="n">
        <f aca="false">D39+E8</f>
        <v>102646.703699936</v>
      </c>
      <c r="F39" s="114" t="n">
        <f aca="false">E39+F8</f>
        <v>110630.156793686</v>
      </c>
      <c r="G39" s="114" t="n">
        <f aca="false">F39+G8</f>
        <v>119811.127851498</v>
      </c>
      <c r="H39" s="114" t="n">
        <f aca="false">G39+H8</f>
        <v>128679.945893345</v>
      </c>
      <c r="I39" s="114" t="n">
        <f aca="false">H39+I8</f>
        <v>136764.084700823</v>
      </c>
      <c r="J39" s="114" t="n">
        <f aca="false">I39+J8</f>
        <v>143576.636027642</v>
      </c>
      <c r="K39" s="114" t="n">
        <f aca="false">J39+K8</f>
        <v>148660.895487088</v>
      </c>
      <c r="L39" s="114" t="n">
        <f aca="false">K39+L8</f>
        <v>151638.011859453</v>
      </c>
      <c r="M39" s="98"/>
    </row>
    <row r="40" customFormat="false" ht="15.75" hidden="false" customHeight="false" outlineLevel="0" collapsed="false">
      <c r="A40" s="111" t="s">
        <v>160</v>
      </c>
      <c r="B40" s="93" t="n">
        <f aca="false">B7/B39</f>
        <v>0.151391623096445</v>
      </c>
      <c r="C40" s="88" t="n">
        <f aca="false">C7/C39</f>
        <v>0.184374398027936</v>
      </c>
      <c r="D40" s="88" t="n">
        <f aca="false">D7/D39</f>
        <v>0.22070797012214</v>
      </c>
      <c r="E40" s="88" t="n">
        <f aca="false">E7/E39</f>
        <v>0.260292414214936</v>
      </c>
      <c r="F40" s="88" t="n">
        <f aca="false">F7/F39</f>
        <v>0.30296361329834</v>
      </c>
      <c r="G40" s="88" t="n">
        <f aca="false">G7/G39</f>
        <v>0.348499626626682</v>
      </c>
      <c r="H40" s="88" t="n">
        <f aca="false">H7/H39</f>
        <v>0.361889685174529</v>
      </c>
      <c r="I40" s="88" t="n">
        <f aca="false">I7/I39</f>
        <v>0.371625718020493</v>
      </c>
      <c r="J40" s="88" t="n">
        <f aca="false">J7/J39</f>
        <v>0.377903689897832</v>
      </c>
      <c r="K40" s="88" t="n">
        <f aca="false">K7/K39</f>
        <v>0.380921472464515</v>
      </c>
      <c r="L40" s="115" t="n">
        <f aca="false">L7/L39</f>
        <v>0.380842631785374</v>
      </c>
      <c r="M40" s="88" t="n">
        <f aca="false">IF('Input sheet'!B42="Yes",'Input sheet'!B43,'Valuation output'!L12)</f>
        <v>0.1</v>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v>Amazon</v>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v>208125</v>
      </c>
      <c r="C9" s="128" t="n">
        <f aca="false">'Input sheet'!B23</f>
        <v>0.15</v>
      </c>
      <c r="D9" s="128" t="n">
        <f aca="false">F9</f>
        <v>0.03</v>
      </c>
      <c r="E9" s="129"/>
      <c r="F9" s="128" t="n">
        <f aca="false">'Valuation output'!M2</f>
        <v>0.03</v>
      </c>
      <c r="G9" s="130" t="s">
        <v>169</v>
      </c>
      <c r="H9" s="131" t="s">
        <v>170</v>
      </c>
      <c r="I9" s="131"/>
      <c r="J9" s="131"/>
      <c r="K9" s="131"/>
    </row>
    <row r="10" customFormat="false" ht="25.35" hidden="false" customHeight="false" outlineLevel="0" collapsed="false">
      <c r="A10" s="126" t="s">
        <v>171</v>
      </c>
      <c r="B10" s="128" t="n">
        <f aca="false">'Valuation output'!B4</f>
        <v>0.0769555877117426</v>
      </c>
      <c r="C10" s="132" t="n">
        <f aca="false">B10</f>
        <v>0.0769555877117426</v>
      </c>
      <c r="D10" s="133" t="n">
        <f aca="false">F10</f>
        <v>0.125</v>
      </c>
      <c r="E10" s="133"/>
      <c r="F10" s="128" t="n">
        <f aca="false">'Valuation output'!M4</f>
        <v>0.125</v>
      </c>
      <c r="G10" s="134" t="s">
        <v>172</v>
      </c>
      <c r="H10" s="131"/>
      <c r="I10" s="131"/>
      <c r="J10" s="131"/>
      <c r="K10" s="131"/>
    </row>
    <row r="11" customFormat="false" ht="15.75" hidden="false" customHeight="false" outlineLevel="0" collapsed="false">
      <c r="A11" s="126" t="s">
        <v>128</v>
      </c>
      <c r="B11" s="128" t="n">
        <f aca="false">'Valuation output'!B6</f>
        <v>0.202049395691014</v>
      </c>
      <c r="C11" s="132" t="n">
        <f aca="false">B11</f>
        <v>0.202049395691014</v>
      </c>
      <c r="D11" s="133" t="n">
        <f aca="false">F11</f>
        <v>0.24</v>
      </c>
      <c r="E11" s="133"/>
      <c r="F11" s="128" t="n">
        <f aca="false">'Valuation output'!M6</f>
        <v>0.24</v>
      </c>
      <c r="G11" s="135" t="s">
        <v>173</v>
      </c>
      <c r="H11" s="131"/>
      <c r="I11" s="131"/>
      <c r="J11" s="131"/>
      <c r="K11" s="131"/>
    </row>
    <row r="12" customFormat="false" ht="25.35" hidden="false" customHeight="false" outlineLevel="0" collapsed="false">
      <c r="A12" s="126" t="s">
        <v>174</v>
      </c>
      <c r="B12" s="129"/>
      <c r="C12" s="136" t="s">
        <v>175</v>
      </c>
      <c r="D12" s="137" t="n">
        <f aca="false">'Input sheet'!B26</f>
        <v>5.94727818259751</v>
      </c>
      <c r="E12" s="138" t="s">
        <v>176</v>
      </c>
      <c r="F12" s="139" t="n">
        <f aca="false">'Valuation output'!M2/'Valuation output'!M40</f>
        <v>0.3</v>
      </c>
      <c r="G12" s="134" t="s">
        <v>177</v>
      </c>
      <c r="H12" s="131"/>
      <c r="I12" s="131"/>
      <c r="J12" s="131"/>
      <c r="K12" s="131"/>
    </row>
    <row r="13" customFormat="false" ht="15.75" hidden="false" customHeight="false" outlineLevel="0" collapsed="false">
      <c r="A13" s="140" t="s">
        <v>178</v>
      </c>
      <c r="B13" s="141" t="n">
        <f aca="false">'Valuation output'!B40</f>
        <v>0.151391623096445</v>
      </c>
      <c r="C13" s="142" t="s">
        <v>179</v>
      </c>
      <c r="D13" s="143" t="n">
        <f aca="false">Diagnostics!B6</f>
        <v>0.89216524968385</v>
      </c>
      <c r="E13" s="144"/>
      <c r="F13" s="145" t="n">
        <f aca="false">'Valuation output'!M40</f>
        <v>0.1</v>
      </c>
      <c r="G13" s="146" t="s">
        <v>180</v>
      </c>
      <c r="H13" s="131"/>
      <c r="I13" s="131"/>
      <c r="J13" s="131"/>
      <c r="K13" s="131"/>
    </row>
    <row r="14" customFormat="false" ht="15.75" hidden="false" customHeight="false" outlineLevel="0" collapsed="false">
      <c r="A14" s="147" t="s">
        <v>181</v>
      </c>
      <c r="B14" s="148"/>
      <c r="C14" s="132" t="n">
        <f aca="false">'Valuation output'!C12</f>
        <v>0.0797</v>
      </c>
      <c r="D14" s="133" t="n">
        <f aca="false">F14</f>
        <v>0.075</v>
      </c>
      <c r="E14" s="149"/>
      <c r="F14" s="150" t="n">
        <f aca="false">'Valuation output'!M12</f>
        <v>0.075</v>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v>239343.75</v>
      </c>
      <c r="C17" s="159" t="n">
        <f aca="false">'Valuation output'!C4</f>
        <v>0.0865644701693941</v>
      </c>
      <c r="D17" s="127" t="n">
        <f aca="false">B17*C17</f>
        <v>20718.6649071059</v>
      </c>
      <c r="E17" s="158" t="n">
        <f aca="false">'Valuation output'!C7</f>
        <v>16532.4711831005</v>
      </c>
      <c r="F17" s="158" t="n">
        <f aca="false">'Valuation output'!C8</f>
        <v>5249.25</v>
      </c>
      <c r="G17" s="160" t="n">
        <f aca="false">E17-F17</f>
        <v>11283.2211831005</v>
      </c>
      <c r="H17" s="156"/>
      <c r="I17" s="156"/>
      <c r="J17" s="156"/>
      <c r="K17" s="156"/>
    </row>
    <row r="18" customFormat="false" ht="15.75" hidden="false" customHeight="false" outlineLevel="0" collapsed="false">
      <c r="A18" s="157" t="n">
        <v>2</v>
      </c>
      <c r="B18" s="158" t="n">
        <f aca="false">'Valuation output'!D3</f>
        <v>275245.3125</v>
      </c>
      <c r="C18" s="159" t="n">
        <f aca="false">'Valuation output'!D4</f>
        <v>0.0961733526270456</v>
      </c>
      <c r="D18" s="127" t="n">
        <f aca="false">B18*C18</f>
        <v>26471.2644980039</v>
      </c>
      <c r="E18" s="158" t="n">
        <f aca="false">'Valuation output'!D7</f>
        <v>21122.7615030052</v>
      </c>
      <c r="F18" s="158" t="n">
        <f aca="false">'Valuation output'!D8</f>
        <v>6036.6375</v>
      </c>
      <c r="G18" s="160" t="n">
        <f aca="false">E18-F18</f>
        <v>15086.1240030052</v>
      </c>
      <c r="H18" s="156"/>
      <c r="I18" s="156"/>
      <c r="J18" s="156"/>
      <c r="K18" s="156"/>
    </row>
    <row r="19" customFormat="false" ht="15.75" hidden="false" customHeight="false" outlineLevel="0" collapsed="false">
      <c r="A19" s="157" t="n">
        <v>3</v>
      </c>
      <c r="B19" s="158" t="n">
        <f aca="false">'Valuation output'!E3</f>
        <v>316532.109375</v>
      </c>
      <c r="C19" s="159" t="n">
        <f aca="false">'Valuation output'!E4</f>
        <v>0.105782235084697</v>
      </c>
      <c r="D19" s="127" t="n">
        <f aca="false">B19*C19</f>
        <v>33483.4740057613</v>
      </c>
      <c r="E19" s="158" t="n">
        <f aca="false">'Valuation output'!E7</f>
        <v>26718.1583172614</v>
      </c>
      <c r="F19" s="158" t="n">
        <f aca="false">'Valuation output'!E8</f>
        <v>6942.13312499999</v>
      </c>
      <c r="G19" s="160" t="n">
        <f aca="false">E19-F19</f>
        <v>19776.0251922614</v>
      </c>
      <c r="H19" s="156"/>
      <c r="I19" s="156"/>
      <c r="J19" s="156"/>
      <c r="K19" s="156"/>
    </row>
    <row r="20" customFormat="false" ht="15.75" hidden="false" customHeight="false" outlineLevel="0" collapsed="false">
      <c r="A20" s="157" t="n">
        <v>4</v>
      </c>
      <c r="B20" s="158" t="n">
        <f aca="false">'Valuation output'!F3</f>
        <v>364011.92578125</v>
      </c>
      <c r="C20" s="159" t="n">
        <f aca="false">'Valuation output'!F4</f>
        <v>0.115391117542349</v>
      </c>
      <c r="D20" s="127" t="n">
        <f aca="false">B20*C20</f>
        <v>42003.7429146409</v>
      </c>
      <c r="E20" s="158" t="n">
        <f aca="false">'Valuation output'!F7</f>
        <v>33516.9120419769</v>
      </c>
      <c r="F20" s="158" t="n">
        <f aca="false">'Valuation output'!F8</f>
        <v>7983.45309374999</v>
      </c>
      <c r="G20" s="160" t="n">
        <f aca="false">E20-F20</f>
        <v>25533.458948227</v>
      </c>
      <c r="H20" s="156"/>
      <c r="I20" s="156"/>
      <c r="J20" s="156"/>
      <c r="K20" s="156"/>
    </row>
    <row r="21" customFormat="false" ht="15.75" hidden="false" customHeight="false" outlineLevel="0" collapsed="false">
      <c r="A21" s="157" t="n">
        <v>5</v>
      </c>
      <c r="B21" s="158" t="n">
        <f aca="false">'Valuation output'!G3</f>
        <v>418613.714648437</v>
      </c>
      <c r="C21" s="159" t="n">
        <f aca="false">'Valuation output'!G4</f>
        <v>0.125</v>
      </c>
      <c r="D21" s="127" t="n">
        <f aca="false">B21*C21</f>
        <v>52326.7143310547</v>
      </c>
      <c r="E21" s="158" t="n">
        <f aca="false">'Valuation output'!G7</f>
        <v>41754.1333219687</v>
      </c>
      <c r="F21" s="158" t="n">
        <f aca="false">'Valuation output'!G8</f>
        <v>9180.97105781249</v>
      </c>
      <c r="G21" s="160" t="n">
        <f aca="false">E21-F21</f>
        <v>32573.1622641562</v>
      </c>
      <c r="H21" s="156"/>
      <c r="I21" s="156"/>
      <c r="J21" s="156"/>
      <c r="K21" s="156"/>
    </row>
    <row r="22" customFormat="false" ht="15.75" hidden="false" customHeight="false" outlineLevel="0" collapsed="false">
      <c r="A22" s="157" t="n">
        <v>6</v>
      </c>
      <c r="B22" s="158" t="n">
        <f aca="false">'Valuation output'!H3</f>
        <v>471359.04269414</v>
      </c>
      <c r="C22" s="159" t="n">
        <f aca="false">'Valuation output'!H4</f>
        <v>0.125</v>
      </c>
      <c r="D22" s="127" t="n">
        <f aca="false">B22*C22</f>
        <v>58919.8803367675</v>
      </c>
      <c r="E22" s="158" t="n">
        <f aca="false">'Valuation output'!H7</f>
        <v>46567.9451076181</v>
      </c>
      <c r="F22" s="158" t="n">
        <f aca="false">'Valuation output'!H8</f>
        <v>8868.81804184687</v>
      </c>
      <c r="G22" s="160" t="n">
        <f aca="false">E22-F22</f>
        <v>37699.1270657712</v>
      </c>
      <c r="H22" s="156"/>
      <c r="I22" s="156"/>
      <c r="J22" s="156"/>
      <c r="K22" s="156"/>
    </row>
    <row r="23" customFormat="false" ht="15.75" hidden="false" customHeight="false" outlineLevel="0" collapsed="false">
      <c r="A23" s="157" t="n">
        <v>7</v>
      </c>
      <c r="B23" s="158" t="n">
        <f aca="false">'Valuation output'!I3</f>
        <v>519437.665048943</v>
      </c>
      <c r="C23" s="159" t="n">
        <f aca="false">'Valuation output'!I4</f>
        <v>0.125</v>
      </c>
      <c r="D23" s="127" t="n">
        <f aca="false">B23*C23</f>
        <v>64929.7081311178</v>
      </c>
      <c r="E23" s="158" t="n">
        <f aca="false">'Valuation output'!I7</f>
        <v>50825.0511763588</v>
      </c>
      <c r="F23" s="158" t="n">
        <f aca="false">'Valuation output'!I8</f>
        <v>8084.13880747776</v>
      </c>
      <c r="G23" s="160" t="n">
        <f aca="false">E23-F23</f>
        <v>42740.912368881</v>
      </c>
      <c r="H23" s="156"/>
      <c r="I23" s="156"/>
      <c r="J23" s="156"/>
      <c r="K23" s="156"/>
    </row>
    <row r="24" customFormat="false" ht="15.75" hidden="false" customHeight="false" outlineLevel="0" collapsed="false">
      <c r="A24" s="157" t="n">
        <v>8</v>
      </c>
      <c r="B24" s="158" t="n">
        <f aca="false">'Valuation output'!J3</f>
        <v>559953.80292276</v>
      </c>
      <c r="C24" s="159" t="n">
        <f aca="false">'Valuation output'!J4</f>
        <v>0.125</v>
      </c>
      <c r="D24" s="127" t="n">
        <f aca="false">B24*C24</f>
        <v>69994.225365345</v>
      </c>
      <c r="E24" s="158" t="n">
        <f aca="false">'Valuation output'!J7</f>
        <v>54258.1405379639</v>
      </c>
      <c r="F24" s="158" t="n">
        <f aca="false">'Valuation output'!J8</f>
        <v>6812.55132681919</v>
      </c>
      <c r="G24" s="160" t="n">
        <f aca="false">E24-F24</f>
        <v>47445.5892111447</v>
      </c>
      <c r="H24" s="156"/>
      <c r="I24" s="156"/>
      <c r="J24" s="156"/>
      <c r="K24" s="156"/>
    </row>
    <row r="25" customFormat="false" ht="15.75" hidden="false" customHeight="false" outlineLevel="0" collapsed="false">
      <c r="A25" s="157" t="n">
        <v>9</v>
      </c>
      <c r="B25" s="158" t="n">
        <f aca="false">'Valuation output'!K3</f>
        <v>590191.308280589</v>
      </c>
      <c r="C25" s="159" t="n">
        <f aca="false">'Valuation output'!K4</f>
        <v>0.125</v>
      </c>
      <c r="D25" s="127" t="n">
        <f aca="false">B25*C25</f>
        <v>73773.9135350737</v>
      </c>
      <c r="E25" s="158" t="n">
        <f aca="false">'Valuation output'!K7</f>
        <v>56628.127206835</v>
      </c>
      <c r="F25" s="158" t="n">
        <f aca="false">'Valuation output'!K8</f>
        <v>5084.25945944614</v>
      </c>
      <c r="G25" s="160" t="n">
        <f aca="false">E25-F25</f>
        <v>51543.8677473888</v>
      </c>
      <c r="H25" s="156"/>
      <c r="I25" s="156"/>
      <c r="J25" s="156"/>
      <c r="K25" s="156"/>
    </row>
    <row r="26" customFormat="false" ht="15.75" hidden="false" customHeight="false" outlineLevel="0" collapsed="false">
      <c r="A26" s="157" t="n">
        <v>10</v>
      </c>
      <c r="B26" s="158" t="n">
        <f aca="false">'Valuation output'!L3</f>
        <v>607897.047529007</v>
      </c>
      <c r="C26" s="159" t="n">
        <f aca="false">'Valuation output'!L4</f>
        <v>0.125</v>
      </c>
      <c r="D26" s="127" t="n">
        <f aca="false">B26*C26</f>
        <v>75987.1309411259</v>
      </c>
      <c r="E26" s="158" t="n">
        <f aca="false">'Valuation output'!L7</f>
        <v>57750.2195152557</v>
      </c>
      <c r="F26" s="158" t="n">
        <f aca="false">'Valuation output'!L8</f>
        <v>2977.11637236457</v>
      </c>
      <c r="G26" s="160" t="n">
        <f aca="false">E26-F26</f>
        <v>54773.1031428911</v>
      </c>
      <c r="H26" s="156"/>
      <c r="I26" s="156"/>
      <c r="J26" s="156"/>
      <c r="K26" s="156"/>
    </row>
    <row r="27" customFormat="false" ht="15.75" hidden="false" customHeight="false" outlineLevel="0" collapsed="false">
      <c r="A27" s="161" t="s">
        <v>124</v>
      </c>
      <c r="B27" s="162" t="n">
        <f aca="false">'Valuation output'!M3</f>
        <v>626133.958954877</v>
      </c>
      <c r="C27" s="163" t="n">
        <f aca="false">'Valuation output'!M4</f>
        <v>0.125</v>
      </c>
      <c r="D27" s="127" t="n">
        <f aca="false">B27*C27</f>
        <v>78266.7448693597</v>
      </c>
      <c r="E27" s="162" t="n">
        <f aca="false">'Valuation output'!M7</f>
        <v>59482.7261007133</v>
      </c>
      <c r="F27" s="162" t="n">
        <f aca="false">'Valuation output'!M8</f>
        <v>17844.817830214</v>
      </c>
      <c r="G27" s="160" t="n">
        <f aca="false">E27-F27</f>
        <v>41637.9082704993</v>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v>925286.850455541</v>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v>435437.654290039</v>
      </c>
      <c r="E30" s="173"/>
      <c r="F30" s="174"/>
      <c r="G30" s="175"/>
      <c r="H30" s="170"/>
      <c r="I30" s="170"/>
      <c r="J30" s="170"/>
      <c r="K30" s="170"/>
    </row>
    <row r="31" customFormat="false" ht="15.75" hidden="false" customHeight="false" outlineLevel="0" collapsed="false">
      <c r="A31" s="171" t="s">
        <v>140</v>
      </c>
      <c r="B31" s="171"/>
      <c r="C31" s="171"/>
      <c r="D31" s="172" t="n">
        <f aca="false">'Valuation output'!B20</f>
        <v>206638.552179133</v>
      </c>
      <c r="E31" s="173"/>
      <c r="F31" s="174"/>
      <c r="G31" s="175"/>
      <c r="H31" s="170"/>
      <c r="I31" s="170"/>
      <c r="J31" s="170"/>
      <c r="K31" s="170"/>
    </row>
    <row r="32" customFormat="false" ht="15.75" hidden="false" customHeight="false" outlineLevel="0" collapsed="false">
      <c r="A32" s="171" t="s">
        <v>144</v>
      </c>
      <c r="B32" s="171"/>
      <c r="C32" s="171"/>
      <c r="D32" s="172" t="n">
        <f aca="false">'Valuation output'!B21</f>
        <v>642076.206469171</v>
      </c>
      <c r="E32" s="173"/>
      <c r="F32" s="174"/>
      <c r="G32" s="175"/>
      <c r="H32" s="170"/>
      <c r="I32" s="170"/>
      <c r="J32" s="170"/>
      <c r="K32" s="170"/>
    </row>
    <row r="33" customFormat="false" ht="15.75" hidden="false" customHeight="false" outlineLevel="0" collapsed="false">
      <c r="A33" s="171" t="s">
        <v>191</v>
      </c>
      <c r="B33" s="171"/>
      <c r="C33" s="171"/>
      <c r="D33" s="176" t="n">
        <f aca="false">D32-'Valuation output'!B24</f>
        <v>0</v>
      </c>
      <c r="E33" s="177" t="s">
        <v>142</v>
      </c>
      <c r="F33" s="177"/>
      <c r="G33" s="178" t="n">
        <f aca="false">'Valuation output'!B22</f>
        <v>0</v>
      </c>
      <c r="H33" s="170"/>
      <c r="I33" s="170"/>
      <c r="J33" s="170"/>
      <c r="K33" s="170"/>
    </row>
    <row r="34" customFormat="false" ht="15.75" hidden="false" customHeight="false" outlineLevel="0" collapsed="false">
      <c r="A34" s="171" t="s">
        <v>192</v>
      </c>
      <c r="B34" s="171"/>
      <c r="C34" s="171"/>
      <c r="D34" s="172" t="n">
        <f aca="false">'Valuation output'!B25+'Valuation output'!B26</f>
        <v>45811.1830749357</v>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v>27050</v>
      </c>
      <c r="E35" s="173"/>
      <c r="F35" s="174"/>
      <c r="G35" s="175"/>
      <c r="H35" s="170"/>
      <c r="I35" s="170"/>
      <c r="J35" s="170"/>
      <c r="K35" s="170"/>
    </row>
    <row r="36" customFormat="false" ht="15.75" hidden="false" customHeight="false" outlineLevel="0" collapsed="false">
      <c r="A36" s="171" t="s">
        <v>149</v>
      </c>
      <c r="B36" s="171"/>
      <c r="C36" s="171"/>
      <c r="D36" s="172" t="n">
        <f aca="false">D32-D33-D34+D35</f>
        <v>623315.023394236</v>
      </c>
      <c r="E36" s="173"/>
      <c r="F36" s="174"/>
      <c r="G36" s="175"/>
      <c r="H36" s="170"/>
      <c r="I36" s="170"/>
      <c r="J36" s="170"/>
      <c r="K36" s="170"/>
    </row>
    <row r="37" customFormat="false" ht="15.75" hidden="false" customHeight="false" outlineLevel="0" collapsed="false">
      <c r="A37" s="171" t="s">
        <v>194</v>
      </c>
      <c r="B37" s="171"/>
      <c r="C37" s="171"/>
      <c r="D37" s="172" t="n">
        <f aca="false">'Valuation output'!B30</f>
        <v>0</v>
      </c>
      <c r="E37" s="173"/>
      <c r="F37" s="174"/>
      <c r="G37" s="175"/>
      <c r="H37" s="170"/>
      <c r="I37" s="170"/>
      <c r="J37" s="170"/>
      <c r="K37" s="170"/>
    </row>
    <row r="38" customFormat="false" ht="15.75" hidden="false" customHeight="false" outlineLevel="0" collapsed="false">
      <c r="A38" s="179" t="s">
        <v>152</v>
      </c>
      <c r="B38" s="179"/>
      <c r="C38" s="179"/>
      <c r="D38" s="180" t="n">
        <f aca="false">'Valuation output'!B32</f>
        <v>497</v>
      </c>
      <c r="E38" s="174"/>
      <c r="F38" s="181"/>
      <c r="G38" s="175"/>
      <c r="H38" s="170"/>
      <c r="I38" s="170"/>
      <c r="J38" s="170"/>
      <c r="K38" s="170"/>
    </row>
    <row r="39" customFormat="false" ht="15.75" hidden="false" customHeight="false" outlineLevel="0" collapsed="false">
      <c r="A39" s="182" t="s">
        <v>195</v>
      </c>
      <c r="B39" s="182"/>
      <c r="C39" s="182"/>
      <c r="D39" s="183" t="n">
        <f aca="false">(D36-D37)/D38</f>
        <v>1254.15497664836</v>
      </c>
      <c r="E39" s="184" t="s">
        <v>196</v>
      </c>
      <c r="F39" s="184"/>
      <c r="G39" s="185" t="n">
        <f aca="false">'Input sheet'!B19</f>
        <v>1970.19</v>
      </c>
      <c r="H39" s="170"/>
      <c r="I39" s="170"/>
      <c r="J39" s="170"/>
      <c r="K39" s="170"/>
    </row>
    <row r="43" customFormat="false" ht="15.75" hidden="false" customHeight="false" outlineLevel="0" collapsed="false">
      <c r="J43" s="186" t="n">
        <f aca="false">D39/1944</f>
        <v>0.64514144889319</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v>208125</v>
      </c>
      <c r="D2" s="190" t="n">
        <f aca="false">'Valuation output'!B4</f>
        <v>0.0769555877117426</v>
      </c>
      <c r="E2" s="189" t="n">
        <f aca="false">B2*D2</f>
        <v>16016.3816925064</v>
      </c>
      <c r="F2" s="189" t="n">
        <f aca="false">'Valuation output'!B10</f>
        <v>0</v>
      </c>
      <c r="G2" s="189" t="n">
        <f aca="false">E2-H2</f>
        <v>3236.10024212755</v>
      </c>
      <c r="H2" s="189" t="n">
        <f aca="false">'Valuation output'!B7</f>
        <v>12780.2814503789</v>
      </c>
    </row>
    <row r="3" s="188" customFormat="true" ht="12" hidden="false" customHeight="false" outlineLevel="0" collapsed="false">
      <c r="A3" s="188" t="n">
        <v>1</v>
      </c>
      <c r="B3" s="189" t="n">
        <f aca="false">'Valuation output'!C3</f>
        <v>239343.75</v>
      </c>
      <c r="C3" s="190" t="n">
        <f aca="false">'Valuation output'!C2</f>
        <v>0.15</v>
      </c>
      <c r="D3" s="190" t="n">
        <f aca="false">'Valuation output'!C4</f>
        <v>0.0865644701693941</v>
      </c>
      <c r="E3" s="189" t="n">
        <f aca="false">B3*D3</f>
        <v>20718.6649071059</v>
      </c>
      <c r="F3" s="189" t="n">
        <f aca="false">'Valuation output'!C10</f>
        <v>0</v>
      </c>
      <c r="G3" s="189" t="n">
        <f aca="false">E3-H3</f>
        <v>4186.19372400537</v>
      </c>
      <c r="H3" s="189" t="n">
        <f aca="false">'Valuation output'!C7</f>
        <v>16532.4711831005</v>
      </c>
    </row>
    <row r="4" s="188" customFormat="true" ht="12" hidden="false" customHeight="false" outlineLevel="0" collapsed="false">
      <c r="A4" s="188" t="n">
        <v>2</v>
      </c>
      <c r="B4" s="189" t="n">
        <f aca="false">'Valuation output'!D3</f>
        <v>275245.3125</v>
      </c>
      <c r="C4" s="190" t="n">
        <f aca="false">B4/B3-1</f>
        <v>0.15</v>
      </c>
      <c r="D4" s="190" t="n">
        <f aca="false">'Valuation output'!D4</f>
        <v>0.0961733526270456</v>
      </c>
      <c r="E4" s="189" t="n">
        <f aca="false">B4*D4</f>
        <v>26471.2644980039</v>
      </c>
      <c r="F4" s="189" t="n">
        <f aca="false">'Valuation output'!D10</f>
        <v>0</v>
      </c>
      <c r="G4" s="189" t="n">
        <f aca="false">E4-H4</f>
        <v>5348.50299499868</v>
      </c>
      <c r="H4" s="189" t="n">
        <f aca="false">'Valuation output'!D7</f>
        <v>21122.7615030052</v>
      </c>
    </row>
    <row r="5" s="188" customFormat="true" ht="12" hidden="false" customHeight="false" outlineLevel="0" collapsed="false">
      <c r="A5" s="188" t="n">
        <v>3</v>
      </c>
      <c r="B5" s="189" t="n">
        <f aca="false">'Valuation output'!E3</f>
        <v>316532.109375</v>
      </c>
      <c r="C5" s="190" t="n">
        <f aca="false">B5/B4-1</f>
        <v>0.15</v>
      </c>
      <c r="D5" s="190" t="n">
        <f aca="false">'Valuation output'!E4</f>
        <v>0.105782235084697</v>
      </c>
      <c r="E5" s="189" t="n">
        <f aca="false">B5*D5</f>
        <v>33483.4740057613</v>
      </c>
      <c r="F5" s="189" t="n">
        <f aca="false">'Valuation output'!E10</f>
        <v>0</v>
      </c>
      <c r="G5" s="189" t="n">
        <f aca="false">E5-H5</f>
        <v>6765.31568849985</v>
      </c>
      <c r="H5" s="189" t="n">
        <f aca="false">'Valuation output'!E7</f>
        <v>26718.1583172614</v>
      </c>
    </row>
    <row r="6" s="188" customFormat="true" ht="12" hidden="false" customHeight="false" outlineLevel="0" collapsed="false">
      <c r="A6" s="188" t="n">
        <v>4</v>
      </c>
      <c r="B6" s="189" t="n">
        <f aca="false">'Valuation output'!F3</f>
        <v>364011.92578125</v>
      </c>
      <c r="C6" s="190" t="n">
        <f aca="false">B6/B5-1</f>
        <v>0.15</v>
      </c>
      <c r="D6" s="190" t="n">
        <f aca="false">'Valuation output'!F4</f>
        <v>0.115391117542349</v>
      </c>
      <c r="E6" s="189" t="n">
        <f aca="false">B6*D6</f>
        <v>42003.7429146409</v>
      </c>
      <c r="F6" s="189" t="n">
        <f aca="false">'Valuation output'!F10</f>
        <v>0</v>
      </c>
      <c r="G6" s="189" t="n">
        <f aca="false">E6-H6</f>
        <v>8486.8308726639</v>
      </c>
      <c r="H6" s="189" t="n">
        <f aca="false">'Valuation output'!F7</f>
        <v>33516.9120419769</v>
      </c>
    </row>
    <row r="7" s="188" customFormat="true" ht="12" hidden="false" customHeight="false" outlineLevel="0" collapsed="false">
      <c r="A7" s="188" t="n">
        <v>5</v>
      </c>
      <c r="B7" s="189" t="n">
        <f aca="false">'Valuation output'!G3</f>
        <v>418613.714648437</v>
      </c>
      <c r="C7" s="190" t="n">
        <f aca="false">B7/B6-1</f>
        <v>0.15</v>
      </c>
      <c r="D7" s="190" t="n">
        <f aca="false">'Valuation output'!G4</f>
        <v>0.125</v>
      </c>
      <c r="E7" s="189" t="n">
        <f aca="false">B7*D7</f>
        <v>52326.7143310547</v>
      </c>
      <c r="F7" s="189" t="n">
        <f aca="false">'Valuation output'!G10</f>
        <v>0</v>
      </c>
      <c r="G7" s="189" t="n">
        <f aca="false">E7-H7</f>
        <v>10572.5810090859</v>
      </c>
      <c r="H7" s="189" t="n">
        <f aca="false">'Valuation output'!G7</f>
        <v>41754.1333219687</v>
      </c>
    </row>
    <row r="8" s="188" customFormat="true" ht="12" hidden="false" customHeight="false" outlineLevel="0" collapsed="false">
      <c r="A8" s="188" t="n">
        <v>6</v>
      </c>
      <c r="B8" s="189" t="n">
        <f aca="false">'Valuation output'!H3</f>
        <v>471359.04269414</v>
      </c>
      <c r="C8" s="190" t="n">
        <f aca="false">B8/B7-1</f>
        <v>0.126</v>
      </c>
      <c r="D8" s="190" t="n">
        <f aca="false">'Valuation output'!H4</f>
        <v>0.125</v>
      </c>
      <c r="E8" s="189" t="n">
        <f aca="false">B8*D8</f>
        <v>58919.8803367675</v>
      </c>
      <c r="F8" s="189" t="n">
        <f aca="false">'Valuation output'!H10</f>
        <v>0</v>
      </c>
      <c r="G8" s="189" t="n">
        <f aca="false">E8-H8</f>
        <v>12351.9352291494</v>
      </c>
      <c r="H8" s="189" t="n">
        <f aca="false">'Valuation output'!H7</f>
        <v>46567.9451076181</v>
      </c>
    </row>
    <row r="9" s="188" customFormat="true" ht="12" hidden="false" customHeight="false" outlineLevel="0" collapsed="false">
      <c r="A9" s="188" t="n">
        <v>7</v>
      </c>
      <c r="B9" s="189" t="n">
        <f aca="false">'Valuation output'!I3</f>
        <v>519437.665048943</v>
      </c>
      <c r="C9" s="190" t="n">
        <f aca="false">B9/B8-1</f>
        <v>0.102</v>
      </c>
      <c r="D9" s="190" t="n">
        <f aca="false">'Valuation output'!I4</f>
        <v>0.125</v>
      </c>
      <c r="E9" s="189" t="n">
        <f aca="false">B9*D9</f>
        <v>64929.7081311178</v>
      </c>
      <c r="F9" s="189" t="n">
        <f aca="false">'Valuation output'!I10</f>
        <v>0</v>
      </c>
      <c r="G9" s="189" t="n">
        <f aca="false">E9-H9</f>
        <v>14104.6569547591</v>
      </c>
      <c r="H9" s="189" t="n">
        <f aca="false">'Valuation output'!I7</f>
        <v>50825.0511763588</v>
      </c>
    </row>
    <row r="10" s="188" customFormat="true" ht="12" hidden="false" customHeight="false" outlineLevel="0" collapsed="false">
      <c r="A10" s="188" t="n">
        <v>8</v>
      </c>
      <c r="B10" s="189" t="n">
        <f aca="false">'Valuation output'!J3</f>
        <v>559953.80292276</v>
      </c>
      <c r="C10" s="190" t="n">
        <f aca="false">B10/B9-1</f>
        <v>0.0780000000000001</v>
      </c>
      <c r="D10" s="190" t="n">
        <f aca="false">'Valuation output'!J4</f>
        <v>0.125</v>
      </c>
      <c r="E10" s="189" t="n">
        <f aca="false">B10*D10</f>
        <v>69994.225365345</v>
      </c>
      <c r="F10" s="189" t="n">
        <f aca="false">'Valuation output'!J10</f>
        <v>0</v>
      </c>
      <c r="G10" s="189" t="n">
        <f aca="false">E10-H10</f>
        <v>15736.0848273811</v>
      </c>
      <c r="H10" s="189" t="n">
        <f aca="false">'Valuation output'!J7</f>
        <v>54258.1405379639</v>
      </c>
    </row>
    <row r="11" s="188" customFormat="true" ht="12" hidden="false" customHeight="false" outlineLevel="0" collapsed="false">
      <c r="A11" s="188" t="n">
        <v>9</v>
      </c>
      <c r="B11" s="189" t="n">
        <f aca="false">'Valuation output'!K3</f>
        <v>590191.308280589</v>
      </c>
      <c r="C11" s="190" t="n">
        <f aca="false">B11/B10-1</f>
        <v>0.0540000000000001</v>
      </c>
      <c r="D11" s="190" t="n">
        <f aca="false">'Valuation output'!K4</f>
        <v>0.125</v>
      </c>
      <c r="E11" s="189" t="n">
        <f aca="false">B11*D11</f>
        <v>73773.9135350737</v>
      </c>
      <c r="F11" s="189" t="n">
        <f aca="false">'Valuation output'!K10</f>
        <v>0</v>
      </c>
      <c r="G11" s="189" t="n">
        <f aca="false">E11-H11</f>
        <v>17145.7863282387</v>
      </c>
      <c r="H11" s="189" t="n">
        <f aca="false">'Valuation output'!K7</f>
        <v>56628.127206835</v>
      </c>
    </row>
    <row r="12" s="188" customFormat="true" ht="12" hidden="false" customHeight="false" outlineLevel="0" collapsed="false">
      <c r="A12" s="188" t="n">
        <v>10</v>
      </c>
      <c r="B12" s="189" t="n">
        <f aca="false">'Valuation output'!L3</f>
        <v>607897.047529007</v>
      </c>
      <c r="C12" s="190" t="n">
        <f aca="false">B12/B11-1</f>
        <v>0.03</v>
      </c>
      <c r="D12" s="190" t="n">
        <f aca="false">'Valuation output'!L4</f>
        <v>0.125</v>
      </c>
      <c r="E12" s="189" t="n">
        <f aca="false">B12*D12</f>
        <v>75987.1309411259</v>
      </c>
      <c r="F12" s="189" t="n">
        <f aca="false">'Valuation output'!L10</f>
        <v>0</v>
      </c>
      <c r="G12" s="189" t="n">
        <f aca="false">E12-H12</f>
        <v>18236.9114258702</v>
      </c>
      <c r="H12" s="189" t="n">
        <f aca="false">'Valuation output'!L7</f>
        <v>57750.2195152557</v>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v>Traling 12 month</v>
      </c>
      <c r="B15" s="189" t="n">
        <f aca="false">H2</f>
        <v>12780.2814503789</v>
      </c>
      <c r="G15" s="191" t="n">
        <f aca="false">'Valuation output'!B39</f>
        <v>84418.6830749357</v>
      </c>
      <c r="H15" s="192" t="n">
        <f aca="false">B15/G15</f>
        <v>0.151391623096445</v>
      </c>
    </row>
    <row r="16" s="188" customFormat="true" ht="12" hidden="false" customHeight="false" outlineLevel="0" collapsed="false">
      <c r="A16" s="188" t="n">
        <f aca="false">A3</f>
        <v>1</v>
      </c>
      <c r="B16" s="189" t="n">
        <f aca="false">H3</f>
        <v>16532.4711831005</v>
      </c>
      <c r="C16" s="189" t="n">
        <f aca="false">B3-B2</f>
        <v>31218.75</v>
      </c>
      <c r="D16" s="193" t="n">
        <f aca="false">'Valuation output'!C38</f>
        <v>5.94727818259751</v>
      </c>
      <c r="E16" s="189" t="n">
        <f aca="false">C16/D16</f>
        <v>5249.25</v>
      </c>
      <c r="F16" s="189" t="n">
        <f aca="false">B16-E16</f>
        <v>11283.2211831005</v>
      </c>
      <c r="G16" s="189" t="n">
        <f aca="false">G15+E16</f>
        <v>89667.9330749357</v>
      </c>
      <c r="H16" s="192" t="n">
        <f aca="false">B16/G16</f>
        <v>0.184374398027936</v>
      </c>
    </row>
    <row r="17" s="188" customFormat="true" ht="12" hidden="false" customHeight="false" outlineLevel="0" collapsed="false">
      <c r="A17" s="188" t="n">
        <f aca="false">A4</f>
        <v>2</v>
      </c>
      <c r="B17" s="189" t="n">
        <f aca="false">H4</f>
        <v>21122.7615030052</v>
      </c>
      <c r="C17" s="189" t="n">
        <f aca="false">B4-B3</f>
        <v>35901.5625</v>
      </c>
      <c r="D17" s="193" t="n">
        <f aca="false">'Valuation output'!D38</f>
        <v>5.94727818259751</v>
      </c>
      <c r="E17" s="189" t="n">
        <f aca="false">C17/D17</f>
        <v>6036.6375</v>
      </c>
      <c r="F17" s="189" t="n">
        <f aca="false">B17-E17</f>
        <v>15086.1240030052</v>
      </c>
      <c r="G17" s="189" t="n">
        <f aca="false">G16+E17</f>
        <v>95704.5705749357</v>
      </c>
      <c r="H17" s="192" t="n">
        <f aca="false">B17/G17</f>
        <v>0.22070797012214</v>
      </c>
    </row>
    <row r="18" s="188" customFormat="true" ht="12" hidden="false" customHeight="false" outlineLevel="0" collapsed="false">
      <c r="A18" s="188" t="n">
        <f aca="false">A5</f>
        <v>3</v>
      </c>
      <c r="B18" s="189" t="n">
        <f aca="false">H5</f>
        <v>26718.1583172614</v>
      </c>
      <c r="C18" s="189" t="n">
        <f aca="false">B5-B4</f>
        <v>41286.7968749999</v>
      </c>
      <c r="D18" s="193" t="n">
        <f aca="false">'Valuation output'!E38</f>
        <v>5.94727818259751</v>
      </c>
      <c r="E18" s="189" t="n">
        <f aca="false">C18/D18</f>
        <v>6942.13312499999</v>
      </c>
      <c r="F18" s="189" t="n">
        <f aca="false">B18-E18</f>
        <v>19776.0251922614</v>
      </c>
      <c r="G18" s="189" t="n">
        <f aca="false">G17+E18</f>
        <v>102646.703699936</v>
      </c>
      <c r="H18" s="192" t="n">
        <f aca="false">B18/G18</f>
        <v>0.260292414214936</v>
      </c>
    </row>
    <row r="19" s="188" customFormat="true" ht="12" hidden="false" customHeight="false" outlineLevel="0" collapsed="false">
      <c r="A19" s="188" t="n">
        <f aca="false">A6</f>
        <v>4</v>
      </c>
      <c r="B19" s="189" t="n">
        <f aca="false">H6</f>
        <v>33516.9120419769</v>
      </c>
      <c r="C19" s="189" t="n">
        <f aca="false">B6-B5</f>
        <v>47479.8164062499</v>
      </c>
      <c r="D19" s="193" t="n">
        <f aca="false">'Valuation output'!F38</f>
        <v>5.94727818259751</v>
      </c>
      <c r="E19" s="189" t="n">
        <f aca="false">C19/D19</f>
        <v>7983.45309374999</v>
      </c>
      <c r="F19" s="189" t="n">
        <f aca="false">B19-E19</f>
        <v>25533.458948227</v>
      </c>
      <c r="G19" s="189" t="n">
        <f aca="false">G18+E19</f>
        <v>110630.156793686</v>
      </c>
      <c r="H19" s="192" t="n">
        <f aca="false">B19/G19</f>
        <v>0.30296361329834</v>
      </c>
    </row>
    <row r="20" s="188" customFormat="true" ht="12" hidden="false" customHeight="false" outlineLevel="0" collapsed="false">
      <c r="A20" s="188" t="n">
        <f aca="false">A7</f>
        <v>5</v>
      </c>
      <c r="B20" s="189" t="n">
        <f aca="false">H7</f>
        <v>41754.1333219687</v>
      </c>
      <c r="C20" s="189" t="n">
        <f aca="false">B7-B6</f>
        <v>54601.7888671875</v>
      </c>
      <c r="D20" s="193" t="n">
        <f aca="false">'Valuation output'!G38</f>
        <v>5.94727818259751</v>
      </c>
      <c r="E20" s="189" t="n">
        <f aca="false">C20/D20</f>
        <v>9180.97105781249</v>
      </c>
      <c r="F20" s="189" t="n">
        <f aca="false">B20-E20</f>
        <v>32573.1622641562</v>
      </c>
      <c r="G20" s="189" t="n">
        <f aca="false">G19+E20</f>
        <v>119811.127851498</v>
      </c>
      <c r="H20" s="192" t="n">
        <f aca="false">B20/G20</f>
        <v>0.348499626626682</v>
      </c>
    </row>
    <row r="21" s="188" customFormat="true" ht="12" hidden="false" customHeight="false" outlineLevel="0" collapsed="false">
      <c r="A21" s="188" t="n">
        <f aca="false">A8</f>
        <v>6</v>
      </c>
      <c r="B21" s="189" t="n">
        <f aca="false">H8</f>
        <v>46567.9451076181</v>
      </c>
      <c r="C21" s="189" t="n">
        <f aca="false">B8-B7</f>
        <v>52745.3280457031</v>
      </c>
      <c r="D21" s="193" t="n">
        <f aca="false">'Valuation output'!H38</f>
        <v>5.94727818259751</v>
      </c>
      <c r="E21" s="189" t="n">
        <f aca="false">C21/D21</f>
        <v>8868.81804184687</v>
      </c>
      <c r="F21" s="189" t="n">
        <f aca="false">B21-E21</f>
        <v>37699.1270657712</v>
      </c>
      <c r="G21" s="189" t="n">
        <f aca="false">G20+E21</f>
        <v>128679.945893345</v>
      </c>
      <c r="H21" s="192" t="n">
        <f aca="false">B21/G21</f>
        <v>0.361889685174529</v>
      </c>
    </row>
    <row r="22" s="188" customFormat="true" ht="12" hidden="false" customHeight="false" outlineLevel="0" collapsed="false">
      <c r="A22" s="188" t="n">
        <f aca="false">A9</f>
        <v>7</v>
      </c>
      <c r="B22" s="189" t="n">
        <f aca="false">H9</f>
        <v>50825.0511763588</v>
      </c>
      <c r="C22" s="189" t="n">
        <f aca="false">B9-B8</f>
        <v>48078.6223548024</v>
      </c>
      <c r="D22" s="193" t="n">
        <f aca="false">'Valuation output'!I38</f>
        <v>5.94727818259751</v>
      </c>
      <c r="E22" s="189" t="n">
        <f aca="false">C22/D22</f>
        <v>8084.13880747776</v>
      </c>
      <c r="F22" s="189" t="n">
        <f aca="false">B22-E22</f>
        <v>42740.912368881</v>
      </c>
      <c r="G22" s="189" t="n">
        <f aca="false">G21+E22</f>
        <v>136764.084700823</v>
      </c>
      <c r="H22" s="192" t="n">
        <f aca="false">B22/G22</f>
        <v>0.371625718020493</v>
      </c>
    </row>
    <row r="23" s="188" customFormat="true" ht="12" hidden="false" customHeight="false" outlineLevel="0" collapsed="false">
      <c r="A23" s="188" t="n">
        <f aca="false">A10</f>
        <v>8</v>
      </c>
      <c r="B23" s="189" t="n">
        <f aca="false">H10</f>
        <v>54258.1405379639</v>
      </c>
      <c r="C23" s="189" t="n">
        <f aca="false">B10-B9</f>
        <v>40516.1378738175</v>
      </c>
      <c r="D23" s="193" t="n">
        <f aca="false">'Valuation output'!J38</f>
        <v>5.94727818259751</v>
      </c>
      <c r="E23" s="189" t="n">
        <f aca="false">C23/D23</f>
        <v>6812.55132681919</v>
      </c>
      <c r="F23" s="189" t="n">
        <f aca="false">B23-E23</f>
        <v>47445.5892111447</v>
      </c>
      <c r="G23" s="189" t="n">
        <f aca="false">G22+E23</f>
        <v>143576.636027642</v>
      </c>
      <c r="H23" s="192" t="n">
        <f aca="false">B23/G23</f>
        <v>0.377903689897832</v>
      </c>
    </row>
    <row r="24" s="188" customFormat="true" ht="12" hidden="false" customHeight="false" outlineLevel="0" collapsed="false">
      <c r="A24" s="188" t="n">
        <f aca="false">A11</f>
        <v>9</v>
      </c>
      <c r="B24" s="189" t="n">
        <f aca="false">H11</f>
        <v>56628.127206835</v>
      </c>
      <c r="C24" s="189" t="n">
        <f aca="false">B11-B10</f>
        <v>30237.505357829</v>
      </c>
      <c r="D24" s="193" t="n">
        <f aca="false">'Valuation output'!K38</f>
        <v>5.94727818259751</v>
      </c>
      <c r="E24" s="189" t="n">
        <f aca="false">C24/D24</f>
        <v>5084.25945944614</v>
      </c>
      <c r="F24" s="189" t="n">
        <f aca="false">B24-E24</f>
        <v>51543.8677473888</v>
      </c>
      <c r="G24" s="189" t="n">
        <f aca="false">G23+E24</f>
        <v>148660.895487088</v>
      </c>
      <c r="H24" s="192" t="n">
        <f aca="false">B24/G24</f>
        <v>0.380921472464515</v>
      </c>
    </row>
    <row r="25" s="188" customFormat="true" ht="12" hidden="false" customHeight="false" outlineLevel="0" collapsed="false">
      <c r="A25" s="188" t="n">
        <f aca="false">A12</f>
        <v>10</v>
      </c>
      <c r="B25" s="189" t="n">
        <f aca="false">H12</f>
        <v>57750.2195152557</v>
      </c>
      <c r="C25" s="189" t="n">
        <f aca="false">B12-B11</f>
        <v>17705.7392484177</v>
      </c>
      <c r="D25" s="193" t="n">
        <f aca="false">'Valuation output'!L38</f>
        <v>5.94727818259751</v>
      </c>
      <c r="E25" s="189" t="n">
        <f aca="false">C25/D25</f>
        <v>2977.11637236457</v>
      </c>
      <c r="F25" s="189" t="n">
        <f aca="false">B25-E25</f>
        <v>54773.1031428911</v>
      </c>
      <c r="G25" s="189" t="n">
        <f aca="false">G24+E25</f>
        <v>151638.011859453</v>
      </c>
      <c r="H25" s="192" t="n">
        <f aca="false">B25/G25</f>
        <v>0.380842631785374</v>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v>1</v>
      </c>
      <c r="H28" s="194" t="n">
        <f aca="false">'Valuation output'!C12</f>
        <v>0.0797</v>
      </c>
    </row>
    <row r="29" customFormat="false" ht="12" hidden="false" customHeight="false" outlineLevel="0" collapsed="false">
      <c r="A29" s="0" t="n">
        <f aca="false">A17</f>
        <v>2</v>
      </c>
      <c r="H29" s="194" t="n">
        <f aca="false">'Valuation output'!D12</f>
        <v>0.0797</v>
      </c>
    </row>
    <row r="30" customFormat="false" ht="12" hidden="false" customHeight="false" outlineLevel="0" collapsed="false">
      <c r="A30" s="0" t="n">
        <f aca="false">A18</f>
        <v>3</v>
      </c>
      <c r="H30" s="194" t="n">
        <f aca="false">'Valuation output'!E12</f>
        <v>0.0797</v>
      </c>
    </row>
    <row r="31" customFormat="false" ht="12" hidden="false" customHeight="false" outlineLevel="0" collapsed="false">
      <c r="A31" s="0" t="n">
        <f aca="false">A19</f>
        <v>4</v>
      </c>
      <c r="H31" s="194" t="n">
        <f aca="false">'Valuation output'!F12</f>
        <v>0.0797</v>
      </c>
    </row>
    <row r="32" customFormat="false" ht="12" hidden="false" customHeight="false" outlineLevel="0" collapsed="false">
      <c r="A32" s="0" t="n">
        <f aca="false">A20</f>
        <v>5</v>
      </c>
      <c r="H32" s="194" t="n">
        <f aca="false">'Valuation output'!G12</f>
        <v>0.0797</v>
      </c>
    </row>
    <row r="33" customFormat="false" ht="12" hidden="false" customHeight="false" outlineLevel="0" collapsed="false">
      <c r="A33" s="0" t="n">
        <f aca="false">A21</f>
        <v>6</v>
      </c>
      <c r="H33" s="194" t="n">
        <f aca="false">'Valuation output'!H12</f>
        <v>0.07876</v>
      </c>
    </row>
    <row r="34" customFormat="false" ht="12" hidden="false" customHeight="false" outlineLevel="0" collapsed="false">
      <c r="A34" s="0" t="n">
        <f aca="false">A22</f>
        <v>7</v>
      </c>
      <c r="H34" s="194" t="n">
        <f aca="false">'Valuation output'!I12</f>
        <v>0.07782</v>
      </c>
    </row>
    <row r="35" customFormat="false" ht="12" hidden="false" customHeight="false" outlineLevel="0" collapsed="false">
      <c r="A35" s="0" t="n">
        <f aca="false">A23</f>
        <v>8</v>
      </c>
      <c r="H35" s="194" t="n">
        <f aca="false">'Valuation output'!J12</f>
        <v>0.07688</v>
      </c>
    </row>
    <row r="36" customFormat="false" ht="12" hidden="false" customHeight="false" outlineLevel="0" collapsed="false">
      <c r="A36" s="0" t="n">
        <f aca="false">A24</f>
        <v>9</v>
      </c>
      <c r="H36" s="194" t="n">
        <f aca="false">'Valuation output'!K12</f>
        <v>0.07594</v>
      </c>
    </row>
    <row r="37" customFormat="false" ht="12" hidden="false" customHeight="false" outlineLevel="0" collapsed="false">
      <c r="A37" s="0" t="n">
        <f aca="false">A25</f>
        <v>10</v>
      </c>
      <c r="H37" s="194" t="n">
        <f aca="false">'Valuation output'!L12</f>
        <v>0.075</v>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v>1</v>
      </c>
      <c r="B40" s="186" t="n">
        <f aca="false">H28</f>
        <v>0.0797</v>
      </c>
      <c r="C40" s="195" t="n">
        <f aca="false">(1+'Summary Sheet'!B40)</f>
        <v>1.0797</v>
      </c>
      <c r="D40" s="196" t="n">
        <f aca="false">F16</f>
        <v>11283.2211831005</v>
      </c>
      <c r="F40" s="196" t="n">
        <f aca="false">D40/C40</f>
        <v>10450.3298908035</v>
      </c>
    </row>
    <row r="41" customFormat="false" ht="12" hidden="false" customHeight="false" outlineLevel="0" collapsed="false">
      <c r="A41" s="0" t="n">
        <f aca="false">A29</f>
        <v>2</v>
      </c>
      <c r="B41" s="186" t="n">
        <f aca="false">H29</f>
        <v>0.0797</v>
      </c>
      <c r="C41" s="195" t="n">
        <f aca="false">C40*(1+B41)</f>
        <v>1.16575209</v>
      </c>
      <c r="D41" s="196" t="n">
        <f aca="false">F17</f>
        <v>15086.1240030052</v>
      </c>
      <c r="F41" s="196" t="n">
        <f aca="false">D41/C41</f>
        <v>12941.1082617104</v>
      </c>
    </row>
    <row r="42" customFormat="false" ht="12" hidden="false" customHeight="false" outlineLevel="0" collapsed="false">
      <c r="A42" s="0" t="n">
        <f aca="false">A30</f>
        <v>3</v>
      </c>
      <c r="B42" s="186" t="n">
        <f aca="false">H30</f>
        <v>0.0797</v>
      </c>
      <c r="C42" s="195" t="n">
        <f aca="false">C41*(1+B42)</f>
        <v>1.258662531573</v>
      </c>
      <c r="D42" s="196" t="n">
        <f aca="false">F18</f>
        <v>19776.0251922614</v>
      </c>
      <c r="F42" s="196" t="n">
        <f aca="false">D42/C42</f>
        <v>15711.9360401923</v>
      </c>
    </row>
    <row r="43" customFormat="false" ht="12" hidden="false" customHeight="false" outlineLevel="0" collapsed="false">
      <c r="A43" s="0" t="n">
        <f aca="false">A31</f>
        <v>4</v>
      </c>
      <c r="B43" s="186" t="n">
        <f aca="false">H31</f>
        <v>0.0797</v>
      </c>
      <c r="C43" s="195" t="n">
        <f aca="false">C42*(1+B43)</f>
        <v>1.35897793533937</v>
      </c>
      <c r="D43" s="196" t="n">
        <f aca="false">F19</f>
        <v>25533.458948227</v>
      </c>
      <c r="F43" s="196" t="n">
        <f aca="false">D43/C43</f>
        <v>18788.7222332647</v>
      </c>
    </row>
    <row r="44" customFormat="false" ht="12" hidden="false" customHeight="false" outlineLevel="0" collapsed="false">
      <c r="A44" s="0" t="n">
        <f aca="false">A32</f>
        <v>5</v>
      </c>
      <c r="B44" s="186" t="n">
        <f aca="false">H32</f>
        <v>0.0797</v>
      </c>
      <c r="C44" s="195" t="n">
        <f aca="false">C43*(1+B44)</f>
        <v>1.46728847678592</v>
      </c>
      <c r="D44" s="196" t="n">
        <f aca="false">F20</f>
        <v>32573.1622641562</v>
      </c>
      <c r="F44" s="196" t="n">
        <f aca="false">D44/C44</f>
        <v>22199.5625124158</v>
      </c>
    </row>
    <row r="45" customFormat="false" ht="12" hidden="false" customHeight="false" outlineLevel="0" collapsed="false">
      <c r="A45" s="0" t="n">
        <f aca="false">A33</f>
        <v>6</v>
      </c>
      <c r="B45" s="186" t="n">
        <f aca="false">H33</f>
        <v>0.07876</v>
      </c>
      <c r="C45" s="195" t="n">
        <f aca="false">C44*(1+B45)</f>
        <v>1.58285211721757</v>
      </c>
      <c r="D45" s="196" t="n">
        <f aca="false">F21</f>
        <v>37699.1270657712</v>
      </c>
      <c r="F45" s="196" t="n">
        <f aca="false">D45/C45</f>
        <v>23817.2136586208</v>
      </c>
    </row>
    <row r="46" customFormat="false" ht="12" hidden="false" customHeight="false" outlineLevel="0" collapsed="false">
      <c r="A46" s="0" t="n">
        <f aca="false">A34</f>
        <v>7</v>
      </c>
      <c r="B46" s="186" t="n">
        <f aca="false">H34</f>
        <v>0.07782</v>
      </c>
      <c r="C46" s="195" t="n">
        <f aca="false">C45*(1+B46)</f>
        <v>1.70602966897945</v>
      </c>
      <c r="D46" s="196" t="n">
        <f aca="false">F22</f>
        <v>42740.912368881</v>
      </c>
      <c r="F46" s="196" t="n">
        <f aca="false">D46/C46</f>
        <v>25052.8540892544</v>
      </c>
    </row>
    <row r="47" customFormat="false" ht="12" hidden="false" customHeight="false" outlineLevel="0" collapsed="false">
      <c r="A47" s="0" t="n">
        <f aca="false">A35</f>
        <v>8</v>
      </c>
      <c r="B47" s="186" t="n">
        <f aca="false">H35</f>
        <v>0.07688</v>
      </c>
      <c r="C47" s="195" t="n">
        <f aca="false">C46*(1+B47)</f>
        <v>1.83718922993059</v>
      </c>
      <c r="D47" s="196" t="n">
        <f aca="false">F23</f>
        <v>47445.5892111447</v>
      </c>
      <c r="F47" s="196" t="n">
        <f aca="false">D47/C47</f>
        <v>25825.0965323465</v>
      </c>
    </row>
    <row r="48" customFormat="false" ht="12" hidden="false" customHeight="false" outlineLevel="0" collapsed="false">
      <c r="A48" s="0" t="n">
        <f aca="false">A36</f>
        <v>9</v>
      </c>
      <c r="B48" s="186" t="n">
        <f aca="false">H36</f>
        <v>0.07594</v>
      </c>
      <c r="C48" s="195" t="n">
        <f aca="false">C47*(1+B48)</f>
        <v>1.97670538005151</v>
      </c>
      <c r="D48" s="196" t="n">
        <f aca="false">F24</f>
        <v>51543.8677473888</v>
      </c>
      <c r="F48" s="196" t="n">
        <f aca="false">D48/C48</f>
        <v>26075.6449937145</v>
      </c>
    </row>
    <row r="49" customFormat="false" ht="12" hidden="false" customHeight="false" outlineLevel="0" collapsed="false">
      <c r="A49" s="0" t="n">
        <f aca="false">A37</f>
        <v>10</v>
      </c>
      <c r="B49" s="186" t="n">
        <f aca="false">H37</f>
        <v>0.075</v>
      </c>
      <c r="C49" s="195" t="n">
        <f aca="false">C48*(1+B49)</f>
        <v>2.12495828355538</v>
      </c>
      <c r="D49" s="196" t="n">
        <f aca="false">F25</f>
        <v>54773.1031428911</v>
      </c>
      <c r="E49" s="196" t="n">
        <f aca="false">'Valuation output'!B18</f>
        <v>925286.850455541</v>
      </c>
      <c r="F49" s="196" t="n">
        <f aca="false">(D49+E49)/C49</f>
        <v>461213.738256849</v>
      </c>
    </row>
    <row r="50" customFormat="false" ht="12" hidden="false" customHeight="false" outlineLevel="0" collapsed="false">
      <c r="A50" s="0" t="s">
        <v>144</v>
      </c>
      <c r="F50" s="196" t="n">
        <f aca="false">SUM(F40:F49)</f>
        <v>642076.206469171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v>1970.19</v>
      </c>
    </row>
    <row r="3" customFormat="false" ht="12.65" hidden="false" customHeight="false" outlineLevel="0" collapsed="false">
      <c r="A3" s="199" t="s">
        <v>221</v>
      </c>
      <c r="B3" s="199"/>
      <c r="D3" s="201" t="n">
        <f aca="false">'Input sheet'!B33</f>
        <v>61.13</v>
      </c>
    </row>
    <row r="4" customFormat="false" ht="12.65" hidden="false" customHeight="false" outlineLevel="0" collapsed="false">
      <c r="A4" s="199" t="s">
        <v>222</v>
      </c>
      <c r="B4" s="199"/>
      <c r="D4" s="202" t="n">
        <f aca="false">'Input sheet'!B34</f>
        <v>5.97</v>
      </c>
    </row>
    <row r="5" customFormat="false" ht="12.65" hidden="false" customHeight="false" outlineLevel="0" collapsed="false">
      <c r="A5" s="199" t="s">
        <v>223</v>
      </c>
      <c r="B5" s="199"/>
      <c r="D5" s="203" t="n">
        <f aca="false">'Input sheet'!B35</f>
        <v>0.3</v>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v>0.03</v>
      </c>
    </row>
    <row r="8" customFormat="false" ht="12.65" hidden="false" customHeight="false" outlineLevel="0" collapsed="false">
      <c r="A8" s="199" t="s">
        <v>227</v>
      </c>
      <c r="B8" s="199"/>
      <c r="D8" s="202" t="n">
        <f aca="false">'Input sheet'!B32</f>
        <v>21.65</v>
      </c>
    </row>
    <row r="9" customFormat="false" ht="12.65" hidden="false" customHeight="false" outlineLevel="0" collapsed="false">
      <c r="A9" s="199" t="s">
        <v>228</v>
      </c>
      <c r="B9" s="199"/>
      <c r="D9" s="205" t="n">
        <f aca="false">'Input sheet'!B18</f>
        <v>497</v>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v>1970.19</v>
      </c>
      <c r="D13" s="199" t="s">
        <v>232</v>
      </c>
      <c r="F13" s="211" t="n">
        <f aca="false">D8</f>
        <v>21.65</v>
      </c>
      <c r="G13" s="212"/>
    </row>
    <row r="14" s="199" customFormat="true" ht="12.65" hidden="false" customHeight="false" outlineLevel="0" collapsed="false">
      <c r="A14" s="199" t="s">
        <v>233</v>
      </c>
      <c r="C14" s="210" t="n">
        <f aca="false">D3</f>
        <v>61.13</v>
      </c>
      <c r="D14" s="199" t="s">
        <v>234</v>
      </c>
      <c r="F14" s="213" t="n">
        <f aca="false">D9</f>
        <v>497</v>
      </c>
      <c r="G14" s="212"/>
    </row>
    <row r="15" s="199" customFormat="true" ht="12.65" hidden="false" customHeight="false" outlineLevel="0" collapsed="false">
      <c r="A15" s="199" t="s">
        <v>235</v>
      </c>
      <c r="C15" s="214" t="e">
        <f aca="false">(C13*F14+C26*F13)/(F14+F13)</f>
        <v>#DIV/0!</v>
      </c>
      <c r="D15" s="199" t="s">
        <v>236</v>
      </c>
      <c r="F15" s="215" t="n">
        <f aca="false">D7</f>
        <v>0.03</v>
      </c>
    </row>
    <row r="16" s="199" customFormat="true" ht="12.65" hidden="false" customHeight="false" outlineLevel="0" collapsed="false">
      <c r="A16" s="199" t="s">
        <v>237</v>
      </c>
      <c r="C16" s="210" t="n">
        <f aca="false">C14</f>
        <v>61.13</v>
      </c>
      <c r="D16" s="199" t="s">
        <v>238</v>
      </c>
      <c r="F16" s="216" t="n">
        <f aca="false">D5^2</f>
        <v>0.09</v>
      </c>
    </row>
    <row r="17" s="199" customFormat="true" ht="12.65" hidden="false" customHeight="false" outlineLevel="0" collapsed="false">
      <c r="A17" s="199" t="s">
        <v>239</v>
      </c>
      <c r="C17" s="217" t="n">
        <f aca="false">D4</f>
        <v>5.97</v>
      </c>
      <c r="D17" s="199" t="s">
        <v>240</v>
      </c>
      <c r="F17" s="215" t="n">
        <f aca="false">D6</f>
        <v>0</v>
      </c>
    </row>
    <row r="18" s="199" customFormat="true" ht="12.65" hidden="false" customHeight="false" outlineLevel="0" collapsed="false">
      <c r="C18" s="209"/>
      <c r="D18" s="199" t="s">
        <v>241</v>
      </c>
      <c r="F18" s="218" t="n">
        <f aca="false">F15-F17</f>
        <v>0.03</v>
      </c>
    </row>
    <row r="19" s="199" customFormat="true" ht="12.65" hidden="false" customHeight="false" outlineLevel="0" collapsed="false"/>
    <row r="20" s="199" customFormat="true" ht="12.65" hidden="false" customHeight="false" outlineLevel="0" collapsed="false">
      <c r="A20" s="199" t="s">
        <v>242</v>
      </c>
      <c r="B20" s="219" t="e">
        <f aca="false">(LN(C15/C16)+(F18+(F16/2))*C17)/(((F16)^(0.5))*(C17^0.5))</f>
        <v>#DIV/0!</v>
      </c>
    </row>
    <row r="21" s="199" customFormat="true" ht="12.65" hidden="false" customHeight="false" outlineLevel="0" collapsed="false">
      <c r="A21" s="199" t="s">
        <v>243</v>
      </c>
      <c r="B21" s="219" t="e">
        <f aca="false">NORMSDIST(B20)</f>
        <v>#DIV/0!</v>
      </c>
    </row>
    <row r="22" s="199" customFormat="true" ht="12.65" hidden="false" customHeight="false" outlineLevel="0" collapsed="false"/>
    <row r="23" s="199" customFormat="true" ht="15.75" hidden="false" customHeight="true" outlineLevel="0" collapsed="false">
      <c r="A23" s="199" t="s">
        <v>244</v>
      </c>
      <c r="B23" s="219" t="e">
        <f aca="false">B20-((F16^0.5)*(C17^(0.5)))</f>
        <v>#DIV/0!</v>
      </c>
    </row>
    <row r="24" s="199" customFormat="true" ht="12.65" hidden="false" customHeight="false" outlineLevel="0" collapsed="false">
      <c r="A24" s="199" t="s">
        <v>245</v>
      </c>
      <c r="B24" s="219" t="e">
        <f aca="false">NORMSDIST(B23)</f>
        <v>#DIV/0!</v>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v>#DIV/0!</v>
      </c>
      <c r="G26" s="221"/>
    </row>
    <row r="27" s="199" customFormat="true" ht="12.65" hidden="false" customHeight="false" outlineLevel="0" collapsed="false">
      <c r="A27" s="199" t="s">
        <v>247</v>
      </c>
      <c r="D27" s="222"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v>84418.6830749357</v>
      </c>
    </row>
    <row r="3" s="226" customFormat="true" ht="15.75" hidden="false" customHeight="false" outlineLevel="0" collapsed="false">
      <c r="A3" s="225" t="s">
        <v>250</v>
      </c>
      <c r="B3" s="227" t="n">
        <f aca="false">'Valuation output'!L39</f>
        <v>151638.011859453</v>
      </c>
    </row>
    <row r="4" s="226" customFormat="true" ht="15.75" hidden="false" customHeight="false" outlineLevel="0" collapsed="false">
      <c r="A4" s="225" t="s">
        <v>251</v>
      </c>
      <c r="B4" s="227" t="n">
        <f aca="false">B3-B2</f>
        <v>67219.328784517</v>
      </c>
    </row>
    <row r="5" s="226" customFormat="true" ht="15.75" hidden="false" customHeight="false" outlineLevel="0" collapsed="false">
      <c r="A5" s="225" t="s">
        <v>252</v>
      </c>
      <c r="B5" s="227" t="n">
        <f aca="false">'Valuation output'!L5-'Valuation output'!B5</f>
        <v>59970.7492486194</v>
      </c>
    </row>
    <row r="6" s="226" customFormat="true" ht="15.75" hidden="false" customHeight="false" outlineLevel="0" collapsed="false">
      <c r="A6" s="225" t="s">
        <v>253</v>
      </c>
      <c r="B6" s="228" t="n">
        <f aca="false">B5/B4</f>
        <v>0.89216524968385</v>
      </c>
    </row>
    <row r="7" s="226" customFormat="true" ht="15.75" hidden="false" customHeight="false" outlineLevel="0" collapsed="false">
      <c r="A7" s="225" t="s">
        <v>254</v>
      </c>
      <c r="B7" s="228" t="n">
        <f aca="false">'Valuation output'!L40</f>
        <v>0.380842631785374</v>
      </c>
    </row>
    <row r="8" s="226" customFormat="true" ht="15.75" hidden="false" customHeight="false" outlineLevel="0" collapsed="false">
      <c r="A8" s="225" t="s">
        <v>255</v>
      </c>
      <c r="B8" s="228" t="n">
        <f aca="false">(1/'Valuation output'!L13)^(1/10)-1</f>
        <v>0.0782886673267635</v>
      </c>
    </row>
    <row r="9" s="226" customFormat="true" ht="15.75" hidden="false" customHeight="false" outlineLevel="0" collapsed="false">
      <c r="A9" s="229" t="s">
        <v>256</v>
      </c>
      <c r="B9" s="230" t="n">
        <f aca="false">'Valuation output'!B33/'Valuation output'!B34</f>
        <v>0.636565497057828</v>
      </c>
    </row>
    <row r="10" s="226" customFormat="true" ht="15.75" hidden="false" customHeight="false" outlineLevel="0" collapsed="false">
      <c r="A10" s="231"/>
      <c r="B10" s="232" t="str">
        <f aca="false">IF(B9="NA","Value is negative. See below",IF(B9&gt;2,"Value seems high. See below",IF(B9&lt;0.5,"Value seems low. See below"," ")))</f>
        <v> </v>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v>-2</v>
      </c>
      <c r="B12" s="255" t="n">
        <v>12540</v>
      </c>
      <c r="C12" s="252" t="s">
        <v>285</v>
      </c>
      <c r="D12" s="252"/>
      <c r="E12" s="252"/>
      <c r="F12" s="252"/>
      <c r="G12" s="252"/>
      <c r="H12" s="252"/>
      <c r="I12" s="252"/>
    </row>
    <row r="13" s="253" customFormat="true" ht="12.65" hidden="false" customHeight="false" outlineLevel="0" collapsed="false">
      <c r="A13" s="254" t="n">
        <f aca="false">IF((0-A12)&lt;$F$6,IF(A12&gt;-1,,A12-1),)</f>
        <v>0</v>
      </c>
      <c r="B13" s="255"/>
      <c r="C13" s="252"/>
      <c r="D13" s="252"/>
      <c r="E13" s="252"/>
      <c r="F13" s="252"/>
      <c r="G13" s="252"/>
      <c r="H13" s="252"/>
      <c r="I13" s="252"/>
    </row>
    <row r="14" s="253" customFormat="true" ht="12.65" hidden="false" customHeight="false" outlineLevel="0" collapsed="false">
      <c r="A14" s="254" t="n">
        <f aca="false">IF((0-A13)&lt;$F$6,IF(A13&gt;-1,,A13-1),)</f>
        <v>0</v>
      </c>
      <c r="B14" s="255"/>
      <c r="C14" s="252"/>
      <c r="D14" s="252"/>
      <c r="E14" s="252"/>
      <c r="F14" s="252"/>
      <c r="G14" s="252"/>
      <c r="H14" s="252"/>
      <c r="I14" s="252"/>
    </row>
    <row r="15" s="253" customFormat="true" ht="12.65" hidden="false" customHeight="false" outlineLevel="0" collapsed="false">
      <c r="A15" s="254" t="n">
        <f aca="false">IF((0-A14)&lt;$F$6,IF(A14&gt;-1,,A14-1),)</f>
        <v>0</v>
      </c>
      <c r="B15" s="255"/>
      <c r="C15" s="252"/>
      <c r="D15" s="252"/>
      <c r="E15" s="252"/>
      <c r="F15" s="252"/>
      <c r="G15" s="252"/>
      <c r="H15" s="252"/>
      <c r="I15" s="252"/>
    </row>
    <row r="16" s="253" customFormat="true" ht="12.65" hidden="false" customHeight="false" outlineLevel="0" collapsed="false">
      <c r="A16" s="254" t="n">
        <f aca="false">IF((0-A15)&lt;$F$6,IF(A15&gt;-1,,A15-1),)</f>
        <v>0</v>
      </c>
      <c r="B16" s="255"/>
      <c r="C16" s="252"/>
      <c r="D16" s="252"/>
      <c r="E16" s="252"/>
      <c r="F16" s="252"/>
      <c r="G16" s="252"/>
      <c r="H16" s="252"/>
      <c r="I16" s="252"/>
    </row>
    <row r="17" s="253" customFormat="true" ht="12.65" hidden="false" customHeight="false" outlineLevel="0" collapsed="false">
      <c r="A17" s="254" t="n">
        <f aca="false">IF((0-A16)&lt;$F$6,IF(A16&gt;-1,,A16-1),)</f>
        <v>0</v>
      </c>
      <c r="B17" s="255"/>
      <c r="C17" s="252"/>
      <c r="D17" s="252"/>
      <c r="E17" s="252"/>
      <c r="F17" s="252"/>
      <c r="G17" s="252"/>
      <c r="H17" s="252"/>
      <c r="I17" s="252"/>
    </row>
    <row r="18" s="253" customFormat="true" ht="12.65" hidden="false" customHeight="false" outlineLevel="0" collapsed="false">
      <c r="A18" s="254" t="n">
        <f aca="false">IF((0-A17)&lt;$F$6,IF(A17&gt;-1,,A17-1),)</f>
        <v>0</v>
      </c>
      <c r="B18" s="255"/>
      <c r="C18" s="252"/>
      <c r="D18" s="252"/>
      <c r="E18" s="252"/>
      <c r="F18" s="252"/>
      <c r="G18" s="252"/>
      <c r="H18" s="252"/>
      <c r="I18" s="252"/>
    </row>
    <row r="19" s="253" customFormat="true" ht="12.65" hidden="false" customHeight="false" outlineLevel="0" collapsed="false">
      <c r="A19" s="254" t="n">
        <f aca="false">IF((0-A18)&lt;$F$6,IF(A18&gt;-1,,A18-1),)</f>
        <v>0</v>
      </c>
      <c r="B19" s="255"/>
      <c r="C19" s="252"/>
      <c r="D19" s="252"/>
      <c r="E19" s="252"/>
      <c r="F19" s="252"/>
      <c r="G19" s="252"/>
      <c r="H19" s="252"/>
      <c r="I19" s="252"/>
    </row>
    <row r="20" s="253" customFormat="true" ht="12.65" hidden="false" customHeight="false" outlineLevel="0" collapsed="false">
      <c r="A20" s="254" t="n">
        <f aca="false">IF((0-A19)&lt;$F$6,IF(A19&gt;-1,,A19-1),)</f>
        <v>0</v>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v>22620</v>
      </c>
      <c r="C24" s="251" t="n">
        <f aca="false">1</f>
        <v>1</v>
      </c>
      <c r="D24" s="251" t="n">
        <f aca="false">B24*C24</f>
        <v>22620</v>
      </c>
      <c r="E24" s="252"/>
      <c r="F24" s="252"/>
      <c r="G24" s="252"/>
      <c r="H24" s="252"/>
      <c r="I24" s="252"/>
    </row>
    <row r="25" s="253" customFormat="true" ht="12.65" hidden="false" customHeight="false" outlineLevel="0" collapsed="false">
      <c r="A25" s="254" t="n">
        <f aca="false">A11</f>
        <v>-1</v>
      </c>
      <c r="B25" s="251" t="n">
        <f aca="false">B11</f>
        <v>16085</v>
      </c>
      <c r="C25" s="251" t="n">
        <f aca="false">IF(A25&lt;0,($F$6+A25)/$F$6,0)</f>
        <v>0.5</v>
      </c>
      <c r="D25" s="251" t="n">
        <f aca="false">B25*C25</f>
        <v>8042.5</v>
      </c>
      <c r="E25" s="257" t="n">
        <f aca="false">IF(A25&lt;0,B25/$F$6,0)</f>
        <v>8042.5</v>
      </c>
      <c r="F25" s="252"/>
      <c r="G25" s="252"/>
      <c r="H25" s="252"/>
      <c r="I25" s="252"/>
    </row>
    <row r="26" s="253" customFormat="true" ht="12.65" hidden="false" customHeight="false" outlineLevel="0" collapsed="false">
      <c r="A26" s="254" t="n">
        <f aca="false">A12</f>
        <v>-2</v>
      </c>
      <c r="B26" s="251" t="n">
        <f aca="false">B12</f>
        <v>12540</v>
      </c>
      <c r="C26" s="251" t="n">
        <f aca="false">IF(A26&lt;0,($F$6+A26)/$F$6,0)</f>
        <v>0</v>
      </c>
      <c r="D26" s="251" t="n">
        <f aca="false">B26*C26</f>
        <v>0</v>
      </c>
      <c r="E26" s="257" t="n">
        <f aca="false">IF(A26&lt;0,B26/$F$6,0)</f>
        <v>6270</v>
      </c>
      <c r="F26" s="252"/>
      <c r="G26" s="252"/>
      <c r="H26" s="252"/>
      <c r="I26" s="252"/>
    </row>
    <row r="27" s="253" customFormat="true" ht="12.65" hidden="false" customHeight="false" outlineLevel="0" collapsed="false">
      <c r="A27" s="254" t="n">
        <f aca="false">A13</f>
        <v>0</v>
      </c>
      <c r="B27" s="251" t="n">
        <f aca="false">B13</f>
        <v>0</v>
      </c>
      <c r="C27" s="251" t="n">
        <f aca="false">IF(A27&lt;0,($F$6+A27)/$F$6,0)</f>
        <v>0</v>
      </c>
      <c r="D27" s="251" t="n">
        <f aca="false">B27*C27</f>
        <v>0</v>
      </c>
      <c r="E27" s="257" t="n">
        <f aca="false">IF(A27&lt;0,B27/$F$6,0)</f>
        <v>0</v>
      </c>
      <c r="F27" s="252"/>
      <c r="G27" s="252"/>
      <c r="H27" s="252"/>
      <c r="I27" s="252"/>
    </row>
    <row r="28" s="253" customFormat="true" ht="12.65" hidden="false" customHeight="false" outlineLevel="0" collapsed="false">
      <c r="A28" s="254" t="n">
        <f aca="false">A14</f>
        <v>0</v>
      </c>
      <c r="B28" s="251" t="n">
        <f aca="false">B14</f>
        <v>0</v>
      </c>
      <c r="C28" s="251" t="n">
        <f aca="false">IF(A28&lt;0,($F$6+A28)/$F$6,0)</f>
        <v>0</v>
      </c>
      <c r="D28" s="251" t="n">
        <f aca="false">B28*C28</f>
        <v>0</v>
      </c>
      <c r="E28" s="257" t="n">
        <f aca="false">IF(A28&lt;0,B28/$F$6,0)</f>
        <v>0</v>
      </c>
      <c r="F28" s="252"/>
      <c r="G28" s="252"/>
      <c r="H28" s="252"/>
      <c r="I28" s="252"/>
    </row>
    <row r="29" s="253" customFormat="true" ht="12.65" hidden="false" customHeight="false" outlineLevel="0" collapsed="false">
      <c r="A29" s="254" t="n">
        <f aca="false">A15</f>
        <v>0</v>
      </c>
      <c r="B29" s="251" t="n">
        <f aca="false">B15</f>
        <v>0</v>
      </c>
      <c r="C29" s="251" t="n">
        <f aca="false">IF(A29&lt;0,($F$6+A29)/$F$6,0)</f>
        <v>0</v>
      </c>
      <c r="D29" s="251" t="n">
        <f aca="false">B29*C29</f>
        <v>0</v>
      </c>
      <c r="E29" s="257" t="n">
        <f aca="false">IF(A29&lt;0,B29/$F$6,0)</f>
        <v>0</v>
      </c>
      <c r="F29" s="252"/>
      <c r="G29" s="252"/>
      <c r="H29" s="252"/>
      <c r="I29" s="252"/>
    </row>
    <row r="30" s="253" customFormat="true" ht="12.65" hidden="false" customHeight="false" outlineLevel="0" collapsed="false">
      <c r="A30" s="254" t="n">
        <f aca="false">A16</f>
        <v>0</v>
      </c>
      <c r="B30" s="251" t="n">
        <f aca="false">B16</f>
        <v>0</v>
      </c>
      <c r="C30" s="251" t="n">
        <f aca="false">IF(A30&lt;0,($F$6+A30)/$F$6,0)</f>
        <v>0</v>
      </c>
      <c r="D30" s="251" t="n">
        <f aca="false">B30*C30</f>
        <v>0</v>
      </c>
      <c r="E30" s="257" t="n">
        <f aca="false">IF(A30&lt;0,B30/$F$6,0)</f>
        <v>0</v>
      </c>
      <c r="F30" s="252"/>
      <c r="G30" s="252"/>
      <c r="H30" s="252"/>
      <c r="I30" s="252"/>
    </row>
    <row r="31" s="253" customFormat="true" ht="12.65" hidden="false" customHeight="false" outlineLevel="0" collapsed="false">
      <c r="A31" s="254" t="n">
        <f aca="false">A17</f>
        <v>0</v>
      </c>
      <c r="B31" s="251" t="n">
        <f aca="false">B17</f>
        <v>0</v>
      </c>
      <c r="C31" s="251" t="n">
        <f aca="false">IF(A31&lt;0,($F$6+A31)/$F$6,0)</f>
        <v>0</v>
      </c>
      <c r="D31" s="251" t="n">
        <f aca="false">B31*C31</f>
        <v>0</v>
      </c>
      <c r="E31" s="257" t="n">
        <f aca="false">IF(A31&lt;0,B31/$F$6,0)</f>
        <v>0</v>
      </c>
      <c r="F31" s="252"/>
      <c r="G31" s="252"/>
      <c r="H31" s="252"/>
      <c r="I31" s="252"/>
    </row>
    <row r="32" s="253" customFormat="true" ht="12.65" hidden="false" customHeight="false" outlineLevel="0" collapsed="false">
      <c r="A32" s="254" t="n">
        <f aca="false">A18</f>
        <v>0</v>
      </c>
      <c r="B32" s="251" t="n">
        <f aca="false">B18</f>
        <v>0</v>
      </c>
      <c r="C32" s="251" t="n">
        <f aca="false">IF(A32&lt;0,($F$6+A32)/$F$6,0)</f>
        <v>0</v>
      </c>
      <c r="D32" s="251" t="n">
        <f aca="false">B32*C32</f>
        <v>0</v>
      </c>
      <c r="E32" s="257" t="n">
        <f aca="false">IF(A32&lt;0,B32/$F$6,0)</f>
        <v>0</v>
      </c>
      <c r="F32" s="252"/>
      <c r="G32" s="252"/>
      <c r="H32" s="252"/>
      <c r="I32" s="252"/>
    </row>
    <row r="33" s="253" customFormat="true" ht="12.65" hidden="false" customHeight="false" outlineLevel="0" collapsed="false">
      <c r="A33" s="254" t="n">
        <f aca="false">A19</f>
        <v>0</v>
      </c>
      <c r="B33" s="251" t="n">
        <f aca="false">B19</f>
        <v>0</v>
      </c>
      <c r="C33" s="251" t="n">
        <f aca="false">IF(A33&lt;0,($F$6+A33)/$F$6,0)</f>
        <v>0</v>
      </c>
      <c r="D33" s="251" t="n">
        <f aca="false">B33*C33</f>
        <v>0</v>
      </c>
      <c r="E33" s="257" t="n">
        <f aca="false">IF(A33&lt;0,B33/$F$6,0)</f>
        <v>0</v>
      </c>
      <c r="F33" s="252"/>
      <c r="G33" s="252"/>
      <c r="H33" s="252"/>
      <c r="I33" s="252"/>
    </row>
    <row r="34" s="253" customFormat="true" ht="15.75" hidden="false" customHeight="true" outlineLevel="0" collapsed="false">
      <c r="A34" s="254" t="n">
        <f aca="false">A20</f>
        <v>0</v>
      </c>
      <c r="B34" s="251" t="n">
        <f aca="false">B20</f>
        <v>0</v>
      </c>
      <c r="C34" s="251" t="n">
        <f aca="false">IF(A34&lt;0,($F$6+A34)/$F$6,0)</f>
        <v>0</v>
      </c>
      <c r="D34" s="258" t="n">
        <f aca="false">B34*C34</f>
        <v>0</v>
      </c>
      <c r="E34" s="259" t="n">
        <f aca="false">IF(A34&lt;0,B34/$F$6,0)</f>
        <v>0</v>
      </c>
      <c r="F34" s="252"/>
      <c r="G34" s="252"/>
      <c r="H34" s="252"/>
      <c r="I34" s="252"/>
    </row>
    <row r="35" s="199" customFormat="true" ht="12.65" hidden="false" customHeight="false" outlineLevel="0" collapsed="false">
      <c r="A35" s="199" t="s">
        <v>291</v>
      </c>
      <c r="D35" s="260" t="n">
        <f aca="false">SUM(D24:D34)</f>
        <v>30662.5</v>
      </c>
      <c r="E35" s="220" t="n">
        <f aca="false">SUM(E25:E34)</f>
        <v>14312.5</v>
      </c>
    </row>
    <row r="37" s="199" customFormat="true" ht="12.65" hidden="false" customHeight="false" outlineLevel="0" collapsed="false">
      <c r="A37" s="199" t="s">
        <v>292</v>
      </c>
      <c r="D37" s="260" t="n">
        <f aca="false">E35</f>
        <v>14312.5</v>
      </c>
    </row>
    <row r="38" s="199" customFormat="true" ht="12.65" hidden="false" customHeight="false" outlineLevel="0" collapsed="false"/>
    <row r="39" s="199" customFormat="true" ht="12.65" hidden="false" customHeight="false" outlineLevel="0" collapsed="false">
      <c r="A39" s="199" t="s">
        <v>293</v>
      </c>
      <c r="D39" s="261" t="n">
        <f aca="false">F7-D37</f>
        <v>8307.5</v>
      </c>
      <c r="E39" s="199" t="s">
        <v>294</v>
      </c>
    </row>
    <row r="40" customFormat="false" ht="12.65" hidden="false" customHeight="false" outlineLevel="0" collapsed="false">
      <c r="A40" s="0" t="s">
        <v>295</v>
      </c>
      <c r="D40" s="262" t="n">
        <f aca="false">D39*'Input sheet'!B21</f>
        <v>1993.8</v>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f aca="false">'Cost of capital worksheet'!B23</f>
        <v>0.0399</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v>5</v>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v>1</v>
      </c>
      <c r="B22" s="200" t="n">
        <f aca="false">B7</f>
        <v>2427</v>
      </c>
      <c r="C22" s="201" t="n">
        <f aca="false">B22/(1+$C$15)^A22</f>
        <v>2333.87825752476</v>
      </c>
    </row>
    <row r="23" s="199" customFormat="true" ht="12.65" hidden="false" customHeight="false" outlineLevel="0" collapsed="false">
      <c r="A23" s="219" t="n">
        <f aca="false">A8</f>
        <v>2</v>
      </c>
      <c r="B23" s="200" t="n">
        <f aca="false">B8</f>
        <v>2376</v>
      </c>
      <c r="C23" s="201" t="n">
        <f aca="false">B23/(1+$C$15)^A23</f>
        <v>2208.62213360632</v>
      </c>
    </row>
    <row r="24" s="199" customFormat="true" ht="12.65" hidden="false" customHeight="false" outlineLevel="0" collapsed="false">
      <c r="A24" s="219" t="n">
        <f aca="false">A9</f>
        <v>3</v>
      </c>
      <c r="B24" s="200" t="n">
        <f aca="false">B9</f>
        <v>2258</v>
      </c>
      <c r="C24" s="201" t="n">
        <f aca="false">B24/(1+$C$15)^A24</f>
        <v>2023.6547153317</v>
      </c>
    </row>
    <row r="25" s="199" customFormat="true" ht="12.65" hidden="false" customHeight="false" outlineLevel="0" collapsed="false">
      <c r="A25" s="219" t="n">
        <f aca="false">A10</f>
        <v>4</v>
      </c>
      <c r="B25" s="200" t="n">
        <f aca="false">B10</f>
        <v>2039</v>
      </c>
      <c r="C25" s="201" t="n">
        <f aca="false">B25/(1+$C$15)^A25</f>
        <v>1761.84295174398</v>
      </c>
    </row>
    <row r="26" s="199" customFormat="true" ht="12.65" hidden="false" customHeight="false" outlineLevel="0" collapsed="false">
      <c r="A26" s="219" t="n">
        <f aca="false">A11</f>
        <v>5</v>
      </c>
      <c r="B26" s="200" t="n">
        <f aca="false">B11</f>
        <v>1813</v>
      </c>
      <c r="C26" s="201" t="n">
        <f aca="false">B26/(1+$C$15)^A26</f>
        <v>1510.37665234438</v>
      </c>
    </row>
    <row r="27" s="199" customFormat="true" ht="12.65" hidden="false" customHeight="false" outlineLevel="0" collapsed="false">
      <c r="A27" s="269" t="str">
        <f aca="false">A12</f>
        <v>6 and beyond</v>
      </c>
      <c r="B27" s="270" t="n">
        <f aca="false">IF(B12&gt;0,IF(D18&gt;0,B12/D18,B12),0)</f>
        <v>2387</v>
      </c>
      <c r="C27" s="271" t="n">
        <f aca="false">IF(D18&gt;0,(B27*(1-(1+C15)^(-D18))/C15)/(1+$C$15)^5,B27/(1+C15)^6)</f>
        <v>8922.80836438453</v>
      </c>
      <c r="D27" s="199" t="s">
        <v>309</v>
      </c>
    </row>
    <row r="28" s="199" customFormat="true" ht="12.65" hidden="false" customHeight="false" outlineLevel="0" collapsed="false">
      <c r="A28" s="272" t="s">
        <v>310</v>
      </c>
      <c r="B28" s="273"/>
      <c r="C28" s="274" t="n">
        <f aca="false">SUM(C22:C27)</f>
        <v>18761.1830749357</v>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v>1876.11830749357</v>
      </c>
      <c r="G31" s="199" t="s">
        <v>313</v>
      </c>
    </row>
    <row r="32" s="199" customFormat="true" ht="12.65" hidden="false" customHeight="false" outlineLevel="0" collapsed="false">
      <c r="A32" s="199" t="s">
        <v>314</v>
      </c>
      <c r="F32" s="275" t="n">
        <f aca="false">E4-F31</f>
        <v>323.881692506433</v>
      </c>
      <c r="G32" s="199" t="s">
        <v>315</v>
      </c>
    </row>
    <row r="33" s="199" customFormat="true" ht="12.65" hidden="false" customHeight="false" outlineLevel="0" collapsed="false">
      <c r="A33" s="199" t="s">
        <v>316</v>
      </c>
      <c r="F33" s="276" t="n">
        <f aca="false">C28</f>
        <v>18761.1830749357</v>
      </c>
      <c r="G33" s="199" t="s">
        <v>317</v>
      </c>
    </row>
    <row r="34" customFormat="false" ht="12.65" hidden="false" customHeight="false" outlineLevel="0" collapsed="false">
      <c r="A34" s="199" t="s">
        <v>318</v>
      </c>
      <c r="F34" s="277" t="n">
        <f aca="false">C28/(5+D18)</f>
        <v>1876.11830749357</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v>0.0508</v>
      </c>
      <c r="J3" s="203" t="n">
        <f aca="false">IF(H3&gt;0,H3/$H$16,)</f>
        <v>0.677397591445245</v>
      </c>
      <c r="K3" s="203" t="n">
        <f aca="false">IF(J3=0,0,I3*J3)</f>
        <v>0.0344117976454185</v>
      </c>
      <c r="M3" s="287" t="s">
        <v>327</v>
      </c>
      <c r="N3" s="287"/>
      <c r="O3" s="287"/>
      <c r="P3" s="287"/>
      <c r="Q3" s="287"/>
    </row>
    <row r="4" s="199" customFormat="true" ht="15" hidden="false" customHeight="true" outlineLevel="0" collapsed="false">
      <c r="A4" s="285" t="s">
        <v>328</v>
      </c>
      <c r="B4" s="202" t="n">
        <f aca="false">'Input sheet'!B18</f>
        <v>497</v>
      </c>
      <c r="G4" s="286" t="s">
        <v>329</v>
      </c>
      <c r="H4" s="286" t="n">
        <v>16951</v>
      </c>
      <c r="I4" s="203" t="n">
        <f aca="false">IF(H4=0,0,VLOOKUP(G4,'Country equity risk premiums'!$A$2:$D$187,4))</f>
        <v>0.0508</v>
      </c>
      <c r="J4" s="203" t="n">
        <f aca="false">IF(H4&gt;0,H4/$H$16,)</f>
        <v>0.095302081342134</v>
      </c>
      <c r="K4" s="203" t="n">
        <f aca="false">IF(J4=0,0,I4*J4)</f>
        <v>0.00484134573218041</v>
      </c>
      <c r="M4" s="287"/>
      <c r="N4" s="287"/>
      <c r="O4" s="287"/>
      <c r="P4" s="287"/>
      <c r="Q4" s="287"/>
    </row>
    <row r="5" s="199" customFormat="true" ht="15" hidden="false" customHeight="true" outlineLevel="0" collapsed="false">
      <c r="A5" s="285" t="s">
        <v>330</v>
      </c>
      <c r="B5" s="200" t="n">
        <f aca="false">'Input sheet'!B19</f>
        <v>1970.19</v>
      </c>
      <c r="G5" s="286" t="s">
        <v>331</v>
      </c>
      <c r="H5" s="286" t="n">
        <v>11372</v>
      </c>
      <c r="I5" s="203" t="n">
        <f aca="false">IF(H5=0,0,VLOOKUP(G5,'Country equity risk premiums'!$A$2:$D$187,4))</f>
        <v>0.0565201482060169</v>
      </c>
      <c r="J5" s="203" t="n">
        <f aca="false">IF(H5&gt;0,H5/$H$16,)</f>
        <v>0.0639357718732079</v>
      </c>
      <c r="K5" s="203" t="n">
        <f aca="false">IF(J5=0,0,I5*J5)</f>
        <v>0.0036136593019398</v>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v>0.0589122101830785</v>
      </c>
      <c r="J6" s="203" t="n">
        <f aca="false">IF(H6&gt;0,H6/$H$16,)</f>
        <v>0.0669436542115975</v>
      </c>
      <c r="K6" s="203" t="n">
        <f aca="false">IF(J6=0,0,I6*J6)</f>
        <v>0.00394379862733696</v>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v>0</v>
      </c>
      <c r="J7" s="203" t="n">
        <f aca="false">IF(H7&gt;0,H7/$H$16,)</f>
        <v>0</v>
      </c>
      <c r="K7" s="203" t="n">
        <f aca="false">IF(J7=0,0,I7*J7)</f>
        <v>0</v>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v>0</v>
      </c>
      <c r="J8" s="203" t="n">
        <f aca="false">IF(H8&gt;0,H8/$H$16,)</f>
        <v>0</v>
      </c>
      <c r="K8" s="203" t="n">
        <f aca="false">IF(J8=0,0,I8*J8)</f>
        <v>0</v>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v>0.950939339462759</v>
      </c>
      <c r="G9" s="286"/>
      <c r="H9" s="286"/>
      <c r="I9" s="203" t="n">
        <f aca="false">IF(H9=0,0,VLOOKUP(G9,'Country equity risk premiums'!$A$2:$D$187,4))</f>
        <v>0</v>
      </c>
      <c r="J9" s="203" t="n">
        <f aca="false">IF(H9&gt;0,H9/$H$16,)</f>
        <v>0</v>
      </c>
      <c r="K9" s="203" t="n">
        <f aca="false">IF(J9=0,0,I9*J9)</f>
        <v>0</v>
      </c>
      <c r="M9" s="287"/>
      <c r="N9" s="287"/>
      <c r="O9" s="287"/>
      <c r="P9" s="287"/>
      <c r="Q9" s="287"/>
    </row>
    <row r="10" s="199" customFormat="true" ht="15" hidden="false" customHeight="true" outlineLevel="0" collapsed="false">
      <c r="A10" s="199" t="s">
        <v>337</v>
      </c>
      <c r="B10" s="204" t="n">
        <f aca="false">'Input sheet'!B28</f>
        <v>0.03</v>
      </c>
      <c r="G10" s="286"/>
      <c r="H10" s="286"/>
      <c r="I10" s="203" t="n">
        <f aca="false">IF(H10=0,0,VLOOKUP(G10,'Country equity risk premiums'!$A$2:$D$187,4))</f>
        <v>0</v>
      </c>
      <c r="J10" s="203" t="n">
        <f aca="false">IF(H10&gt;0,H10/$H$16,)</f>
        <v>0</v>
      </c>
      <c r="K10" s="203" t="n">
        <f aca="false">IF(J10=0,0,I10*J10)</f>
        <v>0</v>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v>0</v>
      </c>
      <c r="J11" s="203" t="n">
        <f aca="false">IF(H11&gt;0,H11/$H$16,)</f>
        <v>0</v>
      </c>
      <c r="K11" s="203" t="n">
        <f aca="false">IF(J11=0,0,I11*J11)</f>
        <v>0</v>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v>0</v>
      </c>
      <c r="J12" s="203" t="n">
        <f aca="false">IF(H12&gt;0,H12/$H$16,)</f>
        <v>0</v>
      </c>
      <c r="K12" s="203" t="n">
        <f aca="false">IF(J12=0,0,I12*J12)</f>
        <v>0</v>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v>0.052798339266913</v>
      </c>
      <c r="G13" s="286"/>
      <c r="H13" s="286"/>
      <c r="I13" s="203" t="n">
        <f aca="false">IF(H13=0,0,VLOOKUP(G13,'Country equity risk premiums'!$A$2:$D$187,4))</f>
        <v>0</v>
      </c>
      <c r="J13" s="203" t="n">
        <f aca="false">IF(H13&gt;0,H13/$H$16,)</f>
        <v>0</v>
      </c>
      <c r="K13" s="203" t="n">
        <f aca="false">IF(J13=0,0,I13*J13)</f>
        <v>0</v>
      </c>
      <c r="M13" s="287"/>
      <c r="N13" s="287"/>
      <c r="O13" s="287"/>
      <c r="P13" s="287"/>
      <c r="Q13" s="287"/>
    </row>
    <row r="14" s="199" customFormat="true" ht="15" hidden="false" customHeight="true" outlineLevel="0" collapsed="false">
      <c r="B14" s="288"/>
      <c r="G14" s="293"/>
      <c r="H14" s="286"/>
      <c r="I14" s="293"/>
      <c r="J14" s="203" t="n">
        <f aca="false">IF(H14&gt;0,H14/$H$16,)</f>
        <v>0</v>
      </c>
      <c r="K14" s="203" t="n">
        <f aca="false">IF(J14=0,0,I14*J14)</f>
        <v>0</v>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v>0.0964209011278153</v>
      </c>
      <c r="K15" s="203" t="n">
        <f aca="false">IF(J15=0,0,I15*J15)</f>
        <v>0.00598773796003733</v>
      </c>
      <c r="M15" s="287"/>
      <c r="N15" s="287"/>
      <c r="O15" s="287"/>
      <c r="P15" s="287"/>
      <c r="Q15" s="287"/>
    </row>
    <row r="16" s="199" customFormat="true" ht="15" hidden="false" customHeight="true" outlineLevel="0" collapsed="false">
      <c r="A16" s="199" t="s">
        <v>344</v>
      </c>
      <c r="B16" s="200" t="n">
        <f aca="false">'Input sheet'!B12</f>
        <v>27050</v>
      </c>
      <c r="G16" s="295" t="s">
        <v>345</v>
      </c>
      <c r="H16" s="295" t="n">
        <f aca="false">SUM(H3:H15)</f>
        <v>177866</v>
      </c>
      <c r="I16" s="295"/>
      <c r="J16" s="203" t="n">
        <f aca="false">SUM(J3:J15)</f>
        <v>1</v>
      </c>
      <c r="K16" s="203" t="n">
        <f aca="false">SUM(K3:K15)</f>
        <v>0.052798339266913</v>
      </c>
      <c r="M16" s="287"/>
      <c r="N16" s="287"/>
      <c r="O16" s="287"/>
      <c r="P16" s="287"/>
      <c r="Q16" s="287"/>
    </row>
    <row r="17" s="199" customFormat="true" ht="15" hidden="false" customHeight="true" outlineLevel="0" collapsed="false">
      <c r="A17" s="199" t="s">
        <v>346</v>
      </c>
      <c r="B17" s="200" t="n">
        <f aca="false">'Input sheet'!B10</f>
        <v>1239</v>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v>Africa &amp; Mid East</v>
      </c>
      <c r="H19" s="286" t="n">
        <v>0</v>
      </c>
      <c r="I19" s="218" t="n">
        <f aca="false">'Country equity risk premiums'!B191</f>
        <v>0.0810973573193416</v>
      </c>
      <c r="J19" s="203" t="n">
        <f aca="false">H19/$H$30</f>
        <v>0</v>
      </c>
      <c r="K19" s="297" t="n">
        <f aca="false">I19*J19</f>
        <v>0</v>
      </c>
    </row>
    <row r="20" s="199" customFormat="true" ht="15" hidden="false" customHeight="true" outlineLevel="0" collapsed="false">
      <c r="A20" s="199" t="s">
        <v>352</v>
      </c>
      <c r="B20" s="298" t="n">
        <v>0.035</v>
      </c>
      <c r="G20" s="219" t="str">
        <f aca="false">'Country equity risk premiums'!A192</f>
        <v>Australia, NZ &amp; Canada</v>
      </c>
      <c r="H20" s="286" t="n">
        <f aca="false">3159+4281</f>
        <v>7440</v>
      </c>
      <c r="I20" s="218" t="n">
        <f aca="false">'Country equity risk premiums'!B192</f>
        <v>0.0508213236594338</v>
      </c>
      <c r="J20" s="203" t="n">
        <f aca="false">H20/$H$30</f>
        <v>0.0734423122482824</v>
      </c>
      <c r="K20" s="297" t="n">
        <f aca="false">I20*J20</f>
        <v>0.00373243552106716</v>
      </c>
    </row>
    <row r="21" s="199" customFormat="true" ht="15" hidden="false" customHeight="true" outlineLevel="0" collapsed="false">
      <c r="A21" s="199" t="s">
        <v>353</v>
      </c>
      <c r="B21" s="249" t="s">
        <v>354</v>
      </c>
      <c r="G21" s="219" t="str">
        <f aca="false">'Country equity risk premiums'!A193</f>
        <v>Latin America &amp; Caribbean</v>
      </c>
      <c r="H21" s="286"/>
      <c r="I21" s="218" t="n">
        <f aca="false">'Country equity risk premiums'!B193</f>
        <v>0.0875049409395326</v>
      </c>
      <c r="J21" s="203" t="n">
        <f aca="false">H21/$H$30</f>
        <v>0</v>
      </c>
      <c r="K21" s="297" t="n">
        <f aca="false">I21*J21</f>
        <v>0</v>
      </c>
    </row>
    <row r="22" s="199" customFormat="true" ht="15" hidden="false" customHeight="true" outlineLevel="0" collapsed="false">
      <c r="A22" s="199" t="s">
        <v>355</v>
      </c>
      <c r="B22" s="249" t="n">
        <v>1</v>
      </c>
      <c r="G22" s="219" t="str">
        <f aca="false">'Country equity risk premiums'!A194</f>
        <v>Japan</v>
      </c>
      <c r="H22" s="286" t="n">
        <v>0</v>
      </c>
      <c r="I22" s="218" t="n">
        <f aca="false">'Country equity risk premiums'!B194</f>
        <v>0.0589122101830785</v>
      </c>
      <c r="J22" s="203" t="n">
        <f aca="false">H22/$H$30</f>
        <v>0</v>
      </c>
      <c r="K22" s="297" t="n">
        <f aca="false">I22*J22</f>
        <v>0</v>
      </c>
    </row>
    <row r="23" s="199" customFormat="true" ht="15" hidden="false" customHeight="true" outlineLevel="0" collapsed="false">
      <c r="A23" s="199" t="s">
        <v>303</v>
      </c>
      <c r="B23" s="292" t="n">
        <f aca="false">IF(B19="Direct Input",B20,IF(B19="Synthetic Rating",'Synthetic rating'!D13,B10+VLOOKUP('Cost of capital worksheet'!B21,'Synthetic rating'!G39:H53,2)))</f>
        <v>0.0399</v>
      </c>
      <c r="G23" s="219" t="str">
        <f aca="false">'Country equity risk premiums'!A195</f>
        <v>US</v>
      </c>
      <c r="H23" s="286" t="n">
        <v>0</v>
      </c>
      <c r="I23" s="218" t="n">
        <f aca="false">'Country equity risk premiums'!B195</f>
        <v>0.0508</v>
      </c>
      <c r="J23" s="203" t="n">
        <f aca="false">H23/$H$30</f>
        <v>0</v>
      </c>
      <c r="K23" s="297" t="n">
        <f aca="false">I23*J23</f>
        <v>0</v>
      </c>
    </row>
    <row r="24" s="199" customFormat="true" ht="15" hidden="false" customHeight="true" outlineLevel="0" collapsed="false">
      <c r="A24" s="199" t="s">
        <v>356</v>
      </c>
      <c r="B24" s="299" t="n">
        <f aca="false">'Input sheet'!B21</f>
        <v>0.24</v>
      </c>
      <c r="G24" s="219" t="str">
        <f aca="false">'Country equity risk premiums'!A196</f>
        <v>Europe</v>
      </c>
      <c r="H24" s="286"/>
      <c r="I24" s="218" t="n">
        <f aca="false">'Country equity risk premiums'!B196</f>
        <v>0.0600581300256453</v>
      </c>
      <c r="J24" s="203" t="n">
        <f aca="false">H24/$H$30</f>
        <v>0</v>
      </c>
      <c r="K24" s="297" t="n">
        <f aca="false">I24*J24</f>
        <v>0</v>
      </c>
    </row>
    <row r="25" s="199" customFormat="true" ht="15" hidden="false" customHeight="true" outlineLevel="0" collapsed="false">
      <c r="B25" s="288"/>
      <c r="G25" s="219" t="str">
        <f aca="false">'Country equity risk premiums'!A197</f>
        <v>Emerging Markets</v>
      </c>
      <c r="H25" s="286" t="n">
        <v>0</v>
      </c>
      <c r="I25" s="218" t="n">
        <f aca="false">'Country equity risk premiums'!B197</f>
        <v>0.0714100100784737</v>
      </c>
      <c r="J25" s="203" t="n">
        <f aca="false">H25/$H$30</f>
        <v>0</v>
      </c>
      <c r="K25" s="297" t="n">
        <f aca="false">I25*J25</f>
        <v>0</v>
      </c>
    </row>
    <row r="26" s="199" customFormat="true" ht="15" hidden="false" customHeight="true" outlineLevel="0" collapsed="false">
      <c r="A26" s="199" t="s">
        <v>357</v>
      </c>
      <c r="B26" s="296" t="n">
        <v>0</v>
      </c>
      <c r="G26" s="219" t="str">
        <f aca="false">'Country equity risk premiums'!A198</f>
        <v>Small Asia (No India, China &amp; Japan)</v>
      </c>
      <c r="H26" s="286" t="n">
        <v>93864</v>
      </c>
      <c r="I26" s="218" t="n">
        <f aca="false">'Country equity risk premiums'!B198</f>
        <v>0.0692637976574064</v>
      </c>
      <c r="J26" s="203" t="n">
        <f aca="false">H26/$H$30</f>
        <v>0.926557687751718</v>
      </c>
      <c r="K26" s="297" t="n">
        <f aca="false">I26*J26</f>
        <v>0.0641769042023493</v>
      </c>
    </row>
    <row r="27" s="199" customFormat="true" ht="15" hidden="false" customHeight="true" outlineLevel="0" collapsed="false">
      <c r="A27" s="199" t="s">
        <v>358</v>
      </c>
      <c r="B27" s="296" t="n">
        <v>0</v>
      </c>
      <c r="G27" s="219" t="str">
        <f aca="false">'Country equity risk premiums'!A199</f>
        <v>North America</v>
      </c>
      <c r="H27" s="286"/>
      <c r="I27" s="218" t="n">
        <f aca="false">'Country equity risk premiums'!B199</f>
        <v>0.0508</v>
      </c>
      <c r="J27" s="203" t="n">
        <f aca="false">H27/$H$30</f>
        <v>0</v>
      </c>
      <c r="K27" s="297" t="n">
        <f aca="false">I27*J27</f>
        <v>0</v>
      </c>
    </row>
    <row r="28" s="199" customFormat="true" ht="15" hidden="false" customHeight="true" outlineLevel="0" collapsed="false">
      <c r="A28" s="199" t="s">
        <v>359</v>
      </c>
      <c r="B28" s="296" t="n">
        <v>0</v>
      </c>
      <c r="G28" s="286"/>
      <c r="H28" s="286"/>
      <c r="I28" s="300"/>
      <c r="J28" s="203" t="n">
        <f aca="false">H28/$H$30</f>
        <v>0</v>
      </c>
      <c r="K28" s="297" t="n">
        <f aca="false">I28*J28</f>
        <v>0</v>
      </c>
    </row>
    <row r="29" s="199" customFormat="true" ht="15" hidden="false" customHeight="true" outlineLevel="0" collapsed="false">
      <c r="A29" s="199" t="s">
        <v>360</v>
      </c>
      <c r="B29" s="296" t="n">
        <v>0</v>
      </c>
      <c r="G29" s="286"/>
      <c r="H29" s="286"/>
      <c r="I29" s="300"/>
      <c r="J29" s="203" t="n">
        <f aca="false">H29/$H$30</f>
        <v>0</v>
      </c>
      <c r="K29" s="297" t="n">
        <f aca="false">I29*J29</f>
        <v>0</v>
      </c>
    </row>
    <row r="30" s="199" customFormat="true" ht="15" hidden="false" customHeight="true" outlineLevel="0" collapsed="false">
      <c r="B30" s="288"/>
      <c r="G30" s="295" t="s">
        <v>345</v>
      </c>
      <c r="H30" s="295" t="n">
        <f aca="false">SUM(H19:H29)</f>
        <v>101304</v>
      </c>
      <c r="I30" s="204"/>
      <c r="J30" s="203" t="n">
        <f aca="false">SUM(J19:J29)</f>
        <v>1</v>
      </c>
      <c r="K30" s="301" t="n">
        <f aca="false">SUM(K19:K29)</f>
        <v>0.0679093397234164</v>
      </c>
    </row>
    <row r="31" s="199" customFormat="true" ht="15" hidden="false" customHeight="true" outlineLevel="0" collapsed="false">
      <c r="A31" s="199" t="s">
        <v>361</v>
      </c>
      <c r="B31" s="200" t="n">
        <f aca="false">IF('Input sheet'!B14="Yes",'Operating lease converter'!F33,0)</f>
        <v>18761.1830749357</v>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v>1.66386966000154</v>
      </c>
      <c r="J34" s="305" t="n">
        <f aca="false">H34*I34</f>
        <v>116.470876200108</v>
      </c>
      <c r="K34" s="304" t="n">
        <f aca="false">IF(I34=0,0,VLOOKUP(G34,'Industry Averages(US)'!$A$2:$S$95,7))</f>
        <v>0.784278970594292</v>
      </c>
    </row>
    <row r="35" s="199" customFormat="true" ht="15" hidden="false" customHeight="true" outlineLevel="0" collapsed="false">
      <c r="A35" s="199" t="s">
        <v>370</v>
      </c>
      <c r="B35" s="296" t="n">
        <v>70</v>
      </c>
      <c r="G35" s="286" t="s">
        <v>371</v>
      </c>
      <c r="H35" s="303" t="n">
        <v>30</v>
      </c>
      <c r="I35" s="304" t="n">
        <f aca="false">IF(G35=0,,VLOOKUP(G35,'Industry Averages(US)'!$A$2:$S$95,15))</f>
        <v>1.33778091694971</v>
      </c>
      <c r="J35" s="305" t="n">
        <f aca="false">H35*I35</f>
        <v>40.1334275084912</v>
      </c>
      <c r="K35" s="304" t="n">
        <f aca="false">IF(I35=0,0,VLOOKUP(G35,'Industry Averages(US)'!$A$2:$S$95,7))</f>
        <v>0.9440317653238</v>
      </c>
    </row>
    <row r="36" s="199" customFormat="true" ht="15" hidden="false" customHeight="true" outlineLevel="0" collapsed="false">
      <c r="A36" s="199" t="s">
        <v>372</v>
      </c>
      <c r="B36" s="296" t="n">
        <v>5</v>
      </c>
      <c r="G36" s="286"/>
      <c r="H36" s="303"/>
      <c r="I36" s="304" t="n">
        <f aca="false">IF(G36=0,,VLOOKUP(G36,'Industry Averages(US)'!$A$2:$S$95,15))</f>
        <v>0</v>
      </c>
      <c r="J36" s="305" t="n">
        <f aca="false">H36*I36</f>
        <v>0</v>
      </c>
      <c r="K36" s="304" t="n">
        <f aca="false">IF(I36=0,0,VLOOKUP(G36,'Industry Averages(US)'!$A$2:$S$95,7))</f>
        <v>0</v>
      </c>
    </row>
    <row r="37" s="199" customFormat="true" ht="15" hidden="false" customHeight="true" outlineLevel="0" collapsed="false">
      <c r="G37" s="286"/>
      <c r="H37" s="303"/>
      <c r="I37" s="304" t="n">
        <f aca="false">IF(G37=0,,VLOOKUP(G37,'Industry Averages(US)'!$A$2:$S$95,15))</f>
        <v>0</v>
      </c>
      <c r="J37" s="305" t="n">
        <f aca="false">H37*I37</f>
        <v>0</v>
      </c>
      <c r="K37" s="304" t="n">
        <f aca="false">IF(I37=0,0,VLOOKUP(G37,'Industry Averages(US)'!$A$2:$S$95,7))</f>
        <v>0</v>
      </c>
    </row>
    <row r="38" s="306" customFormat="true" ht="15" hidden="false" customHeight="true" outlineLevel="0" collapsed="false">
      <c r="A38" s="206" t="s">
        <v>286</v>
      </c>
      <c r="B38" s="199"/>
      <c r="C38" s="199"/>
      <c r="D38" s="199"/>
      <c r="E38" s="199"/>
      <c r="F38" s="199"/>
      <c r="G38" s="286"/>
      <c r="H38" s="303"/>
      <c r="I38" s="304" t="n">
        <f aca="false">IF(G38=0,,VLOOKUP(G38,'Industry Averages(US)'!$A$2:$S$95,15))</f>
        <v>0</v>
      </c>
      <c r="J38" s="305" t="n">
        <f aca="false">H38*I38</f>
        <v>0</v>
      </c>
      <c r="K38" s="304" t="n">
        <f aca="false">IF(I38=0,0,VLOOKUP(G38,'Industry Averages(US)'!$A$2:$S$95,7))</f>
        <v>0</v>
      </c>
    </row>
    <row r="39" s="199" customFormat="true" ht="15" hidden="false" customHeight="true" outlineLevel="0" collapsed="false">
      <c r="A39" s="219" t="s">
        <v>373</v>
      </c>
      <c r="B39" s="219"/>
      <c r="C39" s="201" t="n">
        <f aca="false">B17*(1-(1+B23)^(-B18))/B23+B16/(1+B23)^B18</f>
        <v>27493.2800428634</v>
      </c>
      <c r="G39" s="286"/>
      <c r="H39" s="303"/>
      <c r="I39" s="304" t="n">
        <f aca="false">IF(G39=0,,VLOOKUP(G39,'Industry Averages(US)'!$A$2:$S$95,15))</f>
        <v>0</v>
      </c>
      <c r="J39" s="305" t="n">
        <f aca="false">H39*I39</f>
        <v>0</v>
      </c>
      <c r="K39" s="304" t="n">
        <f aca="false">IF(I39=0,0,VLOOKUP(G39,'Industry Averages(US)'!$A$2:$S$95,7))</f>
        <v>0</v>
      </c>
    </row>
    <row r="40" s="199" customFormat="true" ht="15" hidden="false" customHeight="true" outlineLevel="0" collapsed="false">
      <c r="A40" s="219" t="s">
        <v>374</v>
      </c>
      <c r="B40" s="219"/>
      <c r="C40" s="201" t="n">
        <f aca="false">B27*(1-(1+B23)^(-B28))/B23+B26/(1+B23)^B28</f>
        <v>0</v>
      </c>
      <c r="G40" s="286"/>
      <c r="H40" s="303"/>
      <c r="I40" s="304" t="n">
        <f aca="false">IF(G40=0,,VLOOKUP(G40,'Industry Averages(US)'!$A$2:$S$95,15))</f>
        <v>0</v>
      </c>
      <c r="J40" s="305" t="n">
        <f aca="false">H40*I40</f>
        <v>0</v>
      </c>
      <c r="K40" s="304" t="n">
        <f aca="false">IF(I40=0,0,VLOOKUP(G40,'Industry Averages(US)'!$A$2:$S$95,7))</f>
        <v>0</v>
      </c>
    </row>
    <row r="41" s="199" customFormat="true" ht="15" hidden="false" customHeight="true" outlineLevel="0" collapsed="false">
      <c r="A41" s="219" t="s">
        <v>375</v>
      </c>
      <c r="B41" s="219"/>
      <c r="C41" s="201" t="n">
        <f aca="false">B31</f>
        <v>18761.1830749357</v>
      </c>
      <c r="G41" s="286"/>
      <c r="H41" s="303"/>
      <c r="I41" s="304" t="n">
        <f aca="false">IF(G41=0,,VLOOKUP(G41,'Industry Averages(US)'!$A$2:$S$95,15))</f>
        <v>0</v>
      </c>
      <c r="J41" s="305" t="n">
        <f aca="false">H41*I41</f>
        <v>0</v>
      </c>
      <c r="K41" s="304" t="n">
        <f aca="false">IF(I41=0,0,VLOOKUP(G41,'Industry Averages(US)'!$A$2:$S$95,7))</f>
        <v>0</v>
      </c>
    </row>
    <row r="42" customFormat="false" ht="12.65" hidden="false" customHeight="false" outlineLevel="0" collapsed="false">
      <c r="A42" s="219" t="s">
        <v>376</v>
      </c>
      <c r="B42" s="219"/>
      <c r="C42" s="201" t="n">
        <f aca="false">B29-C40</f>
        <v>0</v>
      </c>
      <c r="D42" s="199"/>
      <c r="E42" s="199"/>
      <c r="F42" s="199"/>
      <c r="G42" s="286"/>
      <c r="H42" s="303"/>
      <c r="I42" s="304" t="n">
        <f aca="false">IF(G42=0,,VLOOKUP(G42,'Industry Averages(US)'!$A$2:$S$95,15))</f>
        <v>0</v>
      </c>
      <c r="J42" s="305" t="n">
        <f aca="false">H42*I42</f>
        <v>0</v>
      </c>
      <c r="K42" s="304" t="n">
        <f aca="false">IF(I42=0,0,VLOOKUP(G42,'Industry Averages(US)'!$A$2:$S$95,7))</f>
        <v>0</v>
      </c>
    </row>
    <row r="43" customFormat="false" ht="12.65" hidden="false" customHeight="false" outlineLevel="0" collapsed="false">
      <c r="A43" s="219" t="s">
        <v>377</v>
      </c>
      <c r="B43" s="219"/>
      <c r="C43" s="307" t="n">
        <f aca="false">IF(B7="Direct Input",B8,B9*(1+(1-B24)*(C46/B46)))</f>
        <v>0.985078713328597</v>
      </c>
      <c r="D43" s="199"/>
      <c r="E43" s="199"/>
      <c r="F43" s="199"/>
      <c r="G43" s="286"/>
      <c r="H43" s="303"/>
      <c r="I43" s="304" t="n">
        <f aca="false">IF(G43=0,,VLOOKUP(G43,'Industry Averages(US)'!$A$2:$S$95,15))</f>
        <v>0</v>
      </c>
      <c r="J43" s="305" t="n">
        <f aca="false">H43*I43</f>
        <v>0</v>
      </c>
      <c r="K43" s="304" t="n">
        <f aca="false">IF(I43=0,0,VLOOKUP(G43,'Industry Averages(US)'!$A$2:$S$95,7))</f>
        <v>0</v>
      </c>
    </row>
    <row r="44" customFormat="false" ht="12.65" hidden="false" customHeight="false" outlineLevel="0" collapsed="false">
      <c r="A44" s="199"/>
      <c r="B44" s="199"/>
      <c r="C44" s="307"/>
      <c r="D44" s="199"/>
      <c r="E44" s="199"/>
      <c r="F44" s="199"/>
      <c r="G44" s="286"/>
      <c r="H44" s="303"/>
      <c r="I44" s="304" t="n">
        <f aca="false">IF(G44=0,,VLOOKUP(G44,'Industry Averages(US)'!$A$2:$S$95,15))</f>
        <v>0</v>
      </c>
      <c r="J44" s="305" t="n">
        <f aca="false">H44*I44</f>
        <v>0</v>
      </c>
      <c r="K44" s="304" t="n">
        <f aca="false">IF(I44=0,0,VLOOKUP(G44,'Industry Averages(US)'!$A$2:$S$95,7))</f>
        <v>0</v>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v>0</v>
      </c>
      <c r="J45" s="305" t="n">
        <f aca="false">H45*I45</f>
        <v>0</v>
      </c>
      <c r="K45" s="304" t="n">
        <f aca="false">IF(I45=0,0,VLOOKUP(G45,'Industry Averages(US)'!$A$2:$S$95,7))</f>
        <v>0</v>
      </c>
    </row>
    <row r="46" customFormat="false" ht="12.65" hidden="false" customHeight="false" outlineLevel="0" collapsed="false">
      <c r="A46" s="219" t="s">
        <v>380</v>
      </c>
      <c r="B46" s="201" t="n">
        <f aca="false">B4*B5</f>
        <v>979184.43</v>
      </c>
      <c r="C46" s="201" t="n">
        <f aca="false">C39+C40+C41</f>
        <v>46254.463117799</v>
      </c>
      <c r="D46" s="201" t="n">
        <f aca="false">B34*B35</f>
        <v>0</v>
      </c>
      <c r="E46" s="200" t="n">
        <f aca="false">SUM(B46:D46)</f>
        <v>1025438.8931178</v>
      </c>
      <c r="F46" s="199"/>
      <c r="G46" s="309" t="s">
        <v>57</v>
      </c>
      <c r="H46" s="310" t="n">
        <f aca="false">SUM(H34:H45)</f>
        <v>100</v>
      </c>
      <c r="I46" s="311"/>
      <c r="J46" s="305" t="n">
        <f aca="false">SUM(J34:J45)</f>
        <v>156.604303708599</v>
      </c>
      <c r="K46" s="311" t="n">
        <f aca="false">K34*(J34/J46)+K35*J35/J46+K36*J36/J46+K37*J37/J46+K38*J38/J46+K39*J39/J46+K40*J40/J46+K41*J41/J46+K42*J42/J46+K43*J43/J46+K44*J44/J46+K45*J45/J46</f>
        <v>0.825219270795017</v>
      </c>
    </row>
    <row r="47" customFormat="false" ht="12.65" hidden="false" customHeight="false" outlineLevel="0" collapsed="false">
      <c r="A47" s="219" t="s">
        <v>381</v>
      </c>
      <c r="B47" s="203" t="n">
        <f aca="false">B46/$E$46</f>
        <v>0.95489300880995</v>
      </c>
      <c r="C47" s="203" t="n">
        <f aca="false">C46/$E$46</f>
        <v>0.0451069911900499</v>
      </c>
      <c r="D47" s="203" t="n">
        <f aca="false">D46/$E$46</f>
        <v>0</v>
      </c>
      <c r="E47" s="312" t="n">
        <f aca="false">SUM(B47:D47)</f>
        <v>1</v>
      </c>
      <c r="F47" s="199"/>
    </row>
    <row r="48" customFormat="false" ht="17.35" hidden="false" customHeight="false" outlineLevel="0" collapsed="false">
      <c r="A48" s="219" t="s">
        <v>382</v>
      </c>
      <c r="B48" s="204" t="n">
        <f aca="false">B10+C43*B13</f>
        <v>0.0820105201109374</v>
      </c>
      <c r="C48" s="203" t="n">
        <f aca="false">B23*(1-B24)</f>
        <v>0.030324</v>
      </c>
      <c r="D48" s="313" t="n">
        <f aca="false">B36/B35</f>
        <v>0.0714285714285714</v>
      </c>
      <c r="E48" s="314" t="n">
        <f aca="false">B47*B48+C47*C48+D47*D48</f>
        <v>0.079679096703649</v>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v>146033</v>
      </c>
      <c r="I50" s="304" t="n">
        <f aca="false">IF(G50=0,,VLOOKUP(G50,'Global industry averages'!$A$2:$O$95,15))</f>
        <v>0.818531004554023</v>
      </c>
      <c r="J50" s="305" t="n">
        <f aca="false">H50*I50</f>
        <v>119532.538188038</v>
      </c>
      <c r="K50" s="304" t="n">
        <f aca="false">IF(G50=0,,VLOOKUP(G50,'Global industry averages'!$A$2:$O$95,7))</f>
        <v>0.923355503995771</v>
      </c>
    </row>
    <row r="51" customFormat="false" ht="12.65" hidden="false" customHeight="false" outlineLevel="0" collapsed="false">
      <c r="G51" s="286" t="s">
        <v>384</v>
      </c>
      <c r="H51" s="303" t="n">
        <f aca="false">9721</f>
        <v>9721</v>
      </c>
      <c r="I51" s="304" t="n">
        <f aca="false">IF(G51=0,,VLOOKUP(G51,'Global industry averages'!$A$2:$O$95,15))</f>
        <v>2.89994157781106</v>
      </c>
      <c r="J51" s="305" t="n">
        <f aca="false">H51*I51</f>
        <v>28190.3320779013</v>
      </c>
      <c r="K51" s="304" t="n">
        <f aca="false">IF(G51=0,,VLOOKUP(G51,'Global industry averages'!$A$2:$O$95,7))</f>
        <v>1.01785234431027</v>
      </c>
    </row>
    <row r="52" customFormat="false" ht="12.65" hidden="false" customHeight="false" outlineLevel="0" collapsed="false">
      <c r="G52" s="286" t="s">
        <v>371</v>
      </c>
      <c r="H52" s="303" t="n">
        <v>17459</v>
      </c>
      <c r="I52" s="304" t="n">
        <f aca="false">IF(G52=0,,VLOOKUP(G52,'Global industry averages'!$A$2:$O$95,15))</f>
        <v>1.28994179094249</v>
      </c>
      <c r="J52" s="305" t="n">
        <f aca="false">H52*I52</f>
        <v>22521.0937280649</v>
      </c>
      <c r="K52" s="304" t="n">
        <f aca="false">IF(G52=0,,VLOOKUP(G52,'Global industry averages'!$A$2:$O$95,7))</f>
        <v>1.01358576580353</v>
      </c>
    </row>
    <row r="53" customFormat="false" ht="12.65" hidden="false" customHeight="false" outlineLevel="0" collapsed="false">
      <c r="G53" s="286"/>
      <c r="H53" s="303"/>
      <c r="I53" s="304" t="n">
        <f aca="false">IF(G53=0,,VLOOKUP(G53,'Global industry averages'!$A$2:$O$95,15))</f>
        <v>0</v>
      </c>
      <c r="J53" s="305" t="n">
        <f aca="false">H53*I53</f>
        <v>0</v>
      </c>
      <c r="K53" s="304" t="n">
        <f aca="false">IF(G53=0,,VLOOKUP(G53,'Global industry averages'!$A$2:$O$95,7))</f>
        <v>0</v>
      </c>
    </row>
    <row r="54" customFormat="false" ht="12.65" hidden="false" customHeight="false" outlineLevel="0" collapsed="false">
      <c r="G54" s="286"/>
      <c r="H54" s="303"/>
      <c r="I54" s="304" t="n">
        <f aca="false">IF(G54=0,,VLOOKUP(G54,'Global industry averages'!$A$2:$O$95,15))</f>
        <v>0</v>
      </c>
      <c r="J54" s="305" t="n">
        <f aca="false">H54*I54</f>
        <v>0</v>
      </c>
      <c r="K54" s="304" t="n">
        <f aca="false">IF(G54=0,,VLOOKUP(G54,'Global industry averages'!$A$2:$O$95,7))</f>
        <v>0</v>
      </c>
    </row>
    <row r="55" customFormat="false" ht="12.65" hidden="false" customHeight="false" outlineLevel="0" collapsed="false">
      <c r="G55" s="286"/>
      <c r="H55" s="303"/>
      <c r="I55" s="304" t="n">
        <f aca="false">IF(G55=0,,VLOOKUP(G55,'Global industry averages'!$A$2:$O$95,15))</f>
        <v>0</v>
      </c>
      <c r="J55" s="305" t="n">
        <f aca="false">H55*I55</f>
        <v>0</v>
      </c>
      <c r="K55" s="304" t="n">
        <f aca="false">IF(G55=0,,VLOOKUP(G55,'Global industry averages'!$A$2:$O$95,7))</f>
        <v>0</v>
      </c>
    </row>
    <row r="56" customFormat="false" ht="12.65" hidden="false" customHeight="false" outlineLevel="0" collapsed="false">
      <c r="G56" s="286"/>
      <c r="H56" s="303"/>
      <c r="I56" s="304" t="n">
        <f aca="false">IF(G56=0,,VLOOKUP(G56,'Global industry averages'!$A$2:$O$95,15))</f>
        <v>0</v>
      </c>
      <c r="J56" s="305" t="n">
        <f aca="false">H56*I56</f>
        <v>0</v>
      </c>
      <c r="K56" s="304" t="n">
        <f aca="false">IF(G56=0,,VLOOKUP(G56,'Global industry averages'!$A$2:$O$95,7))</f>
        <v>0</v>
      </c>
    </row>
    <row r="57" customFormat="false" ht="12.65" hidden="false" customHeight="false" outlineLevel="0" collapsed="false">
      <c r="G57" s="286"/>
      <c r="H57" s="303"/>
      <c r="I57" s="304" t="n">
        <f aca="false">IF(G57=0,,VLOOKUP(G57,'Global industry averages'!$A$2:$O$95,15))</f>
        <v>0</v>
      </c>
      <c r="J57" s="305" t="n">
        <f aca="false">H57*I57</f>
        <v>0</v>
      </c>
      <c r="K57" s="304" t="n">
        <f aca="false">IF(G57=0,,VLOOKUP(G57,'Global industry averages'!$A$2:$O$95,7))</f>
        <v>0</v>
      </c>
    </row>
    <row r="58" customFormat="false" ht="12.65" hidden="false" customHeight="false" outlineLevel="0" collapsed="false">
      <c r="G58" s="286"/>
      <c r="H58" s="303"/>
      <c r="I58" s="304" t="n">
        <f aca="false">IF(G58=0,,VLOOKUP(G58,'Global industry averages'!$A$2:$O$95,15))</f>
        <v>0</v>
      </c>
      <c r="J58" s="305" t="n">
        <f aca="false">H58*I58</f>
        <v>0</v>
      </c>
      <c r="K58" s="304" t="n">
        <f aca="false">IF(G58=0,,VLOOKUP(G58,'Global industry averages'!$A$2:$O$95,7))</f>
        <v>0</v>
      </c>
    </row>
    <row r="59" customFormat="false" ht="12.65" hidden="false" customHeight="false" outlineLevel="0" collapsed="false">
      <c r="G59" s="286"/>
      <c r="H59" s="303"/>
      <c r="I59" s="304" t="n">
        <f aca="false">IF(G59=0,,VLOOKUP(G59,'Global industry averages'!$A$2:$O$95,15))</f>
        <v>0</v>
      </c>
      <c r="J59" s="305" t="n">
        <f aca="false">H59*I59</f>
        <v>0</v>
      </c>
      <c r="K59" s="304" t="n">
        <f aca="false">IF(G59=0,,VLOOKUP(G59,'Global industry averages'!$A$2:$O$95,7))</f>
        <v>0</v>
      </c>
    </row>
    <row r="60" customFormat="false" ht="12.65" hidden="false" customHeight="false" outlineLevel="0" collapsed="false">
      <c r="G60" s="286"/>
      <c r="H60" s="303"/>
      <c r="I60" s="304" t="n">
        <f aca="false">IF(G60=0,,VLOOKUP(G60,'Global industry averages'!$A$2:$O$95,15))</f>
        <v>0</v>
      </c>
      <c r="J60" s="305" t="n">
        <f aca="false">H60*I60</f>
        <v>0</v>
      </c>
      <c r="K60" s="304" t="n">
        <f aca="false">IF(G60=0,,VLOOKUP(G60,'Global industry averages'!$A$2:$O$95,7))</f>
        <v>0</v>
      </c>
    </row>
    <row r="61" customFormat="false" ht="12.65" hidden="false" customHeight="false" outlineLevel="0" collapsed="false">
      <c r="G61" s="286"/>
      <c r="H61" s="303"/>
      <c r="I61" s="304" t="n">
        <f aca="false">IF(G61=0,,VLOOKUP(G61,'Global industry averages'!$A$2:$O$95,15))</f>
        <v>0</v>
      </c>
      <c r="J61" s="305" t="n">
        <f aca="false">H61*I61</f>
        <v>0</v>
      </c>
      <c r="K61" s="304" t="n">
        <f aca="false">IF(G61=0,,VLOOKUP(G61,'Global industry averages'!$A$2:$O$95,7))</f>
        <v>0</v>
      </c>
    </row>
    <row r="62" customFormat="false" ht="12.65" hidden="false" customHeight="false" outlineLevel="0" collapsed="false">
      <c r="G62" s="309" t="s">
        <v>57</v>
      </c>
      <c r="H62" s="310" t="n">
        <f aca="false">SUM(H50:H61)</f>
        <v>173213</v>
      </c>
      <c r="I62" s="311"/>
      <c r="J62" s="305" t="n">
        <f aca="false">SUM(J50:J61)</f>
        <v>170243.963994004</v>
      </c>
      <c r="K62" s="311" t="n">
        <f aca="false">K50*(J50/J62)+K51*J51/J62+K52*J52/J62+K53*J53/J62+K54*J54/J62+K55*J55/J62+K56*J56/J62+K57*J57/J62+K58*J58/J62+K59*J59/J62+K60*J60/J62+K61*J61/J62</f>
        <v>0.950939339462759</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v>1</v>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v>9585</v>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v>1987.57120468993</v>
      </c>
      <c r="G6" s="199" t="s">
        <v>392</v>
      </c>
      <c r="H6" s="199"/>
      <c r="I6" s="199"/>
      <c r="J6" s="199"/>
    </row>
    <row r="7" s="318" customFormat="true" ht="12.65" hidden="false" customHeight="false" outlineLevel="0" collapsed="false">
      <c r="A7" s="199" t="s">
        <v>393</v>
      </c>
      <c r="B7" s="199"/>
      <c r="C7" s="199"/>
      <c r="D7" s="199"/>
      <c r="E7" s="199"/>
      <c r="F7" s="320" t="n">
        <f aca="false">'Input sheet'!B28</f>
        <v>0.03</v>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v>4.82246873841951</v>
      </c>
      <c r="E9" s="199"/>
      <c r="F9" s="285"/>
      <c r="G9" s="199"/>
      <c r="H9" s="199"/>
      <c r="I9" s="199"/>
      <c r="J9" s="199"/>
    </row>
    <row r="10" s="318" customFormat="true" ht="12.65" hidden="false" customHeight="false" outlineLevel="0" collapsed="false">
      <c r="A10" s="199" t="s">
        <v>395</v>
      </c>
      <c r="D10" s="322" t="str">
        <f aca="false">IF(C4=1,VLOOKUP(D9,A19:D33,3),(IF(C4=2,VLOOKUP(D9,A38:D52,3),VLOOKUP(D9,F19:I33,3))))</f>
        <v>A2/A</v>
      </c>
      <c r="F10" s="208" t="s">
        <v>396</v>
      </c>
    </row>
    <row r="11" s="318" customFormat="true" ht="12.65" hidden="false" customHeight="false" outlineLevel="0" collapsed="false">
      <c r="A11" s="199" t="s">
        <v>397</v>
      </c>
      <c r="D11" s="323" t="n">
        <f aca="false">IF(C4=1,VLOOKUP(D9,A19:D33,4),(IF(C4=2,VLOOKUP(D9,A38:D52,4),VLOOKUP(D9,F19:I33,4))))</f>
        <v>0.0099</v>
      </c>
      <c r="F11" s="208" t="s">
        <v>398</v>
      </c>
    </row>
    <row r="12" s="318" customFormat="true" ht="12.65" hidden="false" customHeight="false" outlineLevel="0" collapsed="false">
      <c r="A12" s="199" t="s">
        <v>399</v>
      </c>
      <c r="D12" s="323" t="n">
        <f aca="false">VLOOKUP('Input sheet'!B5,'Country equity risk premiums'!A2:C187,3)</f>
        <v>0</v>
      </c>
      <c r="F12" s="208"/>
    </row>
    <row r="13" s="199" customFormat="true" ht="12.65" hidden="false" customHeight="false" outlineLevel="0" collapsed="false">
      <c r="A13" s="199" t="s">
        <v>400</v>
      </c>
      <c r="D13" s="324" t="n">
        <f aca="false">F7+D11+D12</f>
        <v>0.0399</v>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v>218118</v>
      </c>
    </row>
    <row r="3" customFormat="false" ht="12.65" hidden="false" customHeight="false" outlineLevel="0" collapsed="false">
      <c r="A3" s="22" t="s">
        <v>765</v>
      </c>
      <c r="B3" s="386" t="n">
        <v>10045</v>
      </c>
      <c r="C3" s="386" t="n">
        <v>2404</v>
      </c>
      <c r="D3" s="386" t="n">
        <v>2871</v>
      </c>
      <c r="E3" s="387" t="n">
        <f aca="false">B3-C3+D3</f>
        <v>10512</v>
      </c>
    </row>
    <row r="4" customFormat="false" ht="12.65" hidden="false" customHeight="false" outlineLevel="0" collapsed="false">
      <c r="A4" s="22" t="s">
        <v>39</v>
      </c>
      <c r="B4" s="386" t="n">
        <v>60024</v>
      </c>
      <c r="C4" s="386" t="n">
        <v>24171</v>
      </c>
      <c r="D4" s="386" t="n">
        <v>23359</v>
      </c>
      <c r="E4" s="387" t="n">
        <f aca="false">B4-C4+D4</f>
        <v>59212</v>
      </c>
    </row>
    <row r="5" customFormat="false" ht="12.65" hidden="false" customHeight="false" outlineLevel="0" collapsed="false">
      <c r="A5" s="22" t="s">
        <v>766</v>
      </c>
      <c r="B5" s="386" t="n">
        <v>1456</v>
      </c>
      <c r="C5" s="386" t="n">
        <v>276</v>
      </c>
      <c r="D5" s="386" t="n">
        <v>525</v>
      </c>
      <c r="E5" s="387" t="n">
        <f aca="false">B5-C5+D5</f>
        <v>1705</v>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v>87032</v>
      </c>
      <c r="C7" s="386"/>
      <c r="D7" s="386" t="n">
        <f aca="false">10493+3499+73557</f>
        <v>87549</v>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v>237585</v>
      </c>
      <c r="C9" s="386"/>
      <c r="D9" s="386" t="n">
        <f aca="false">16371+44081+184638</f>
        <v>245090</v>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v>0.258831388906993</v>
      </c>
      <c r="C14" s="389" t="n">
        <f aca="false">6392/24416</f>
        <v>0.261795543905636</v>
      </c>
      <c r="D14" s="389" t="n">
        <f aca="false">6289/24180</f>
        <v>0.260090984284533</v>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v>0.15</v>
      </c>
      <c r="D2" s="88" t="n">
        <f aca="false">C2</f>
        <v>0.15</v>
      </c>
      <c r="E2" s="88" t="n">
        <f aca="false">D2</f>
        <v>0.15</v>
      </c>
      <c r="F2" s="88" t="n">
        <f aca="false">E2</f>
        <v>0.15</v>
      </c>
      <c r="G2" s="88" t="n">
        <f aca="false">F2</f>
        <v>0.15</v>
      </c>
      <c r="H2" s="88" t="n">
        <f aca="false">G2-((G2-$M$2)/5)</f>
        <v>0.126</v>
      </c>
      <c r="I2" s="88" t="n">
        <f aca="false">G2-((G2-$M$2)/5)*2</f>
        <v>0.102</v>
      </c>
      <c r="J2" s="88" t="n">
        <f aca="false">G2-((G2-$M$2)/5)*3</f>
        <v>0.078</v>
      </c>
      <c r="K2" s="88" t="n">
        <f aca="false">G2-((G2-$M$2)/5)*4</f>
        <v>0.054</v>
      </c>
      <c r="L2" s="88" t="n">
        <f aca="false">G2-((G2-$M$2)/5)*5</f>
        <v>0.03</v>
      </c>
      <c r="M2" s="89" t="n">
        <f aca="false">IF('Input sheet'!B55="Yes",'Input sheet'!B56,'Input sheet'!B28)</f>
        <v>0.03</v>
      </c>
    </row>
    <row r="3" customFormat="false" ht="15" hidden="false" customHeight="true" outlineLevel="0" collapsed="false">
      <c r="A3" s="86" t="s">
        <v>38</v>
      </c>
      <c r="B3" s="90" t="n">
        <f aca="false">'Input sheet'!B8</f>
        <v>208125</v>
      </c>
      <c r="C3" s="91" t="n">
        <f aca="false">B3*(1+C2)</f>
        <v>239343.75</v>
      </c>
      <c r="D3" s="91" t="n">
        <f aca="false">C3*(1+D2)</f>
        <v>275245.3125</v>
      </c>
      <c r="E3" s="91" t="n">
        <f aca="false">D3*(1+E2)</f>
        <v>316532.109375</v>
      </c>
      <c r="F3" s="91" t="n">
        <f aca="false">E3*(1+F2)</f>
        <v>364011.92578125</v>
      </c>
      <c r="G3" s="91" t="n">
        <f aca="false">F3*(1+G2)</f>
        <v>418613.714648437</v>
      </c>
      <c r="H3" s="91" t="n">
        <f aca="false">G3*(1+H2)</f>
        <v>471359.04269414</v>
      </c>
      <c r="I3" s="91" t="n">
        <f aca="false">H3*(1+I2)</f>
        <v>519437.665048943</v>
      </c>
      <c r="J3" s="91" t="n">
        <f aca="false">I3*(1+J2)</f>
        <v>559953.80292276</v>
      </c>
      <c r="K3" s="91" t="n">
        <f aca="false">J3*(1+K2)</f>
        <v>590191.308280589</v>
      </c>
      <c r="L3" s="91" t="n">
        <f aca="false">K3*(1+L2)</f>
        <v>607897.047529007</v>
      </c>
      <c r="M3" s="92" t="n">
        <f aca="false">L3*(1+M2)</f>
        <v>626133.958954877</v>
      </c>
    </row>
    <row r="4" customFormat="false" ht="15" hidden="false" customHeight="true" outlineLevel="0" collapsed="false">
      <c r="A4" s="86" t="s">
        <v>126</v>
      </c>
      <c r="B4" s="93" t="n">
        <f aca="false">B5/B3</f>
        <v>0.0769555877117426</v>
      </c>
      <c r="C4" s="88" t="n">
        <f aca="false">IF(C1&gt;'Input sheet'!$B$25,('Input sheet'!$B$24-0.02),('Input sheet'!$B$24-0.02)-((('Input sheet'!$B$24-0.02)-$B$4)/'Input sheet'!$B$25)*('Input sheet'!$B$25-C1))</f>
        <v>0.0825644701693941</v>
      </c>
      <c r="D4" s="88" t="n">
        <f aca="false">IF(D1&gt;'Input sheet'!$B$25,('Input sheet'!$B$24-0.02),('Input sheet'!$B$24-0.02)-((('Input sheet'!$B$24-0.02)-$B$4)/'Input sheet'!$B$25)*('Input sheet'!$B$25-D1))</f>
        <v>0.0881733526270456</v>
      </c>
      <c r="E4" s="88" t="n">
        <f aca="false">IF(E1&gt;'Input sheet'!$B$25,('Input sheet'!$B$24-0.02),('Input sheet'!$B$24-0.02)-((('Input sheet'!$B$24-0.02)-$B$4)/'Input sheet'!$B$25)*('Input sheet'!$B$25-E1))</f>
        <v>0.0937822350846971</v>
      </c>
      <c r="F4" s="88" t="n">
        <f aca="false">IF(F1&gt;'Input sheet'!$B$25,('Input sheet'!$B$24-0.02),('Input sheet'!$B$24-0.02)-((('Input sheet'!$B$24-0.02)-$B$4)/'Input sheet'!$B$25)*('Input sheet'!$B$25-F1))</f>
        <v>0.0993911175423485</v>
      </c>
      <c r="G4" s="88" t="n">
        <f aca="false">IF(G1&gt;'Input sheet'!$B$25,('Input sheet'!$B$24-0.02),('Input sheet'!$B$24-0.02)-((('Input sheet'!$B$24-0.02)-$B$4)/'Input sheet'!$B$25)*('Input sheet'!$B$25-G1))</f>
        <v>0.105</v>
      </c>
      <c r="H4" s="88" t="n">
        <f aca="false">IF(H1&gt;'Input sheet'!$B$25,('Input sheet'!$B$24-0.02),('Input sheet'!$B$24-0.02)-((('Input sheet'!$B$24-0.02)-$B$4)/'Input sheet'!$B$25)*('Input sheet'!$B$25-H1))</f>
        <v>0.105</v>
      </c>
      <c r="I4" s="88" t="n">
        <f aca="false">IF(I1&gt;'Input sheet'!$B$25,('Input sheet'!$B$24-0.02),('Input sheet'!$B$24-0.02)-((('Input sheet'!$B$24-0.02)-$B$4)/'Input sheet'!$B$25)*('Input sheet'!$B$25-I1))</f>
        <v>0.105</v>
      </c>
      <c r="J4" s="88" t="n">
        <f aca="false">IF(J1&gt;'Input sheet'!$B$25,('Input sheet'!$B$24-0.02),('Input sheet'!$B$24-0.02)-((('Input sheet'!$B$24-0.02)-$B$4)/'Input sheet'!$B$25)*('Input sheet'!$B$25-J1))</f>
        <v>0.105</v>
      </c>
      <c r="K4" s="88" t="n">
        <f aca="false">IF(K1&gt;'Input sheet'!$B$25,('Input sheet'!$B$24-0.02),('Input sheet'!$B$24-0.02)-((('Input sheet'!$B$24-0.02)-$B$4)/'Input sheet'!$B$25)*('Input sheet'!$B$25-K1))</f>
        <v>0.105</v>
      </c>
      <c r="L4" s="88" t="n">
        <f aca="false">IF(L1&gt;'Input sheet'!$B$25,('Input sheet'!$B$24-0.02),('Input sheet'!$B$24-0.02)-((('Input sheet'!$B$24-0.02)-$B$4)/'Input sheet'!$B$25)*('Input sheet'!$B$25-L1))</f>
        <v>0.105</v>
      </c>
      <c r="M4" s="89" t="n">
        <f aca="false">L4</f>
        <v>0.105</v>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v>16016.3816925064</v>
      </c>
      <c r="C5" s="91" t="n">
        <f aca="false">C4*C3</f>
        <v>19761.2899071059</v>
      </c>
      <c r="D5" s="91" t="n">
        <f aca="false">D4*D3</f>
        <v>24269.3019980038</v>
      </c>
      <c r="E5" s="91" t="n">
        <f aca="false">E4*E3</f>
        <v>29685.0886932613</v>
      </c>
      <c r="F5" s="91" t="n">
        <f aca="false">F4*F3</f>
        <v>36179.5521021408</v>
      </c>
      <c r="G5" s="91" t="n">
        <f aca="false">G4*G3</f>
        <v>43954.4400380859</v>
      </c>
      <c r="H5" s="91" t="n">
        <f aca="false">H4*H3</f>
        <v>49492.6994828847</v>
      </c>
      <c r="I5" s="91" t="n">
        <f aca="false">I4*I3</f>
        <v>54540.954830139</v>
      </c>
      <c r="J5" s="91" t="n">
        <f aca="false">J4*J3</f>
        <v>58795.1493068898</v>
      </c>
      <c r="K5" s="91" t="n">
        <f aca="false">K4*K3</f>
        <v>61970.0873694619</v>
      </c>
      <c r="L5" s="91" t="n">
        <f aca="false">L4*L3</f>
        <v>63829.1899905457</v>
      </c>
      <c r="M5" s="92" t="n">
        <f aca="false">M4*M3</f>
        <v>65744.0656902621</v>
      </c>
      <c r="N5" s="94" t="n">
        <f aca="false">M5-B5</f>
        <v>49727.6839977557</v>
      </c>
    </row>
    <row r="6" customFormat="false" ht="15" hidden="false" customHeight="true" outlineLevel="0" collapsed="false">
      <c r="A6" s="86" t="s">
        <v>128</v>
      </c>
      <c r="B6" s="95" t="n">
        <f aca="false">'Input sheet'!B20</f>
        <v>0.202049395691014</v>
      </c>
      <c r="C6" s="96" t="n">
        <f aca="false">B6</f>
        <v>0.202049395691014</v>
      </c>
      <c r="D6" s="96" t="n">
        <f aca="false">C6</f>
        <v>0.202049395691014</v>
      </c>
      <c r="E6" s="96" t="n">
        <f aca="false">D6</f>
        <v>0.202049395691014</v>
      </c>
      <c r="F6" s="96" t="n">
        <f aca="false">E6</f>
        <v>0.202049395691014</v>
      </c>
      <c r="G6" s="96" t="n">
        <f aca="false">F6</f>
        <v>0.202049395691014</v>
      </c>
      <c r="H6" s="96" t="n">
        <f aca="false">G6+($M$6-$G$6)/5</f>
        <v>0.209639516552811</v>
      </c>
      <c r="I6" s="96" t="n">
        <f aca="false">H6+($M$6-$G$6)/5</f>
        <v>0.217229637414609</v>
      </c>
      <c r="J6" s="96" t="n">
        <f aca="false">I6+($M$6-$G$6)/5</f>
        <v>0.224819758276406</v>
      </c>
      <c r="K6" s="96" t="n">
        <f aca="false">J6+($M$6-$G$6)/5</f>
        <v>0.232409879138203</v>
      </c>
      <c r="L6" s="96" t="n">
        <f aca="false">K6+($M$6-$G$6)/5</f>
        <v>0.24</v>
      </c>
      <c r="M6" s="96" t="n">
        <f aca="false">IF('Input sheet'!B50="Yes",'Input sheet'!B20,'Input sheet'!B21)</f>
        <v>0.24</v>
      </c>
    </row>
    <row r="7" customFormat="false" ht="15" hidden="false" customHeight="true" outlineLevel="0" collapsed="false">
      <c r="A7" s="86" t="s">
        <v>129</v>
      </c>
      <c r="B7" s="90" t="n">
        <f aca="false">IF(B5&gt;0,B5*(1-B6),B5)</f>
        <v>12780.2814503789</v>
      </c>
      <c r="C7" s="91" t="n">
        <f aca="false">IF(C5&gt;0,IF(C5&lt;B10,C5,C5-(C5-B10)*C6),C5)</f>
        <v>15768.5332233002</v>
      </c>
      <c r="D7" s="91" t="n">
        <f aca="false">IF(D5&gt;0,IF(D5&lt;C10,D5,D5-(D5-C10)*D6),D5)</f>
        <v>19365.7041954645</v>
      </c>
      <c r="E7" s="91" t="n">
        <f aca="false">IF(E5&gt;0,IF(E5&lt;D10,E5,E5-(E5-D10)*E6),E5)</f>
        <v>23687.2344617537</v>
      </c>
      <c r="F7" s="91" t="n">
        <f aca="false">IF(F5&gt;0,IF(F5&lt;E10,F5,F5-(F5-E10)*F6),F5)</f>
        <v>28869.4954635317</v>
      </c>
      <c r="G7" s="91" t="n">
        <f aca="false">IF(G5&gt;0,IF(G5&lt;F10,G5,G5-(G5-F10)*G6),G5)</f>
        <v>35073.4719904537</v>
      </c>
      <c r="H7" s="91" t="n">
        <f aca="false">IF(H5&gt;0,IF(H5&lt;G10,H5,H5-(H5-G10)*H6),H5)</f>
        <v>39117.0738903992</v>
      </c>
      <c r="I7" s="91" t="n">
        <f aca="false">IF(I5&gt;0,IF(I5&lt;H10,I5,I5-(I5-H10)*I6),I5)</f>
        <v>42693.0429881414</v>
      </c>
      <c r="J7" s="91" t="n">
        <f aca="false">IF(J5&gt;0,IF(J5&lt;I10,J5,J5-(J5-I10)*J6),J5)</f>
        <v>45576.8380518897</v>
      </c>
      <c r="K7" s="91" t="n">
        <f aca="false">IF(K5&gt;0,IF(K5&lt;J10,K5,K5-(K5-J10)*K6),K5)</f>
        <v>47567.6268537414</v>
      </c>
      <c r="L7" s="91" t="n">
        <f aca="false">IF(L5&gt;0,IF(L5&lt;K10,L5,L5-(L5-K10)*L6),L5)</f>
        <v>48510.1843928148</v>
      </c>
      <c r="M7" s="91" t="n">
        <f aca="false">M5*(1-M6)</f>
        <v>49965.4899245992</v>
      </c>
    </row>
    <row r="8" customFormat="false" ht="15" hidden="false" customHeight="true" outlineLevel="0" collapsed="false">
      <c r="A8" s="86" t="s">
        <v>130</v>
      </c>
      <c r="B8" s="90"/>
      <c r="C8" s="91" t="n">
        <f aca="false">(C3-B3)/C38</f>
        <v>5249.25</v>
      </c>
      <c r="D8" s="91" t="n">
        <f aca="false">(D3-C3)/D38</f>
        <v>6036.6375</v>
      </c>
      <c r="E8" s="91" t="n">
        <f aca="false">(E3-D3)/E38</f>
        <v>6942.13312499999</v>
      </c>
      <c r="F8" s="91" t="n">
        <f aca="false">(F3-E3)/F38</f>
        <v>7983.45309374999</v>
      </c>
      <c r="G8" s="91" t="n">
        <f aca="false">(G3-F3)/G38</f>
        <v>9180.97105781249</v>
      </c>
      <c r="H8" s="91" t="n">
        <f aca="false">(H3-G3)/H38</f>
        <v>8868.81804184687</v>
      </c>
      <c r="I8" s="91" t="n">
        <f aca="false">(I3-H3)/I38</f>
        <v>8084.13880747776</v>
      </c>
      <c r="J8" s="91" t="n">
        <f aca="false">(J3-I3)/J38</f>
        <v>6812.55132681919</v>
      </c>
      <c r="K8" s="91" t="n">
        <f aca="false">(K3-J3)/K38</f>
        <v>5084.25945944614</v>
      </c>
      <c r="L8" s="91" t="n">
        <f aca="false">(L3-K3)/L38</f>
        <v>2977.11637236457</v>
      </c>
      <c r="M8" s="97" t="n">
        <f aca="false">IF(M2&gt;0,(M2/M40)*M7,0)</f>
        <v>14989.6469773798</v>
      </c>
      <c r="N8" s="94" t="n">
        <f aca="false">SUM(C8:M8)</f>
        <v>82208.9757618968</v>
      </c>
    </row>
    <row r="9" customFormat="false" ht="15" hidden="false" customHeight="true" outlineLevel="0" collapsed="false">
      <c r="A9" s="86" t="s">
        <v>131</v>
      </c>
      <c r="B9" s="90"/>
      <c r="C9" s="91" t="n">
        <f aca="false">C7-C8</f>
        <v>10519.2832233002</v>
      </c>
      <c r="D9" s="91" t="n">
        <f aca="false">D7-D8</f>
        <v>13329.0666954645</v>
      </c>
      <c r="E9" s="91" t="n">
        <f aca="false">E7-E8</f>
        <v>16745.1013367537</v>
      </c>
      <c r="F9" s="91" t="n">
        <f aca="false">F7-F8</f>
        <v>20886.0423697817</v>
      </c>
      <c r="G9" s="91" t="n">
        <f aca="false">G7-G8</f>
        <v>25892.5009326412</v>
      </c>
      <c r="H9" s="91" t="n">
        <f aca="false">H7-H8</f>
        <v>30248.2558485523</v>
      </c>
      <c r="I9" s="91" t="n">
        <f aca="false">I7-I8</f>
        <v>34608.9041806636</v>
      </c>
      <c r="J9" s="91" t="n">
        <f aca="false">J7-J8</f>
        <v>38764.2867250705</v>
      </c>
      <c r="K9" s="91" t="n">
        <f aca="false">K7-K8</f>
        <v>42483.3673942952</v>
      </c>
      <c r="L9" s="91" t="n">
        <f aca="false">L7-L8</f>
        <v>45533.0680204502</v>
      </c>
      <c r="M9" s="97" t="n">
        <f aca="false">M7-M8</f>
        <v>34975.8429472194</v>
      </c>
    </row>
    <row r="10" customFormat="false" ht="15" hidden="false" customHeight="true" outlineLevel="0" collapsed="false">
      <c r="A10" s="86" t="s">
        <v>132</v>
      </c>
      <c r="B10" s="90" t="n">
        <f aca="false">IF('Input sheet'!B52="Yes",'Input sheet'!B53,0)</f>
        <v>0</v>
      </c>
      <c r="C10" s="91" t="n">
        <f aca="false">IF(C5&lt;0,B10-C5,IF(B10&gt;C5,B10-C5,0))</f>
        <v>0</v>
      </c>
      <c r="D10" s="91" t="n">
        <f aca="false">IF(D5&lt;0,C10-D5,IF(C10&gt;D5,C10-D5,0))</f>
        <v>0</v>
      </c>
      <c r="E10" s="91" t="n">
        <f aca="false">IF(E5&lt;0,D10-E5,IF(D10&gt;E5,D10-E5,0))</f>
        <v>0</v>
      </c>
      <c r="F10" s="91" t="n">
        <f aca="false">IF(F5&lt;0,E10-F5,IF(E10&gt;F5,E10-F5,0))</f>
        <v>0</v>
      </c>
      <c r="G10" s="91" t="n">
        <f aca="false">IF(G5&lt;0,F10-G5,IF(F10&gt;G5,F10-G5,0))</f>
        <v>0</v>
      </c>
      <c r="H10" s="91" t="n">
        <f aca="false">IF(H5&lt;0,G10-H5,IF(G10&gt;H5,G10-H5,0))</f>
        <v>0</v>
      </c>
      <c r="I10" s="91" t="n">
        <f aca="false">IF(I5&lt;0,H10-I5,IF(H10&gt;I5,H10-I5,0))</f>
        <v>0</v>
      </c>
      <c r="J10" s="91" t="n">
        <f aca="false">IF(J5&lt;0,I10-J5,IF(I10&gt;J5,I10-J5,0))</f>
        <v>0</v>
      </c>
      <c r="K10" s="91" t="n">
        <f aca="false">IF(K5&lt;0,J10-K5,IF(J10&gt;K5,J10-K5,0))</f>
        <v>0</v>
      </c>
      <c r="L10" s="91" t="n">
        <f aca="false">IF(L5&lt;0,K10-L5,IF(K10&gt;L5,K10-L5,0))</f>
        <v>0</v>
      </c>
      <c r="M10" s="91" t="n">
        <f aca="false">IF(M5&lt;0,L10-M5,IF(L10&gt;M5,L10-M5,0))</f>
        <v>0</v>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v>0.0797</v>
      </c>
      <c r="D12" s="88" t="n">
        <f aca="false">C12</f>
        <v>0.0797</v>
      </c>
      <c r="E12" s="88" t="n">
        <f aca="false">D12</f>
        <v>0.0797</v>
      </c>
      <c r="F12" s="88" t="n">
        <f aca="false">E12</f>
        <v>0.0797</v>
      </c>
      <c r="G12" s="88" t="n">
        <f aca="false">F12</f>
        <v>0.0797</v>
      </c>
      <c r="H12" s="88" t="n">
        <f aca="false">G12-($G$12-$M$12)/5</f>
        <v>0.07876</v>
      </c>
      <c r="I12" s="88" t="n">
        <f aca="false">H12-($G$12-$M$12)/5</f>
        <v>0.07782</v>
      </c>
      <c r="J12" s="88" t="n">
        <f aca="false">I12-($G$12-$M$12)/5</f>
        <v>0.07688</v>
      </c>
      <c r="K12" s="88" t="n">
        <f aca="false">J12-($G$12-$M$12)/5</f>
        <v>0.07594</v>
      </c>
      <c r="L12" s="88" t="n">
        <f aca="false">K12-($G$12-$M$12)/5</f>
        <v>0.075</v>
      </c>
      <c r="M12" s="89" t="n">
        <f aca="false">IF('Input sheet'!B39="Yes",'Input sheet'!B40,'Input sheet'!B28+0.045)</f>
        <v>0.075</v>
      </c>
    </row>
    <row r="13" customFormat="false" ht="15" hidden="false" customHeight="true" outlineLevel="0" collapsed="false">
      <c r="A13" s="99" t="s">
        <v>134</v>
      </c>
      <c r="B13" s="87"/>
      <c r="C13" s="100" t="n">
        <f aca="false">1/(1+C12)</f>
        <v>0.92618319903677</v>
      </c>
      <c r="D13" s="100" t="n">
        <f aca="false">C13*(1/(1+D12))</f>
        <v>0.857815318177984</v>
      </c>
      <c r="E13" s="100" t="n">
        <f aca="false">D13*(1/(1+E12))</f>
        <v>0.79449413557283</v>
      </c>
      <c r="F13" s="100" t="n">
        <f aca="false">E13*(1/(1+F12))</f>
        <v>0.735847120100797</v>
      </c>
      <c r="G13" s="100" t="n">
        <f aca="false">F13*(1/(1+G12))</f>
        <v>0.68152923969695</v>
      </c>
      <c r="H13" s="100" t="n">
        <f aca="false">G13*(1/(1+H12))</f>
        <v>0.631770958968584</v>
      </c>
      <c r="I13" s="100" t="n">
        <f aca="false">H13*(1/(1+I12))</f>
        <v>0.586156277456889</v>
      </c>
      <c r="J13" s="100" t="n">
        <f aca="false">I13*(1/(1+J12))</f>
        <v>0.544309744314027</v>
      </c>
      <c r="K13" s="100" t="n">
        <f aca="false">J13*(1/(1+K12))</f>
        <v>0.505892284248217</v>
      </c>
      <c r="L13" s="100" t="n">
        <f aca="false">K13*(1/(1+L12))</f>
        <v>0.470597473719272</v>
      </c>
      <c r="M13" s="98"/>
    </row>
    <row r="14" customFormat="false" ht="15" hidden="false" customHeight="true" outlineLevel="0" collapsed="false">
      <c r="A14" s="99" t="s">
        <v>135</v>
      </c>
      <c r="B14" s="87"/>
      <c r="C14" s="91" t="n">
        <f aca="false">C9*C13</f>
        <v>9742.78338733002</v>
      </c>
      <c r="D14" s="91" t="n">
        <f aca="false">D9*D13</f>
        <v>11433.8775883854</v>
      </c>
      <c r="E14" s="91" t="n">
        <f aca="false">E9*E13</f>
        <v>13303.8848116236</v>
      </c>
      <c r="F14" s="91" t="n">
        <f aca="false">F9*F13</f>
        <v>15368.9341281071</v>
      </c>
      <c r="G14" s="91" t="n">
        <f aca="false">G9*G13</f>
        <v>17646.4964744756</v>
      </c>
      <c r="H14" s="91" t="n">
        <f aca="false">H9*H13</f>
        <v>19109.969604567</v>
      </c>
      <c r="I14" s="91" t="n">
        <f aca="false">I9*I13</f>
        <v>20286.2264413999</v>
      </c>
      <c r="J14" s="91" t="n">
        <f aca="false">J9*J13</f>
        <v>21099.7789958387</v>
      </c>
      <c r="K14" s="91" t="n">
        <f aca="false">K9*K13</f>
        <v>21492.0077736562</v>
      </c>
      <c r="L14" s="91" t="n">
        <f aca="false">L9*L13</f>
        <v>21427.7467811116</v>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v>34975.8429472194</v>
      </c>
      <c r="C16" s="101"/>
      <c r="D16" s="101"/>
      <c r="E16" s="101"/>
      <c r="F16" s="101"/>
      <c r="G16" s="101"/>
      <c r="H16" s="101"/>
      <c r="I16" s="101"/>
      <c r="J16" s="101"/>
      <c r="K16" s="101"/>
      <c r="L16" s="101"/>
    </row>
    <row r="17" customFormat="false" ht="15" hidden="false" customHeight="true" outlineLevel="0" collapsed="false">
      <c r="A17" s="102" t="s">
        <v>137</v>
      </c>
      <c r="B17" s="93" t="n">
        <f aca="false">M12</f>
        <v>0.075</v>
      </c>
      <c r="C17" s="101"/>
      <c r="D17" s="101"/>
      <c r="E17" s="101"/>
      <c r="F17" s="101"/>
      <c r="G17" s="101"/>
      <c r="H17" s="101"/>
      <c r="I17" s="101"/>
      <c r="J17" s="101"/>
      <c r="K17" s="101"/>
      <c r="L17" s="101"/>
    </row>
    <row r="18" customFormat="false" ht="15.75" hidden="false" customHeight="false" outlineLevel="0" collapsed="false">
      <c r="A18" s="102" t="s">
        <v>138</v>
      </c>
      <c r="B18" s="90" t="n">
        <f aca="false">B16/(B17-M2)</f>
        <v>777240.954382654</v>
      </c>
      <c r="C18" s="101"/>
      <c r="D18" s="103"/>
      <c r="E18" s="101"/>
      <c r="F18" s="101"/>
      <c r="G18" s="101"/>
      <c r="H18" s="101"/>
      <c r="I18" s="101"/>
      <c r="J18" s="101"/>
      <c r="K18" s="101"/>
      <c r="L18" s="101"/>
    </row>
    <row r="19" customFormat="false" ht="15.75" hidden="false" customHeight="false" outlineLevel="0" collapsed="false">
      <c r="A19" s="102" t="s">
        <v>139</v>
      </c>
      <c r="B19" s="104" t="n">
        <f aca="false">B18*L13</f>
        <v>365767.629603633</v>
      </c>
      <c r="C19" s="101"/>
      <c r="D19" s="101"/>
      <c r="E19" s="101"/>
      <c r="F19" s="101"/>
      <c r="G19" s="101"/>
      <c r="H19" s="101"/>
      <c r="I19" s="101"/>
      <c r="J19" s="101"/>
      <c r="K19" s="101"/>
      <c r="L19" s="101"/>
    </row>
    <row r="20" customFormat="false" ht="15.75" hidden="false" customHeight="false" outlineLevel="0" collapsed="false">
      <c r="A20" s="102" t="s">
        <v>140</v>
      </c>
      <c r="B20" s="104" t="n">
        <f aca="false">SUM(C14:L14)</f>
        <v>170911.705986495</v>
      </c>
      <c r="C20" s="101"/>
      <c r="D20" s="101"/>
      <c r="E20" s="101"/>
      <c r="F20" s="101"/>
      <c r="G20" s="101"/>
      <c r="H20" s="101"/>
      <c r="I20" s="101"/>
      <c r="J20" s="101"/>
      <c r="K20" s="101"/>
      <c r="L20" s="101"/>
    </row>
    <row r="21" customFormat="false" ht="15.75" hidden="false" customHeight="false" outlineLevel="0" collapsed="false">
      <c r="A21" s="102" t="s">
        <v>141</v>
      </c>
      <c r="B21" s="104" t="n">
        <f aca="false">B19+B20</f>
        <v>536679.335590128</v>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v>0</v>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v>268339.667795064</v>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v>536679.335590128</v>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v>45811.1830749357</v>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v>0</v>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v>27050</v>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v>0</v>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v>517918.152515192</v>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v>0</v>
      </c>
      <c r="C30" s="101"/>
      <c r="D30" s="101"/>
      <c r="E30" s="101"/>
      <c r="F30" s="101"/>
      <c r="G30" s="101"/>
      <c r="H30" s="101"/>
      <c r="I30" s="101"/>
      <c r="J30" s="101"/>
      <c r="K30" s="101"/>
      <c r="L30" s="101"/>
    </row>
    <row r="31" customFormat="false" ht="15.75" hidden="false" customHeight="false" outlineLevel="0" collapsed="false">
      <c r="A31" s="102" t="s">
        <v>151</v>
      </c>
      <c r="B31" s="104" t="n">
        <f aca="false">B29-B30</f>
        <v>517918.152515192</v>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v>497</v>
      </c>
      <c r="C32" s="101"/>
      <c r="D32" s="101"/>
      <c r="E32" s="101"/>
      <c r="F32" s="101"/>
      <c r="G32" s="101"/>
      <c r="H32" s="101"/>
      <c r="I32" s="101"/>
      <c r="J32" s="101"/>
      <c r="K32" s="101"/>
      <c r="L32" s="101"/>
    </row>
    <row r="33" customFormat="false" ht="15.75" hidden="false" customHeight="false" outlineLevel="0" collapsed="false">
      <c r="A33" s="102" t="s">
        <v>153</v>
      </c>
      <c r="B33" s="109" t="n">
        <f aca="false">B31/B32</f>
        <v>1042.08883805874</v>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v>1970.19</v>
      </c>
      <c r="C34" s="101"/>
      <c r="D34" s="101"/>
      <c r="E34" s="101"/>
      <c r="F34" s="101"/>
      <c r="G34" s="101"/>
      <c r="H34" s="101"/>
      <c r="I34" s="101"/>
      <c r="J34" s="101"/>
      <c r="K34" s="101"/>
      <c r="L34" s="101"/>
    </row>
    <row r="35" customFormat="false" ht="15.75" hidden="false" customHeight="false" outlineLevel="0" collapsed="false">
      <c r="A35" s="102" t="s">
        <v>155</v>
      </c>
      <c r="B35" s="95" t="n">
        <f aca="false">B34/B33</f>
        <v>1.89061616250509</v>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v>5.94727818259751</v>
      </c>
      <c r="D38" s="112" t="n">
        <f aca="false">C38</f>
        <v>5.94727818259751</v>
      </c>
      <c r="E38" s="112" t="n">
        <f aca="false">D38</f>
        <v>5.94727818259751</v>
      </c>
      <c r="F38" s="112" t="n">
        <f aca="false">E38</f>
        <v>5.94727818259751</v>
      </c>
      <c r="G38" s="112" t="n">
        <f aca="false">F38</f>
        <v>5.94727818259751</v>
      </c>
      <c r="H38" s="112" t="n">
        <f aca="false">G38</f>
        <v>5.94727818259751</v>
      </c>
      <c r="I38" s="112" t="n">
        <f aca="false">H38</f>
        <v>5.94727818259751</v>
      </c>
      <c r="J38" s="112" t="n">
        <f aca="false">I38</f>
        <v>5.94727818259751</v>
      </c>
      <c r="K38" s="112" t="n">
        <f aca="false">J38</f>
        <v>5.94727818259751</v>
      </c>
      <c r="L38" s="112" t="n">
        <f aca="false">K38</f>
        <v>5.94727818259751</v>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84418.6830749357</v>
      </c>
      <c r="C39" s="114" t="n">
        <f aca="false">B39+C8</f>
        <v>89667.9330749357</v>
      </c>
      <c r="D39" s="114" t="n">
        <f aca="false">C39+D8</f>
        <v>95704.5705749357</v>
      </c>
      <c r="E39" s="114" t="n">
        <f aca="false">D39+E8</f>
        <v>102646.703699936</v>
      </c>
      <c r="F39" s="114" t="n">
        <f aca="false">E39+F8</f>
        <v>110630.156793686</v>
      </c>
      <c r="G39" s="114" t="n">
        <f aca="false">F39+G8</f>
        <v>119811.127851498</v>
      </c>
      <c r="H39" s="114" t="n">
        <f aca="false">G39+H8</f>
        <v>128679.945893345</v>
      </c>
      <c r="I39" s="114" t="n">
        <f aca="false">H39+I8</f>
        <v>136764.084700823</v>
      </c>
      <c r="J39" s="114" t="n">
        <f aca="false">I39+J8</f>
        <v>143576.636027642</v>
      </c>
      <c r="K39" s="114" t="n">
        <f aca="false">J39+K8</f>
        <v>148660.895487088</v>
      </c>
      <c r="L39" s="114" t="n">
        <f aca="false">K39+L8</f>
        <v>151638.011859453</v>
      </c>
      <c r="M39" s="98"/>
    </row>
    <row r="40" customFormat="false" ht="15.75" hidden="false" customHeight="false" outlineLevel="0" collapsed="false">
      <c r="A40" s="111" t="s">
        <v>160</v>
      </c>
      <c r="B40" s="93" t="n">
        <f aca="false">B7/B39</f>
        <v>0.151391623096445</v>
      </c>
      <c r="C40" s="88" t="n">
        <f aca="false">C7/C39</f>
        <v>0.175854764156573</v>
      </c>
      <c r="D40" s="88" t="n">
        <f aca="false">D7/D39</f>
        <v>0.202348791485369</v>
      </c>
      <c r="E40" s="88" t="n">
        <f aca="false">E7/E39</f>
        <v>0.230764687105764</v>
      </c>
      <c r="F40" s="88" t="n">
        <f aca="false">F7/F39</f>
        <v>0.260955026190286</v>
      </c>
      <c r="G40" s="88" t="n">
        <f aca="false">G7/G39</f>
        <v>0.292739686366413</v>
      </c>
      <c r="H40" s="88" t="n">
        <f aca="false">H7/H39</f>
        <v>0.303987335546605</v>
      </c>
      <c r="I40" s="88" t="n">
        <f aca="false">I7/I39</f>
        <v>0.312165603137214</v>
      </c>
      <c r="J40" s="88" t="n">
        <f aca="false">J7/J39</f>
        <v>0.317439099514179</v>
      </c>
      <c r="K40" s="88" t="n">
        <f aca="false">K7/K39</f>
        <v>0.319974036870193</v>
      </c>
      <c r="L40" s="115" t="n">
        <f aca="false">L7/L39</f>
        <v>0.319907810699714</v>
      </c>
      <c r="M40" s="88" t="n">
        <f aca="false">IF('Input sheet'!B42="Yes",'Input sheet'!B43,'Review valuation'!L12)</f>
        <v>0.1</v>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c r="B3" s="196" t="n">
        <f aca="false">'Valuation output'!B31</f>
        <v>623315.023394236</v>
      </c>
    </row>
    <row r="4" customFormat="false" ht="12.8" hidden="false" customHeight="false" outlineLevel="0" collapsed="false">
      <c r="A4" s="0" t="s">
        <v>792</v>
      </c>
      <c r="B4" s="196" t="n">
        <f aca="false">'Review valuation'!B31</f>
        <v>517918.152515192</v>
      </c>
    </row>
    <row r="5" customFormat="false" ht="12.8" hidden="false" customHeight="false" outlineLevel="0" collapsed="false">
      <c r="A5" s="0" t="s">
        <v>793</v>
      </c>
      <c r="B5" s="0" t="n">
        <f aca="false">B4-B3</f>
        <v>-105396.870879044</v>
      </c>
    </row>
    <row r="7" customFormat="false" ht="12.8" hidden="false" customHeight="false" outlineLevel="0" collapsed="false">
      <c r="A7" s="0" t="s">
        <v>794</v>
      </c>
      <c r="B7" s="196" t="n">
        <f aca="false">'Valuation output'!B33</f>
        <v>1254.15497664836</v>
      </c>
    </row>
    <row r="8" customFormat="false" ht="12.8" hidden="false" customHeight="false" outlineLevel="0" collapsed="false">
      <c r="A8" s="0" t="s">
        <v>795</v>
      </c>
      <c r="B8" s="196" t="n">
        <f aca="false">'Review valuation'!B33</f>
        <v>1042.08883805874</v>
      </c>
    </row>
    <row r="10" customFormat="false" ht="12.8" hidden="false" customHeight="false" outlineLevel="0" collapsed="false">
      <c r="A10" s="0" t="s">
        <v>796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