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9"/>
  <workbookPr date1904="1" codeName="ThisWorkbook"/>
  <mc:AlternateContent xmlns:mc="http://schemas.openxmlformats.org/markup-compatibility/2006">
    <mc:Choice Requires="x15">
      <x15ac:absPath xmlns:x15ac="http://schemas.microsoft.com/office/spreadsheetml/2010/11/ac" url="/All My Stuff/Home Page 2002/pc/blog/"/>
    </mc:Choice>
  </mc:AlternateContent>
  <xr:revisionPtr revIDLastSave="0" documentId="13_ncr:1_{74B2DD3E-5DB9-1345-9F90-9189953A592C}" xr6:coauthVersionLast="37" xr6:coauthVersionMax="37" xr10:uidLastSave="{00000000-0000-0000-0000-000000000000}"/>
  <bookViews>
    <workbookView xWindow="3400" yWindow="460" windowWidth="30200" windowHeight="19540" tabRatio="772" activeTab="3" xr2:uid="{00000000-000D-0000-FFFF-FFFF00000000}"/>
  </bookViews>
  <sheets>
    <sheet name="CB_DATA_" sheetId="30" state="veryHidden" r:id="rId1"/>
    <sheet name="Input sheet" sheetId="11" r:id="rId2"/>
    <sheet name="Valuation output" sheetId="13" r:id="rId3"/>
    <sheet name="Stories to Numbers" sheetId="28" r:id="rId4"/>
    <sheet name="Summary Sheet" sheetId="29" r:id="rId5"/>
    <sheet name="Option value" sheetId="14" r:id="rId6"/>
    <sheet name="Diagnostics" sheetId="12" r:id="rId7"/>
    <sheet name="R&amp; D converter" sheetId="25" r:id="rId8"/>
    <sheet name="Operating lease converter" sheetId="18" r:id="rId9"/>
    <sheet name="Cost of capital worksheet" sheetId="19" r:id="rId10"/>
    <sheet name="Synthetic rating" sheetId="20" r:id="rId11"/>
    <sheet name="Industry Averages(US)" sheetId="8" r:id="rId12"/>
    <sheet name="Global industry averages" sheetId="26" r:id="rId13"/>
    <sheet name="Country equity risk premiums" sheetId="23" r:id="rId14"/>
    <sheet name="Trailing 12 month" sheetId="24" r:id="rId15"/>
    <sheet name="Answer keys" sheetId="21" r:id="rId16"/>
    <sheet name="Historical financing basis" sheetId="31" r:id="rIdNEW631"/>
  </sheets>
  <definedNames>
    <definedName name="CB_02fb7351666d45d8bca28f2efd572a6b" localSheetId="1" hidden="1">'Input sheet'!$B$24</definedName>
    <definedName name="CB_2565313a0871403fb53ffc682c34d71b" localSheetId="1" hidden="1">'Input sheet'!$B$29</definedName>
    <definedName name="CB_62e99b5c4ed9483f8023bd06aa9304a5" localSheetId="1" hidden="1">'Input sheet'!$B$23</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"'636728067925474621"</definedName>
    <definedName name="CB_Block_00000000000000000000000000000001" localSheetId="1" hidden="1">"'636728067924380985"</definedName>
    <definedName name="CB_Block_00000000000000000000000000000001" localSheetId="2" hidden="1">"'636728067925162136"</definedName>
    <definedName name="CB_Block_00000000000000000000000000000003" localSheetId="1" hidden="1">"'11.1.4716.0"</definedName>
    <definedName name="CB_Block_00000000000000000000000000000003" localSheetId="2" hidden="1">"'11.1.4716.0"</definedName>
    <definedName name="CB_BlockExt_00000000000000000000000000000003" localSheetId="1" hidden="1">"'11.1.2.4.850"</definedName>
    <definedName name="CB_BlockExt_00000000000000000000000000000003" localSheetId="2" hidden="1">"'11.1.2.4.850"</definedName>
    <definedName name="CB_d72c093ec87e4e16b91724fcf07fe883" localSheetId="2" hidden="1">'Valuation output'!$B$33</definedName>
    <definedName name="CBWorkbookPriority" localSheetId="0" hidden="1">-1232106626683060</definedName>
    <definedName name="CBx_271d6a2b7a934e27808caa1aada6a76d" localSheetId="0" hidden="1">"'CB_DATA_'!$A$1"</definedName>
    <definedName name="CBx_eb12ad88c3be4256b53f793e1373a468" localSheetId="0" hidden="1">"'Input sheet'!$A$1"</definedName>
    <definedName name="CBx_faa3ee019bfb4333b7427cca748c6e20" localSheetId="0" hidden="1">"'Valuation output'!$A$1"</definedName>
    <definedName name="CBx_Sheet_Guid" localSheetId="0" hidden="1">"'271d6a2b-7a93-4e27-808c-aa1aada6a76d"</definedName>
    <definedName name="CBx_Sheet_Guid" localSheetId="1" hidden="1">"'eb12ad88-c3be-4256-b53f-793e1373a468"</definedName>
    <definedName name="CBx_Sheet_Guid" localSheetId="2" hidden="1">"'faa3ee01-9bfb-4333-b742-7cca748c6e20"</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79021" iterate="1" fullCalcOnLoad="1" forceFullCalc="1"/>
</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<sst xmlns="http://schemas.openxmlformats.org/spreadsheetml/2006/main" count="1443" uniqueCount="794">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</sst>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t="s">
        <v>780</v>
      </c>
    </row>
    <row r="26" spans="1:3">
      <c r="A26" s="394" t="s">
        <v>782</v>
      </c>
      <c r="B26" s="394" t="s">
        <v>786</v>
      </c>
      <c r="C26" s="394" t="s">
        <v>786</v>
      </c>
    </row>
    <row r="27" spans="1:3">
      <c r="A27" t="s">
        <v>783</v>
      </c>
      <c r="B27" t="s">
        <v>790</v>
      </c>
      <c r="C27" t="s">
        <v>791</v>
      </c>
    </row>
    <row r="28" spans="1:3">
      <c r="A28" s="394" t="s">
        <v>784</v>
      </c>
      <c r="B28" s="394" t="s">
        <v>784</v>
      </c>
      <c r="C28" s="394" t="s">
        <v>784</v>
      </c>
    </row>
    <row r="29" spans="1:3">
      <c r="B29" s="394" t="s">
        <v>782</v>
      </c>
      <c r="C29" s="394" t="s">
        <v>782</v>
      </c>
    </row>
    <row r="30" spans="1:3">
      <c r="B30" t="s">
        <v>787</v>
      </c>
      <c r="C30" t="s">
        <v>789</v>
      </c>
    </row>
    <row r="31" spans="1:3">
      <c r="B31" s="394" t="s">
        <v>784</v>
      </c>
      <c r="C31" s="394" t="s">
        <v>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208125</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27050</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 t="shared" ref="D3:L3" si="0">C3*(1+D2)</f>
      </c>
      <c r="E3" s="93">
        <f t="shared" si="0"/>
      </c>
      <c r="F3" s="93">
        <f t="shared" si="0"/>
      </c>
      <c r="G3" s="93">
        <f t="shared" si="0"/>
      </c>
      <c r="H3" s="93">
        <f t="shared" si="0"/>
      </c>
      <c r="I3" s="93">
        <f t="shared" si="0"/>
      </c>
      <c r="J3" s="93">
        <f t="shared" si="0"/>
      </c>
      <c r="K3" s="93">
        <f t="shared" si="0"/>
      </c>
      <c r="L3" s="93">
        <f t="shared" si="0"/>
      </c>
      <c r="M3" s="108">
        <f>L3*(1+M2)</f>
      </c>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f t="shared" ref="C5:M5" ca="1" si="1">C4*C3</f>
      </c>
      <c r="D5" s="93">
        <f t="shared" ca="1" si="1"/>
      </c>
      <c r="E5" s="93">
        <f t="shared" ca="1" si="1"/>
      </c>
      <c r="F5" s="93">
        <f t="shared" ca="1" si="1"/>
      </c>
      <c r="G5" s="93">
        <f t="shared" ca="1" si="1"/>
      </c>
      <c r="H5" s="93">
        <f t="shared" si="1"/>
      </c>
      <c r="I5" s="93">
        <f t="shared" si="1"/>
      </c>
      <c r="J5" s="93">
        <f t="shared" si="1"/>
      </c>
      <c r="K5" s="93">
        <f t="shared" si="1"/>
      </c>
      <c r="L5" s="93">
        <f t="shared" si="1"/>
      </c>
      <c r="M5" s="108">
        <f t="shared" si="1"/>
      </c>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f ca="1">IF(C5&gt;0,IF(C5&lt;B10,C5,C5-(C5-B10)*C6),C5)</f>
      </c>
      <c r="D7" s="93">
        <f t="shared" ref="D7:L7" ca="1" si="2">IF(D5&gt;0,IF(D5&lt;C10,D5,D5-(D5-C10)*D6),D5)</f>
      </c>
      <c r="E7" s="93">
        <f t="shared" ca="1" si="2"/>
      </c>
      <c r="F7" s="93">
        <f t="shared" ca="1" si="2"/>
      </c>
      <c r="G7" s="93">
        <f t="shared" ca="1" si="2"/>
      </c>
      <c r="H7" s="93">
        <f t="shared" ca="1" si="2"/>
      </c>
      <c r="I7" s="93">
        <f t="shared" ca="1" si="2"/>
      </c>
      <c r="J7" s="93">
        <f t="shared" ca="1" si="2"/>
      </c>
      <c r="K7" s="93">
        <f t="shared" ca="1" si="2"/>
      </c>
      <c r="L7" s="93">
        <f t="shared" ca="1" si="2"/>
      </c>
      <c r="M7" s="93">
        <f>M5*(1-M6)</f>
      </c>
    </row>
    <row r="8" spans="1:14" ht="15" customHeight="1">
      <c r="A8" s="45" t="s">
        <v>15</v>
      </c>
      <c r="B8" s="92"/>
      <c r="C8" s="93">
        <f t="shared" ref="C8:L8" si="3">(C3-B3)/C38</f>
      </c>
      <c r="D8" s="93">
        <f t="shared" si="3"/>
      </c>
      <c r="E8" s="93">
        <f t="shared" si="3"/>
      </c>
      <c r="F8" s="93">
        <f t="shared" si="3"/>
      </c>
      <c r="G8" s="93">
        <f t="shared" si="3"/>
      </c>
      <c r="H8" s="93">
        <f t="shared" si="3"/>
      </c>
      <c r="I8" s="93">
        <f t="shared" si="3"/>
      </c>
      <c r="J8" s="93">
        <f t="shared" si="3"/>
      </c>
      <c r="K8" s="93">
        <f t="shared" si="3"/>
      </c>
      <c r="L8" s="93">
        <f t="shared" si="3"/>
      </c>
      <c r="M8" s="97">
        <f>IF(M2&gt;0,(M2/M40)*M7,0)</f>
      </c>
      <c r="N8" s="110">
        <f>SUM(C8:M8)</f>
      </c>
    </row>
    <row r="9" spans="1:14" ht="15" customHeight="1">
      <c r="A9" s="45" t="s">
        <v>16</v>
      </c>
      <c r="B9" s="92"/>
      <c r="C9" s="93">
        <f t="shared" ref="C9:L9" ca="1" si="4">C7-C8</f>
      </c>
      <c r="D9" s="93">
        <f t="shared" ca="1" si="4"/>
      </c>
      <c r="E9" s="93">
        <f t="shared" ca="1" si="4"/>
      </c>
      <c r="F9" s="93">
        <f t="shared" ca="1" si="4"/>
      </c>
      <c r="G9" s="93">
        <f t="shared" ca="1" si="4"/>
      </c>
      <c r="H9" s="93">
        <f t="shared" ca="1" si="4"/>
      </c>
      <c r="I9" s="93">
        <f t="shared" ca="1" si="4"/>
      </c>
      <c r="J9" s="93">
        <f t="shared" ca="1" si="4"/>
      </c>
      <c r="K9" s="93">
        <f t="shared" ca="1" si="4"/>
      </c>
      <c r="L9" s="93">
        <f t="shared" ca="1" si="4"/>
      </c>
      <c r="M9" s="97">
        <f>M7-M8</f>
      </c>
    </row>
    <row r="10" spans="1:14" ht="15" customHeight="1">
      <c r="A10" s="45" t="s">
        <v>48</v>
      </c>
      <c r="B10" s="92">
        <f>IF('Input sheet'!B52="Yes",'Input sheet'!B53,0)</f>
      </c>
      <c r="C10" s="93">
        <f ca="1">IF(C5&lt;0,B10-C5,IF(B10&gt;C5,B10-C5,0))</f>
      </c>
      <c r="D10" s="93">
        <f t="shared" ref="D10:M10" ca="1" si="5">IF(D5&lt;0,C10-D5,IF(C10&gt;D5,C10-D5,0))</f>
      </c>
      <c r="E10" s="93">
        <f t="shared" ca="1" si="5"/>
      </c>
      <c r="F10" s="93">
        <f t="shared" ca="1" si="5"/>
      </c>
      <c r="G10" s="93">
        <f t="shared" ca="1" si="5"/>
      </c>
      <c r="H10" s="93">
        <f t="shared" ca="1" si="5"/>
      </c>
      <c r="I10" s="93">
        <f t="shared" ca="1" si="5"/>
      </c>
      <c r="J10" s="93">
        <f t="shared" ca="1" si="5"/>
      </c>
      <c r="K10" s="93">
        <f t="shared" ca="1" si="5"/>
      </c>
      <c r="L10" s="93">
        <f t="shared" ca="1" si="5"/>
      </c>
      <c r="M10" s="93">
        <f t="shared" ca="1" si="5"/>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f t="shared" ref="C14:L14" ca="1" si="7">C9*C13</f>
      </c>
      <c r="D14" s="93">
        <f t="shared" ca="1" si="7"/>
      </c>
      <c r="E14" s="93">
        <f t="shared" ca="1" si="7"/>
      </c>
      <c r="F14" s="93">
        <f t="shared" ca="1" si="7"/>
      </c>
      <c r="G14" s="93">
        <f t="shared" ca="1" si="7"/>
      </c>
      <c r="H14" s="93">
        <f t="shared" ca="1" si="7"/>
      </c>
      <c r="I14" s="93">
        <f t="shared" ca="1" si="7"/>
      </c>
      <c r="J14" s="93">
        <f t="shared" ca="1" si="7"/>
      </c>
      <c r="K14" s="93">
        <f t="shared" ca="1" si="7"/>
      </c>
      <c r="L14" s="93">
        <f t="shared" ca="1" si="7"/>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 ca="1">SUM(C14:L14)</f>
      </c>
      <c r="C20" s="51"/>
      <c r="D20" s="51"/>
      <c r="E20" s="51"/>
      <c r="F20" s="51"/>
      <c r="G20" s="51"/>
      <c r="H20" s="51"/>
      <c r="I20" s="51"/>
      <c r="J20" s="51"/>
      <c r="K20" s="51"/>
      <c r="L20" s="51"/>
    </row>
    <row r="21" spans="1:12">
      <c r="A21" s="48" t="s">
        <v>47</v>
      </c>
      <c r="B21" s="99">
        <f ca="1">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 ca="1">IF('Input sheet'!B47="B",('Input sheet'!B11+'Input sheet'!B12)*'Input sheet'!B48,'Valuation output'!B21*'Input sheet'!B48)</f>
      </c>
      <c r="C23" s="51"/>
      <c r="D23" s="51"/>
      <c r="E23" s="51"/>
      <c r="F23" s="51"/>
      <c r="G23" s="51"/>
      <c r="H23" s="51"/>
      <c r="I23" s="51"/>
      <c r="J23" s="51"/>
      <c r="K23" s="51"/>
      <c r="L23" s="51"/>
    </row>
    <row r="24" spans="1:12">
      <c r="A24" s="48" t="s">
        <v>44</v>
      </c>
      <c r="B24" s="92">
        <f ca="1">B21*(1-B22)+B23*B22</f>
      </c>
      <c r="C24" s="51"/>
      <c r="D24" s="51"/>
      <c r="E24" s="51"/>
      <c r="F24" s="51"/>
      <c r="G24" s="51"/>
      <c r="H24" s="51"/>
      <c r="I24" s="51"/>
      <c r="J24" s="51"/>
      <c r="K24" s="51"/>
      <c r="L24" s="51"/>
    </row>
    <row r="25" spans="1:12">
      <c r="A25" s="48" t="s">
        <v>392</v>
      </c>
      <c r="B25" s="92">
        <f ca="1">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 ca="1">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 ca="1">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 ca="1">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 ca="1">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 t="shared" ref="C39:L39" ca="1" si="9">B39+C8</f>
      </c>
      <c r="D39" s="107">
        <f t="shared" ca="1" si="9"/>
      </c>
      <c r="E39" s="107">
        <f t="shared" ca="1" si="9"/>
      </c>
      <c r="F39" s="107">
        <f t="shared" ca="1" si="9"/>
      </c>
      <c r="G39" s="107">
        <f t="shared" ca="1" si="9"/>
      </c>
      <c r="H39" s="107">
        <f t="shared" ca="1" si="9"/>
      </c>
      <c r="I39" s="107">
        <f t="shared" ca="1" si="9"/>
      </c>
      <c r="J39" s="107">
        <f t="shared" ca="1" si="9"/>
      </c>
      <c r="K39" s="107">
        <f t="shared" ca="1" si="9"/>
      </c>
      <c r="L39" s="107">
        <f t="shared" ca="1" si="9"/>
      </c>
      <c r="M39" s="98"/>
    </row>
    <row r="40" spans="1:13">
      <c r="A40" s="44" t="s">
        <v>19</v>
      </c>
      <c r="B40" s="94">
        <f t="shared" ref="B40:L40" ca="1" si="10">B7/B39</f>
      </c>
      <c r="C40" s="90">
        <f t="shared" ca="1" si="10"/>
      </c>
      <c r="D40" s="90">
        <f t="shared" ca="1" si="10"/>
      </c>
      <c r="E40" s="90">
        <f t="shared" ca="1" si="10"/>
      </c>
      <c r="F40" s="90">
        <f t="shared" ca="1" si="10"/>
      </c>
      <c r="G40" s="90">
        <f t="shared" ca="1" si="10"/>
      </c>
      <c r="H40" s="90">
        <f t="shared" ca="1" si="10"/>
      </c>
      <c r="I40" s="90">
        <f t="shared" ca="1" si="10"/>
      </c>
      <c r="J40" s="90">
        <f t="shared" ca="1" si="10"/>
      </c>
      <c r="K40" s="90">
        <f t="shared" ca="1" si="10"/>
      </c>
      <c r="L40" s="109">
        <f t="shared" ca="1" si="10"/>
      </c>
      <c r="M40" s="90">
        <f>IF('Input sheet'!B42="Yes",'Input sheet'!B43,'Valuation output'!L12)</f>
      </c>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v>0.0413</v>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