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3400" yWindow="460" windowWidth="30200" windowHeight="19540" tabRatio="772" firstSheet="0" activeTab="3" autoFilterDateGrouping="1"/>
  </bookViews>
  <sheets>
    <sheet xmlns:r="http://schemas.openxmlformats.org/officeDocument/2006/relationships" name="Valuation Comparison" sheetId="1" state="visible" r:id="rId1"/>
    <sheet xmlns:r="http://schemas.openxmlformats.org/officeDocument/2006/relationships" name="CB_DATA_" sheetId="2" state="veryHidden" r:id="rId2"/>
    <sheet xmlns:r="http://schemas.openxmlformats.org/officeDocument/2006/relationships" name="Input sheet" sheetId="3" state="visible" r:id="rId3"/>
    <sheet xmlns:r="http://schemas.openxmlformats.org/officeDocument/2006/relationships" name="Valuation output" sheetId="4" state="visible" r:id="rId4"/>
    <sheet xmlns:r="http://schemas.openxmlformats.org/officeDocument/2006/relationships" name="Stories to Numbers" sheetId="5" state="visible" r:id="rId5"/>
    <sheet xmlns:r="http://schemas.openxmlformats.org/officeDocument/2006/relationships" name="Summary Sheet" sheetId="6" state="visible" r:id="rId6"/>
    <sheet xmlns:r="http://schemas.openxmlformats.org/officeDocument/2006/relationships" name="Option value" sheetId="7" state="visible" r:id="rId7"/>
    <sheet xmlns:r="http://schemas.openxmlformats.org/officeDocument/2006/relationships" name="Diagnostics" sheetId="8" state="visible" r:id="rId8"/>
    <sheet xmlns:r="http://schemas.openxmlformats.org/officeDocument/2006/relationships" name="R&amp; D converter" sheetId="9" state="visible" r:id="rId9"/>
    <sheet xmlns:r="http://schemas.openxmlformats.org/officeDocument/2006/relationships" name="Operating lease converter" sheetId="10" state="visible" r:id="rId10"/>
    <sheet xmlns:r="http://schemas.openxmlformats.org/officeDocument/2006/relationships" name="Cost of capital worksheet" sheetId="11" state="visible" r:id="rId11"/>
    <sheet xmlns:r="http://schemas.openxmlformats.org/officeDocument/2006/relationships" name="Synthetic rating" sheetId="12" state="visible" r:id="rId12"/>
    <sheet xmlns:r="http://schemas.openxmlformats.org/officeDocument/2006/relationships" name="Industry Averages(US)" sheetId="13" state="visible" r:id="rId13"/>
    <sheet xmlns:r="http://schemas.openxmlformats.org/officeDocument/2006/relationships" name="Global industry averages" sheetId="14" state="visible" r:id="rId14"/>
    <sheet xmlns:r="http://schemas.openxmlformats.org/officeDocument/2006/relationships" name="Country equity risk premiums" sheetId="15" state="visible" r:id="rId15"/>
    <sheet xmlns:r="http://schemas.openxmlformats.org/officeDocument/2006/relationships" name="Trailing 12 month" sheetId="16" state="visible" r:id="rId16"/>
    <sheet xmlns:r="http://schemas.openxmlformats.org/officeDocument/2006/relationships" name="Answer keys" sheetId="17" state="visible" r:id="rId17"/>
    <sheet xmlns:r="http://schemas.openxmlformats.org/officeDocument/2006/relationships" name="Historical financing basis" sheetId="18" state="visible" r:id="rId18"/>
  </sheets>
  <definedNames>
    <definedName name="CB_Block_00000000000000000000000000000001" localSheetId="1" hidden="1">"'636728067925474621"</definedName>
    <definedName name="CBWorkbookPriority" localSheetId="1" hidden="1">-1232106626683060</definedName>
    <definedName name="CBx_271d6a2b7a934e27808caa1aada6a76d" localSheetId="1" hidden="1">"'CB_DATA_'!$A$1"</definedName>
    <definedName name="CBx_eb12ad88c3be4256b53f793e1373a468" localSheetId="1" hidden="1">"'Input sheet'!$A$1"</definedName>
    <definedName name="CBx_faa3ee019bfb4333b7427cca748c6e20" localSheetId="1" hidden="1">"'Valuation output'!$A$1"</definedName>
    <definedName name="CBx_Sheet_Guid" localSheetId="1" hidden="1">"'271d6a2b-7a93-4e27-808c-aa1aada6a76d"</definedName>
    <definedName name="CBx_SheetRef" localSheetId="1" hidden="1">CB_DATA_!$A$14</definedName>
    <definedName name="CBx_StorageType" localSheetId="1" hidden="1">2</definedName>
    <definedName name="CB_02fb7351666d45d8bca28f2efd572a6b" localSheetId="2" hidden="1">'Input sheet'!$B$24</definedName>
    <definedName name="CB_2565313a0871403fb53ffc682c34d71b" localSheetId="2" hidden="1">'Input sheet'!$B$29</definedName>
    <definedName name="CB_62e99b5c4ed9483f8023bd06aa9304a5" localSheetId="2" hidden="1">'Input sheet'!$B$23</definedName>
    <definedName name="CB_Block_00000000000000000000000000000000" localSheetId="2" hidden="1">"'7.0.0.0"</definedName>
    <definedName name="CB_Block_00000000000000000000000000000001" localSheetId="2" hidden="1">"'636728067924380985"</definedName>
    <definedName name="CB_Block_00000000000000000000000000000003" localSheetId="2" hidden="1">"'11.1.4716.0"</definedName>
    <definedName name="CB_BlockExt_00000000000000000000000000000003" localSheetId="2" hidden="1">"'11.1.2.4.850"</definedName>
    <definedName name="CBx_Sheet_Guid" localSheetId="2" hidden="1">"'eb12ad88-c3be-4256-b53f-793e1373a468"</definedName>
    <definedName name="CBx_SheetRef" localSheetId="2" hidden="1">CB_DATA_!$B$14</definedName>
    <definedName name="CBx_StorageType" localSheetId="2" hidden="1">2</definedName>
    <definedName name="CB_Block_00000000000000000000000000000000" localSheetId="3" hidden="1">"'7.0.0.0"</definedName>
    <definedName name="CB_Block_00000000000000000000000000000001" localSheetId="3" hidden="1">"'636728067925162136"</definedName>
    <definedName name="CB_Block_00000000000000000000000000000003" localSheetId="3" hidden="1">"'11.1.4716.0"</definedName>
    <definedName name="CB_BlockExt_00000000000000000000000000000003" localSheetId="3" hidden="1">"'11.1.2.4.850"</definedName>
    <definedName name="CB_d72c093ec87e4e16b91724fcf07fe883" localSheetId="3" hidden="1">'Valuation output'!$B$33</definedName>
    <definedName name="CBx_Sheet_Guid" localSheetId="3" hidden="1">"'faa3ee01-9bfb-4333-b742-7cca748c6e20"</definedName>
    <definedName name="CBx_SheetRef" localSheetId="3" hidden="1">CB_DATA_!$C$14</definedName>
    <definedName name="CBx_StorageType" localSheetId="3" hidden="1">2</definedName>
  </definedNames>
  <calcPr calcId="179021" fullCalcOnLoad="1" iterate="1" forceFullCalc="1" calcMode="auto"/>
</workbook>
</file>

<file path=xl/styles.xml><?xml version="1.0" encoding="utf-8"?>
<styleSheet xmlns="http://schemas.openxmlformats.org/spreadsheetml/2006/main">
  <numFmts count="13">
    <numFmt numFmtId="164" formatCode="_(&quot;$&quot;* #,##0.00_);_(&quot;$&quot;* \(#,##0.00\);_(&quot;$&quot;* &quot;-&quot;??_);_(@_)"/>
    <numFmt numFmtId="165" formatCode="#,##0.0000"/>
    <numFmt numFmtId="166" formatCode="&quot;$&quot;#,##0.00_);[Red]\(&quot;$&quot;#,##0.00\)"/>
    <numFmt numFmtId="167" formatCode="&quot;$&quot;#,##0.00"/>
    <numFmt numFmtId="168" formatCode="_(&quot;$&quot;* #,##0_);_(&quot;$&quot;* \(#,##0\);_(&quot;$&quot;* &quot;-&quot;??_);_(@_)"/>
    <numFmt numFmtId="169" formatCode="0.0000"/>
    <numFmt numFmtId="170" formatCode="0.0000%"/>
    <numFmt numFmtId="171" formatCode="_([$$-409]* #,##0.00_);_([$$-409]* \(#,##0.00\);_([$$-409]* &quot;-&quot;??_);_(@_)"/>
    <numFmt numFmtId="172" formatCode="&quot;$&quot;#,##0_);[Red]\(&quot;$&quot;#,##0\)"/>
    <numFmt numFmtId="173" formatCode="0.000%"/>
    <numFmt numFmtId="174" formatCode="_([$$-409]* #,##0_);_([$$-409]* \(#,##0\);_([$$-409]* &quot;-&quot;??_);_(@_)"/>
    <numFmt numFmtId="175" formatCode="_(* #,##0.0_);_(* \(#,##0.0\)_)\ ;_(* 0_)"/>
    <numFmt numFmtId="176" formatCode="0.0%"/>
  </numFmts>
  <fonts count="73">
    <font>
      <name val="Geneva"/>
      <family val="2"/>
      <sz val="9"/>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Geneva"/>
      <family val="2"/>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Times"/>
      <family val="1"/>
      <b val="1"/>
      <i val="1"/>
      <sz val="12"/>
      <u val="single"/>
    </font>
    <font>
      <name val="Helv"/>
      <b val="1"/>
      <sz val="10"/>
    </font>
    <font>
      <name val="Helv"/>
      <sz val="10"/>
    </font>
    <font>
      <name val="Helv"/>
      <b val="1"/>
      <i val="1"/>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b val="1"/>
      <sz val="10"/>
    </font>
    <font>
      <name val="Arial"/>
      <family val="2"/>
      <sz val="10"/>
    </font>
    <font>
      <name val="Times"/>
      <family val="1"/>
      <sz val="9"/>
    </font>
    <font>
      <name val="Times"/>
      <family val="1"/>
      <b val="1"/>
      <sz val="9"/>
    </font>
    <font>
      <name val="Helv"/>
      <b val="1"/>
      <sz val="9"/>
    </font>
    <font>
      <name val="Times"/>
      <family val="1"/>
      <i val="1"/>
      <sz val="14"/>
    </font>
    <font>
      <name val="Arial"/>
      <family val="2"/>
      <sz val="8"/>
    </font>
    <font>
      <name val="Calibri"/>
      <family val="2"/>
      <color indexed="81"/>
      <sz val="10"/>
    </font>
    <font>
      <name val="Calibri"/>
      <family val="2"/>
      <b val="1"/>
      <color indexed="81"/>
      <sz val="10"/>
    </font>
    <font>
      <name val="Helv"/>
      <i val="1"/>
      <sz val="9"/>
    </font>
    <font>
      <name val="Calibri"/>
      <family val="2"/>
      <sz val="12"/>
    </font>
    <font>
      <name val="Calibri"/>
      <family val="2"/>
      <sz val="9"/>
    </font>
    <font>
      <name val="Calibri"/>
      <family val="2"/>
      <i val="1"/>
      <sz val="12"/>
    </font>
    <font>
      <name val="Calibri"/>
      <family val="2"/>
      <b val="1"/>
      <color theme="1"/>
      <sz val="12"/>
      <scheme val="minor"/>
    </font>
    <font>
      <name val="Calibri"/>
      <family val="2"/>
      <color rgb="FFFF0000"/>
      <sz val="12"/>
      <scheme val="minor"/>
    </font>
    <font>
      <name val="Helv"/>
      <i val="1"/>
      <color rgb="FFFF0000"/>
      <sz val="10"/>
    </font>
    <font>
      <name val="Times"/>
      <family val="1"/>
      <color rgb="FFFF0000"/>
      <sz val="12"/>
    </font>
    <font>
      <name val="Helv"/>
      <b val="1"/>
      <color theme="1"/>
      <sz val="10"/>
    </font>
    <font>
      <name val="Calibri"/>
      <family val="2"/>
      <sz val="10"/>
      <scheme val="minor"/>
    </font>
    <font>
      <name val="Helv"/>
      <i val="1"/>
      <color rgb="FFFF0000"/>
      <sz val="9"/>
    </font>
    <font>
      <name val="Calibri"/>
      <family val="2"/>
      <i val="1"/>
      <color theme="1"/>
      <sz val="12"/>
      <scheme val="minor"/>
    </font>
    <font>
      <name val="Calibri"/>
      <family val="2"/>
      <sz val="12"/>
      <scheme val="minor"/>
    </font>
    <font>
      <name val="Calibri"/>
      <family val="2"/>
      <color theme="1"/>
      <sz val="10"/>
      <scheme val="minor"/>
    </font>
    <font>
      <name val="Calibri"/>
      <family val="2"/>
      <sz val="9"/>
      <scheme val="minor"/>
    </font>
    <font>
      <name val="Calibri"/>
      <family val="2"/>
      <color theme="1"/>
      <sz val="12"/>
    </font>
    <font>
      <name val="Calibri"/>
      <family val="2"/>
      <color rgb="FFFF0000"/>
      <sz val="12"/>
    </font>
    <font>
      <name val="Calibri"/>
      <family val="2"/>
      <color rgb="FF000000"/>
      <sz val="12"/>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Arial"/>
      <family val="2"/>
      <color rgb="FFFF0000"/>
      <sz val="10"/>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b val="1"/>
      <sz val="12"/>
    </font>
    <font>
      <b val="1"/>
      <sz val="14"/>
    </font>
    <font>
      <b val="1"/>
      <sz val="11"/>
    </font>
    <font>
      <b val="1"/>
    </font>
  </fonts>
  <fills count="15">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
        <bgColor indexed="64"/>
      </patternFill>
    </fill>
    <fill>
      <patternFill patternType="solid">
        <fgColor rgb="FF00FF00"/>
        <bgColor indexed="64"/>
      </patternFill>
    </fill>
    <fill>
      <patternFill patternType="solid">
        <fgColor rgb="FF00FFFF"/>
        <bgColor indexed="64"/>
      </patternFill>
    </fill>
    <fill>
      <patternFill patternType="solid">
        <fgColor rgb="00E8F4F8"/>
        <bgColor rgb="00E8F4F8"/>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
      </top>
      <bottom style="thin">
        <color theme="6" tint="0.7999816888943144"/>
      </bottom>
      <diagonal/>
    </border>
    <border>
      <left/>
      <right/>
      <top style="thin">
        <color rgb="FFEBF1DE"/>
      </top>
      <bottom style="thin">
        <color rgb="FFEBF1DE"/>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s>
  <cellStyleXfs count="4">
    <xf numFmtId="0" fontId="3" fillId="0" borderId="0"/>
    <xf numFmtId="43" fontId="3" fillId="0" borderId="0"/>
    <xf numFmtId="44" fontId="3" fillId="0" borderId="0"/>
    <xf numFmtId="9" fontId="3" fillId="0" borderId="0"/>
  </cellStyleXfs>
  <cellXfs count="560">
    <xf numFmtId="0" fontId="0" fillId="0" borderId="0" pivotButton="0" quotePrefix="0" xfId="0"/>
    <xf numFmtId="0" fontId="0" fillId="0" borderId="1" pivotButton="0" quotePrefix="0" xfId="0"/>
    <xf numFmtId="0" fontId="2" fillId="0" borderId="0" pivotButton="0" quotePrefix="0" xfId="0"/>
    <xf numFmtId="10" fontId="0" fillId="0" borderId="1" applyAlignment="1" pivotButton="0" quotePrefix="0" xfId="0">
      <alignment horizontal="center"/>
    </xf>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164" fontId="12" fillId="2" borderId="1" pivotButton="0" quotePrefix="0" xfId="2"/>
    <xf numFmtId="10" fontId="12" fillId="2" borderId="1" pivotButton="0" quotePrefix="0" xfId="3"/>
    <xf numFmtId="10" fontId="12" fillId="2" borderId="1" pivotButton="0" quotePrefix="0" xfId="0"/>
    <xf numFmtId="2" fontId="12" fillId="2" borderId="1" pivotButton="0" quotePrefix="0" xfId="0"/>
    <xf numFmtId="4" fontId="12" fillId="2" borderId="1"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6" fillId="0" borderId="1" pivotButton="0" quotePrefix="0" xfId="0"/>
    <xf numFmtId="0" fontId="12" fillId="0" borderId="1" pivotButton="0" quotePrefix="0" xfId="0"/>
    <xf numFmtId="10" fontId="16" fillId="0" borderId="0" pivotButton="0" quotePrefix="0" xfId="0"/>
    <xf numFmtId="3" fontId="12" fillId="0" borderId="1" pivotButton="0" quotePrefix="0" xfId="0"/>
    <xf numFmtId="10" fontId="16" fillId="0" borderId="1" pivotButton="0" quotePrefix="0" xfId="0"/>
    <xf numFmtId="165" fontId="16" fillId="0" borderId="1" pivotButton="0" quotePrefix="0" xfId="1"/>
    <xf numFmtId="10" fontId="12" fillId="0" borderId="1" pivotButton="0" quotePrefix="0" xfId="0"/>
    <xf numFmtId="164" fontId="12" fillId="0" borderId="2" pivotButton="0" quotePrefix="0" xfId="2"/>
    <xf numFmtId="164" fontId="12" fillId="0" borderId="0" pivotButton="0" quotePrefix="0" xfId="2"/>
    <xf numFmtId="166" fontId="12" fillId="0" borderId="2" pivotButton="0" quotePrefix="0" xfId="0"/>
    <xf numFmtId="164" fontId="12" fillId="2" borderId="1" pivotButton="0" quotePrefix="0" xfId="0"/>
    <xf numFmtId="0" fontId="10" fillId="0" borderId="0" applyAlignment="1" pivotButton="0" quotePrefix="0" xfId="0">
      <alignment horizontal="centerContinuous"/>
    </xf>
    <xf numFmtId="0" fontId="12" fillId="0" borderId="1" applyAlignment="1" pivotButton="0" quotePrefix="0" xfId="0">
      <alignment horizontal="center"/>
    </xf>
    <xf numFmtId="0" fontId="19" fillId="0" borderId="0" pivotButton="0" quotePrefix="0" xfId="0"/>
    <xf numFmtId="0" fontId="12" fillId="0" borderId="2" pivotButton="0" quotePrefix="0" xfId="0"/>
    <xf numFmtId="164" fontId="12" fillId="3" borderId="1" pivotButton="0" quotePrefix="0" xfId="2"/>
    <xf numFmtId="164" fontId="12" fillId="0" borderId="0" pivotButton="0" quotePrefix="0" xfId="2"/>
    <xf numFmtId="0" fontId="12" fillId="2" borderId="1" applyAlignment="1" pivotButton="0" quotePrefix="0" xfId="0">
      <alignment horizontal="center"/>
    </xf>
    <xf numFmtId="0" fontId="12" fillId="0" borderId="3" pivotButton="0" quotePrefix="0" xfId="0"/>
    <xf numFmtId="164" fontId="12" fillId="2" borderId="3" pivotButton="0" quotePrefix="0" xfId="0"/>
    <xf numFmtId="164" fontId="12" fillId="2" borderId="3" pivotButton="0" quotePrefix="0" xfId="2"/>
    <xf numFmtId="0" fontId="12" fillId="2" borderId="2" pivotButton="0" quotePrefix="0" xfId="0"/>
    <xf numFmtId="164" fontId="12" fillId="2" borderId="2" pivotButton="0" quotePrefix="0" xfId="0"/>
    <xf numFmtId="164" fontId="12" fillId="2" borderId="4" pivotButton="0" quotePrefix="0" xfId="0"/>
    <xf numFmtId="0" fontId="21" fillId="0" borderId="5" applyAlignment="1" pivotButton="0" quotePrefix="0" xfId="0">
      <alignment horizontal="center"/>
    </xf>
    <xf numFmtId="0" fontId="21" fillId="0" borderId="1" applyAlignment="1" pivotButton="0" quotePrefix="0" xfId="0">
      <alignment horizontal="center"/>
    </xf>
    <xf numFmtId="0" fontId="22" fillId="0" borderId="1" pivotButton="0" quotePrefix="0" xfId="0"/>
    <xf numFmtId="0" fontId="22" fillId="0" borderId="0" pivotButton="0" quotePrefix="0" xfId="0"/>
    <xf numFmtId="0" fontId="22" fillId="0" borderId="0" pivotButton="0" quotePrefix="0" xfId="0"/>
    <xf numFmtId="0" fontId="22" fillId="0" borderId="0" pivotButton="0" quotePrefix="0" xfId="0"/>
    <xf numFmtId="0" fontId="22" fillId="0" borderId="1" pivotButton="0" quotePrefix="0" xfId="0"/>
    <xf numFmtId="0" fontId="23" fillId="0" borderId="1" pivotButton="0" quotePrefix="0" xfId="0"/>
    <xf numFmtId="0" fontId="22" fillId="0" borderId="1" applyAlignment="1" pivotButton="0" quotePrefix="0" xfId="0">
      <alignment horizontal="center"/>
    </xf>
    <xf numFmtId="0" fontId="22" fillId="0" borderId="0" applyAlignment="1" pivotButton="0" quotePrefix="0" xfId="0">
      <alignment horizontal="center"/>
    </xf>
    <xf numFmtId="0" fontId="22" fillId="0" borderId="0" applyAlignment="1" pivotButton="0" quotePrefix="0" xfId="0">
      <alignment horizontal="center"/>
    </xf>
    <xf numFmtId="0" fontId="24" fillId="0" borderId="0" pivotButton="0" quotePrefix="0" xfId="0"/>
    <xf numFmtId="0" fontId="25" fillId="0" borderId="6" pivotButton="0" quotePrefix="0" xfId="0"/>
    <xf numFmtId="0" fontId="25" fillId="0" borderId="7" pivotButton="0" quotePrefix="0" xfId="0"/>
    <xf numFmtId="0" fontId="25" fillId="0" borderId="0" pivotButton="0" quotePrefix="0" xfId="0"/>
    <xf numFmtId="0" fontId="24" fillId="0" borderId="0" pivotButton="0" quotePrefix="0" xfId="0"/>
    <xf numFmtId="0" fontId="25" fillId="0" borderId="8" pivotButton="0" quotePrefix="0" xfId="0"/>
    <xf numFmtId="0" fontId="25" fillId="0" borderId="9" pivotButton="0" quotePrefix="0" xfId="0"/>
    <xf numFmtId="0" fontId="25" fillId="0" borderId="1" pivotButton="0" quotePrefix="0" xfId="0"/>
    <xf numFmtId="164" fontId="25" fillId="4" borderId="1" applyAlignment="1" pivotButton="0" quotePrefix="0" xfId="2">
      <alignment horizontal="center"/>
    </xf>
    <xf numFmtId="0" fontId="47" fillId="0" borderId="0" pivotButton="0" quotePrefix="0" xfId="0"/>
    <xf numFmtId="0" fontId="25" fillId="0" borderId="0" pivotButton="0" quotePrefix="0" xfId="0"/>
    <xf numFmtId="10" fontId="25" fillId="4" borderId="1" applyAlignment="1" pivotButton="0" quotePrefix="0" xfId="2">
      <alignment horizontal="center"/>
    </xf>
    <xf numFmtId="0" fontId="24" fillId="0" borderId="0" pivotButton="0" quotePrefix="0" xfId="0"/>
    <xf numFmtId="164" fontId="25" fillId="0" borderId="0" applyAlignment="1" pivotButton="0" quotePrefix="0" xfId="2">
      <alignment horizontal="center"/>
    </xf>
    <xf numFmtId="10" fontId="25" fillId="4" borderId="1" applyAlignment="1" pivotButton="0" quotePrefix="0" xfId="0">
      <alignment horizontal="center"/>
    </xf>
    <xf numFmtId="2" fontId="25" fillId="4" borderId="1" applyAlignment="1" pivotButton="0" quotePrefix="0" xfId="0">
      <alignment horizontal="center"/>
    </xf>
    <xf numFmtId="10" fontId="25" fillId="0" borderId="0" pivotButton="0" quotePrefix="0" xfId="0"/>
    <xf numFmtId="10" fontId="25" fillId="5" borderId="0" applyAlignment="1" pivotButton="0" quotePrefix="0" xfId="0">
      <alignment horizontal="center"/>
    </xf>
    <xf numFmtId="167" fontId="25" fillId="4" borderId="1" applyAlignment="1" pivotButton="0" quotePrefix="0" xfId="0">
      <alignment horizontal="center"/>
    </xf>
    <xf numFmtId="10" fontId="25" fillId="0" borderId="0" applyAlignment="1" pivotButton="0" quotePrefix="0" xfId="0">
      <alignment horizontal="center"/>
    </xf>
    <xf numFmtId="0" fontId="27" fillId="0" borderId="0" pivotButton="0" quotePrefix="0" xfId="0"/>
    <xf numFmtId="0" fontId="27" fillId="0" borderId="0" pivotButton="0" quotePrefix="0" xfId="0"/>
    <xf numFmtId="0" fontId="25" fillId="0" borderId="0" pivotButton="0" quotePrefix="0" xfId="0"/>
    <xf numFmtId="0" fontId="25" fillId="4" borderId="1" applyAlignment="1" pivotButton="0" quotePrefix="0" xfId="0">
      <alignment horizontal="center"/>
    </xf>
    <xf numFmtId="9" fontId="25" fillId="4" borderId="1" applyAlignment="1" pivotButton="0" quotePrefix="0" xfId="0">
      <alignment horizontal="center"/>
    </xf>
    <xf numFmtId="9" fontId="25" fillId="5" borderId="0" applyAlignment="1" pivotButton="0" quotePrefix="0" xfId="0">
      <alignment horizontal="center"/>
    </xf>
    <xf numFmtId="0" fontId="8" fillId="0" borderId="0" applyAlignment="1" pivotButton="0" quotePrefix="0" xfId="0">
      <alignment horizontal="left"/>
    </xf>
    <xf numFmtId="10" fontId="12" fillId="4" borderId="2" applyAlignment="1" pivotButton="0" quotePrefix="0" xfId="0">
      <alignment horizontal="center"/>
    </xf>
    <xf numFmtId="166" fontId="12" fillId="2" borderId="2" pivotButton="0" quotePrefix="0" xfId="0"/>
    <xf numFmtId="0" fontId="25" fillId="0" borderId="0" pivotButton="0" quotePrefix="0" xfId="0"/>
    <xf numFmtId="0" fontId="26" fillId="5" borderId="0" pivotButton="0" quotePrefix="0" xfId="0"/>
    <xf numFmtId="0" fontId="27" fillId="5" borderId="0" pivotButton="0" quotePrefix="0" xfId="0"/>
    <xf numFmtId="164" fontId="25" fillId="4" borderId="1" applyAlignment="1" pivotButton="0" quotePrefix="0" xfId="2">
      <alignment horizontal="center"/>
    </xf>
    <xf numFmtId="0" fontId="24" fillId="0" borderId="10" pivotButton="0" quotePrefix="0" xfId="0"/>
    <xf numFmtId="0" fontId="25" fillId="0" borderId="11" pivotButton="0" quotePrefix="0" xfId="0"/>
    <xf numFmtId="0" fontId="25" fillId="0" borderId="12" pivotButton="0" quotePrefix="0" xfId="0"/>
    <xf numFmtId="0" fontId="22" fillId="6" borderId="1" pivotButton="0" quotePrefix="0" xfId="0"/>
    <xf numFmtId="10" fontId="22" fillId="6" borderId="1" applyAlignment="1" pivotButton="0" quotePrefix="0" xfId="3">
      <alignment horizontal="center"/>
    </xf>
    <xf numFmtId="10" fontId="22" fillId="6"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0" fontId="22" fillId="6" borderId="1" pivotButton="0" quotePrefix="0" xfId="3"/>
    <xf numFmtId="10" fontId="22" fillId="6" borderId="1" pivotButton="0" quotePrefix="0" xfId="2"/>
    <xf numFmtId="10" fontId="22" fillId="6" borderId="1" applyAlignment="1" pivotButton="0" quotePrefix="0" xfId="2">
      <alignment horizontal="center"/>
    </xf>
    <xf numFmtId="164" fontId="22" fillId="6" borderId="1" applyAlignment="1" pivotButton="0" quotePrefix="0" xfId="0">
      <alignment horizontal="center"/>
    </xf>
    <xf numFmtId="0" fontId="22" fillId="6" borderId="1" applyAlignment="1" pivotButton="0" quotePrefix="0" xfId="0">
      <alignment horizontal="center"/>
    </xf>
    <xf numFmtId="164" fontId="22" fillId="6" borderId="1" pivotButton="0" quotePrefix="0" xfId="0"/>
    <xf numFmtId="10" fontId="22" fillId="6" borderId="1" pivotButton="0" quotePrefix="0" xfId="0"/>
    <xf numFmtId="167" fontId="22" fillId="6" borderId="1" pivotButton="0" quotePrefix="0" xfId="0"/>
    <xf numFmtId="166" fontId="22" fillId="6" borderId="1" pivotButton="0" quotePrefix="0" xfId="0"/>
    <xf numFmtId="43" fontId="22" fillId="6" borderId="1" pivotButton="0" quotePrefix="0" xfId="1"/>
    <xf numFmtId="164" fontId="22" fillId="6" borderId="1" pivotButton="0" quotePrefix="0" xfId="2"/>
    <xf numFmtId="2" fontId="22" fillId="6" borderId="1" applyAlignment="1" pivotButton="0" quotePrefix="0" xfId="0">
      <alignment horizontal="center"/>
    </xf>
    <xf numFmtId="168" fontId="22" fillId="6" borderId="1" pivotButton="0" quotePrefix="0" xfId="0"/>
    <xf numFmtId="168" fontId="22" fillId="6" borderId="1" applyAlignment="1" pivotButton="0" quotePrefix="0" xfId="0">
      <alignment horizontal="center"/>
    </xf>
    <xf numFmtId="164" fontId="22" fillId="7" borderId="1" applyAlignment="1" pivotButton="0" quotePrefix="0" xfId="2">
      <alignment horizontal="center"/>
    </xf>
    <xf numFmtId="10" fontId="22" fillId="7" borderId="1" applyAlignment="1" pivotButton="0" quotePrefix="0" xfId="3">
      <alignment horizontal="center"/>
    </xf>
    <xf numFmtId="164" fontId="0" fillId="7" borderId="1" pivotButton="0" quotePrefix="0" xfId="0"/>
    <xf numFmtId="0" fontId="28" fillId="0" borderId="0" pivotButton="0" quotePrefix="0" xfId="0"/>
    <xf numFmtId="0" fontId="16" fillId="0" borderId="0" pivotButton="0" quotePrefix="0" xfId="0"/>
    <xf numFmtId="0" fontId="12" fillId="0" borderId="0" pivotButton="0" quotePrefix="0" xfId="0"/>
    <xf numFmtId="0" fontId="12" fillId="3" borderId="1" pivotButton="0" quotePrefix="0" xfId="0"/>
    <xf numFmtId="0" fontId="12" fillId="0" borderId="0" pivotButton="0" quotePrefix="0" xfId="0"/>
    <xf numFmtId="0" fontId="12" fillId="0" borderId="0" pivotButton="0" quotePrefix="0" xfId="0"/>
    <xf numFmtId="0" fontId="14" fillId="0" borderId="0" applyAlignment="1" pivotButton="0" quotePrefix="0" xfId="0">
      <alignment horizontal="center"/>
    </xf>
    <xf numFmtId="0" fontId="14" fillId="0" borderId="1" applyAlignment="1" pivotButton="0" quotePrefix="0" xfId="0">
      <alignment horizontal="center"/>
    </xf>
    <xf numFmtId="2" fontId="12" fillId="6" borderId="1" pivotButton="0" quotePrefix="0" xfId="0"/>
    <xf numFmtId="164" fontId="12" fillId="6" borderId="1" pivotButton="0" quotePrefix="0" xfId="0"/>
    <xf numFmtId="164" fontId="12" fillId="6" borderId="1" pivotButton="0" quotePrefix="0" xfId="2"/>
    <xf numFmtId="10" fontId="12" fillId="6" borderId="1" pivotButton="0" quotePrefix="0" xfId="3"/>
    <xf numFmtId="10" fontId="12" fillId="6" borderId="3" pivotButton="0" quotePrefix="0" xfId="0"/>
    <xf numFmtId="10" fontId="12" fillId="6" borderId="1" pivotButton="0" quotePrefix="0" xfId="0"/>
    <xf numFmtId="10" fontId="12" fillId="6" borderId="13" pivotButton="0" quotePrefix="0" xfId="3"/>
    <xf numFmtId="10" fontId="12" fillId="6" borderId="2" pivotButton="0" quotePrefix="0" xfId="3"/>
    <xf numFmtId="2" fontId="12" fillId="6" borderId="1" pivotButton="0" quotePrefix="0" xfId="2"/>
    <xf numFmtId="0" fontId="29" fillId="0" borderId="0" pivotButton="0" quotePrefix="0" xfId="0"/>
    <xf numFmtId="0" fontId="30" fillId="0" borderId="0" pivotButton="0" quotePrefix="0" xfId="0"/>
    <xf numFmtId="0" fontId="20" fillId="0" borderId="0" pivotButton="0" quotePrefix="0" xfId="0"/>
    <xf numFmtId="0" fontId="12" fillId="3" borderId="1" applyAlignment="1" pivotButton="0" quotePrefix="0" xfId="0">
      <alignment horizontal="center"/>
    </xf>
    <xf numFmtId="10" fontId="16" fillId="0" borderId="0" applyAlignment="1" pivotButton="0" quotePrefix="0" xfId="0">
      <alignment horizontal="center"/>
    </xf>
    <xf numFmtId="10" fontId="13" fillId="0" borderId="0" applyAlignment="1" pivotButton="0" quotePrefix="0" xfId="0">
      <alignment horizontal="center"/>
    </xf>
    <xf numFmtId="0" fontId="14" fillId="0" borderId="1" applyAlignment="1" pivotButton="0" quotePrefix="0" xfId="0">
      <alignment horizontal="centerContinuous"/>
    </xf>
    <xf numFmtId="0" fontId="14" fillId="0" borderId="1" pivotButton="0" quotePrefix="0" xfId="0"/>
    <xf numFmtId="2" fontId="12" fillId="0" borderId="1" applyAlignment="1" pivotButton="0" quotePrefix="0" xfId="0">
      <alignment horizontal="center"/>
    </xf>
    <xf numFmtId="0" fontId="12" fillId="0" borderId="1" applyAlignment="1" pivotButton="0" quotePrefix="0" xfId="0">
      <alignment horizontal="centerContinuous"/>
    </xf>
    <xf numFmtId="10" fontId="12" fillId="6" borderId="2" pivotButton="0" quotePrefix="0" xfId="0"/>
    <xf numFmtId="2" fontId="16" fillId="6" borderId="2" applyAlignment="1" pivotButton="0" quotePrefix="0" xfId="0">
      <alignment horizontal="center"/>
    </xf>
    <xf numFmtId="0" fontId="31" fillId="6" borderId="4" applyAlignment="1" pivotButton="0" quotePrefix="0" xfId="0">
      <alignment horizontal="center"/>
    </xf>
    <xf numFmtId="10" fontId="16" fillId="6" borderId="2" applyAlignment="1" pivotButton="0" quotePrefix="0" xfId="3">
      <alignment horizontal="center"/>
    </xf>
    <xf numFmtId="10" fontId="16" fillId="6" borderId="2" applyAlignment="1" pivotButton="0" quotePrefix="0" xfId="0">
      <alignment horizontal="center"/>
    </xf>
    <xf numFmtId="0" fontId="33" fillId="0" borderId="0" pivotButton="0" quotePrefix="0" xfId="0"/>
    <xf numFmtId="0" fontId="7" fillId="5" borderId="0" pivotButton="0" quotePrefix="0" xfId="0"/>
    <xf numFmtId="0" fontId="32" fillId="6" borderId="1" pivotButton="0" quotePrefix="0" xfId="0"/>
    <xf numFmtId="0" fontId="33" fillId="6" borderId="1" pivotButton="0" quotePrefix="0" xfId="0"/>
    <xf numFmtId="164" fontId="33" fillId="6" borderId="1" pivotButton="0" quotePrefix="0" xfId="2"/>
    <xf numFmtId="10" fontId="33" fillId="6" borderId="1" pivotButton="0" quotePrefix="0" xfId="0"/>
    <xf numFmtId="0" fontId="33" fillId="6" borderId="3" pivotButton="0" quotePrefix="0" xfId="0"/>
    <xf numFmtId="10" fontId="33" fillId="6" borderId="3" applyAlignment="1" pivotButton="0" quotePrefix="0" xfId="0">
      <alignment horizontal="right"/>
    </xf>
    <xf numFmtId="0" fontId="33" fillId="0" borderId="10" pivotButton="0" quotePrefix="0" xfId="0"/>
    <xf numFmtId="169" fontId="22" fillId="6" borderId="1" applyAlignment="1" pivotButton="0" quotePrefix="0" xfId="0">
      <alignment horizontal="center"/>
    </xf>
    <xf numFmtId="0" fontId="22" fillId="0" borderId="0" applyAlignment="1" pivotButton="0" quotePrefix="0" xfId="0">
      <alignment horizontal="left"/>
    </xf>
    <xf numFmtId="0" fontId="24" fillId="0" borderId="11" pivotButton="0" quotePrefix="0" xfId="0"/>
    <xf numFmtId="0" fontId="25" fillId="0" borderId="0" pivotButton="0" quotePrefix="0" xfId="0"/>
    <xf numFmtId="0" fontId="25" fillId="4" borderId="1" pivotButton="0" quotePrefix="0" xfId="0"/>
    <xf numFmtId="2" fontId="25" fillId="4" borderId="14" applyAlignment="1" pivotButton="0" quotePrefix="0" xfId="2">
      <alignment horizontal="center"/>
    </xf>
    <xf numFmtId="10" fontId="25" fillId="4" borderId="1" applyAlignment="1" pivotButton="0" quotePrefix="0" xfId="0">
      <alignment horizontal="center"/>
    </xf>
    <xf numFmtId="0" fontId="25" fillId="0" borderId="1" pivotButton="0" quotePrefix="0" xfId="0"/>
    <xf numFmtId="0" fontId="0" fillId="0" borderId="1" applyAlignment="1" pivotButton="0" quotePrefix="0" xfId="0">
      <alignment horizontal="center"/>
    </xf>
    <xf numFmtId="0" fontId="12" fillId="4" borderId="1" pivotButton="0" quotePrefix="0" xfId="0"/>
    <xf numFmtId="0" fontId="12" fillId="6" borderId="1" pivotButton="0" quotePrefix="0" xfId="0"/>
    <xf numFmtId="0" fontId="13" fillId="0" borderId="1" pivotButton="0" quotePrefix="0" xfId="0"/>
    <xf numFmtId="170" fontId="12" fillId="6" borderId="1" pivotButton="0" quotePrefix="0" xfId="3"/>
    <xf numFmtId="170" fontId="12" fillId="6" borderId="1" pivotButton="0" quotePrefix="0" xfId="0"/>
    <xf numFmtId="2" fontId="12" fillId="3" borderId="1" pivotButton="0" quotePrefix="0" xfId="0"/>
    <xf numFmtId="10" fontId="25" fillId="5" borderId="0" pivotButton="0" quotePrefix="0" xfId="3"/>
    <xf numFmtId="0" fontId="25" fillId="0" borderId="15" pivotButton="0" quotePrefix="0" xfId="0"/>
    <xf numFmtId="0" fontId="7" fillId="0" borderId="16" pivotButton="0" quotePrefix="0" xfId="0"/>
    <xf numFmtId="0" fontId="7" fillId="0" borderId="17" pivotButton="0" quotePrefix="0" xfId="0"/>
    <xf numFmtId="0" fontId="24" fillId="0" borderId="0" pivotButton="0" quotePrefix="0" xfId="0"/>
    <xf numFmtId="164" fontId="25" fillId="4" borderId="14" applyAlignment="1" pivotButton="0" quotePrefix="0" xfId="2">
      <alignment horizontal="center"/>
    </xf>
    <xf numFmtId="0" fontId="12" fillId="4" borderId="1" pivotButton="0" quotePrefix="0" xfId="0"/>
    <xf numFmtId="171" fontId="12" fillId="4" borderId="1" pivotButton="0" quotePrefix="0" xfId="2"/>
    <xf numFmtId="169" fontId="12" fillId="6" borderId="1" pivotButton="0" quotePrefix="0" xfId="0"/>
    <xf numFmtId="171" fontId="12" fillId="6" borderId="1" pivotButton="0" quotePrefix="0" xfId="0"/>
    <xf numFmtId="0" fontId="0" fillId="6" borderId="1" pivotButton="0" quotePrefix="0" xfId="0"/>
    <xf numFmtId="171" fontId="3" fillId="6" borderId="1" pivotButton="0" quotePrefix="0" xfId="2"/>
    <xf numFmtId="169"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7" fontId="0" fillId="4" borderId="1" applyAlignment="1" pivotButton="0" quotePrefix="0" xfId="0">
      <alignment horizontal="center"/>
    </xf>
    <xf numFmtId="2" fontId="34" fillId="0" borderId="1" applyAlignment="1" pivotButton="0" quotePrefix="0" xfId="0">
      <alignment horizontal="center"/>
    </xf>
    <xf numFmtId="2" fontId="34" fillId="0" borderId="0" pivotButton="0" quotePrefix="0" xfId="0"/>
    <xf numFmtId="2" fontId="12" fillId="0" borderId="0" pivotButton="0" quotePrefix="0" xfId="0"/>
    <xf numFmtId="1" fontId="34" fillId="0" borderId="1" applyAlignment="1" pivotButton="0" quotePrefix="0" xfId="0">
      <alignment horizontal="center"/>
    </xf>
    <xf numFmtId="2" fontId="34" fillId="3" borderId="1" applyAlignment="1" pivotButton="0" quotePrefix="0" xfId="0">
      <alignment horizontal="center"/>
    </xf>
    <xf numFmtId="2" fontId="35" fillId="0" borderId="0" pivotButton="0" quotePrefix="0" xfId="0"/>
    <xf numFmtId="2" fontId="34" fillId="0" borderId="13" applyAlignment="1" pivotButton="0" quotePrefix="0" xfId="0">
      <alignment horizontal="centerContinuous"/>
    </xf>
    <xf numFmtId="2" fontId="34" fillId="0" borderId="18" applyAlignment="1" pivotButton="0" quotePrefix="0" xfId="0">
      <alignment horizontal="centerContinuous"/>
    </xf>
    <xf numFmtId="164" fontId="34" fillId="0" borderId="1" pivotButton="0" quotePrefix="0" xfId="2"/>
    <xf numFmtId="2" fontId="34" fillId="0" borderId="3" applyAlignment="1" pivotButton="0" quotePrefix="0" xfId="0">
      <alignment horizontal="center"/>
    </xf>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64" fontId="25" fillId="8" borderId="18" applyAlignment="1" pivotButton="0" quotePrefix="0" xfId="0">
      <alignment horizontal="center"/>
    </xf>
    <xf numFmtId="164" fontId="47" fillId="9" borderId="18" applyAlignment="1" pivotButton="0" quotePrefix="0" xfId="0">
      <alignment horizontal="left"/>
    </xf>
    <xf numFmtId="0" fontId="0" fillId="0" borderId="1" applyAlignment="1" pivotButton="0" quotePrefix="0" xfId="0">
      <alignment horizontal="center"/>
    </xf>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0" fillId="0" borderId="0" applyAlignment="1" pivotButton="0" quotePrefix="0" xfId="0">
      <alignment horizontal="center"/>
    </xf>
    <xf numFmtId="167" fontId="0" fillId="0" borderId="0" pivotButton="0" quotePrefix="0" xfId="0"/>
    <xf numFmtId="167" fontId="12" fillId="6" borderId="2" pivotButton="0" quotePrefix="0" xfId="0"/>
    <xf numFmtId="0" fontId="27" fillId="0" borderId="11" pivotButton="0" quotePrefix="0" xfId="0"/>
    <xf numFmtId="0" fontId="36" fillId="0" borderId="0" pivotButton="0" quotePrefix="0" xfId="0"/>
    <xf numFmtId="0" fontId="25" fillId="0" borderId="20" pivotButton="0" quotePrefix="0" xfId="0"/>
    <xf numFmtId="0" fontId="25" fillId="0" borderId="21" pivotButton="0" quotePrefix="0" xfId="0"/>
    <xf numFmtId="0" fontId="16" fillId="5" borderId="22" applyAlignment="1" pivotButton="0" quotePrefix="0" xfId="0">
      <alignment vertical="center" wrapText="1"/>
    </xf>
    <xf numFmtId="0" fontId="13" fillId="5" borderId="14" applyAlignment="1" pivotButton="0" quotePrefix="0" xfId="0">
      <alignment horizontal="center" vertical="center" wrapText="1"/>
    </xf>
    <xf numFmtId="0" fontId="13" fillId="5" borderId="23" applyAlignment="1" pivotButton="0" quotePrefix="0" xfId="0">
      <alignment horizontal="center" vertical="center" wrapText="1"/>
    </xf>
    <xf numFmtId="0" fontId="12" fillId="6" borderId="1" applyAlignment="1" pivotButton="0" quotePrefix="0" xfId="0">
      <alignment horizontal="left" vertical="center" wrapText="1"/>
    </xf>
    <xf numFmtId="0" fontId="12" fillId="6" borderId="24" applyAlignment="1" pivotButton="0" quotePrefix="0" xfId="0">
      <alignment horizontal="left" vertical="center" wrapText="1"/>
    </xf>
    <xf numFmtId="9" fontId="12" fillId="6" borderId="1" applyAlignment="1" pivotButton="0" quotePrefix="0" xfId="3">
      <alignment horizontal="left" vertical="center" wrapText="1"/>
    </xf>
    <xf numFmtId="0" fontId="12" fillId="6" borderId="24" applyAlignment="1" pivotButton="0" quotePrefix="0" xfId="0">
      <alignment horizontal="left" vertical="center"/>
    </xf>
    <xf numFmtId="0" fontId="12" fillId="6" borderId="1" applyAlignment="1" pivotButton="0" quotePrefix="0" xfId="0">
      <alignment horizontal="left"/>
    </xf>
    <xf numFmtId="0" fontId="12" fillId="6" borderId="24" applyAlignment="1" pivotButton="0" quotePrefix="0" xfId="0">
      <alignment horizontal="left"/>
    </xf>
    <xf numFmtId="10" fontId="12" fillId="6" borderId="25" applyAlignment="1" pivotButton="0" quotePrefix="0" xfId="3">
      <alignment horizontal="left"/>
    </xf>
    <xf numFmtId="0" fontId="12" fillId="6" borderId="26" applyAlignment="1" pivotButton="0" quotePrefix="0" xfId="0">
      <alignment horizontal="left"/>
    </xf>
    <xf numFmtId="0" fontId="12" fillId="5" borderId="22" applyAlignment="1" pivotButton="0" quotePrefix="0" xfId="0">
      <alignment vertical="center"/>
    </xf>
    <xf numFmtId="0" fontId="12" fillId="5" borderId="27" pivotButton="0" quotePrefix="0" xfId="0"/>
    <xf numFmtId="0" fontId="12" fillId="5" borderId="28" pivotButton="0" quotePrefix="0" xfId="0"/>
    <xf numFmtId="0" fontId="27" fillId="0" borderId="0" pivotButton="0" quotePrefix="0" xfId="0"/>
    <xf numFmtId="167" fontId="2" fillId="0" borderId="0" applyAlignment="1" pivotButton="0" quotePrefix="0" xfId="0">
      <alignment horizontal="center"/>
    </xf>
    <xf numFmtId="167" fontId="2" fillId="0" borderId="0" pivotButton="0" quotePrefix="0" xfId="0"/>
    <xf numFmtId="17" fontId="24" fillId="4" borderId="1" applyAlignment="1" pivotButton="0" quotePrefix="0" xfId="0">
      <alignment horizontal="center"/>
    </xf>
    <xf numFmtId="0" fontId="49" fillId="4" borderId="1" applyAlignment="1" pivotButton="0" quotePrefix="0" xfId="0">
      <alignment horizontal="center"/>
    </xf>
    <xf numFmtId="0" fontId="12" fillId="4" borderId="1" pivotButton="0" quotePrefix="0" xfId="0"/>
    <xf numFmtId="10" fontId="12" fillId="4" borderId="1" applyAlignment="1" pivotButton="0" quotePrefix="0" xfId="0">
      <alignment horizontal="center"/>
    </xf>
    <xf numFmtId="0" fontId="25" fillId="4" borderId="1" pivotButton="0" quotePrefix="0" xfId="0"/>
    <xf numFmtId="10" fontId="12" fillId="6" borderId="1" applyAlignment="1" pivotButton="0" quotePrefix="0" xfId="0">
      <alignment horizontal="center"/>
    </xf>
    <xf numFmtId="173" fontId="12" fillId="3" borderId="1" pivotButton="0" quotePrefix="0" xfId="0"/>
    <xf numFmtId="0" fontId="50" fillId="0" borderId="1" applyAlignment="1" pivotButton="0" quotePrefix="0" xfId="0">
      <alignment horizontal="center"/>
    </xf>
    <xf numFmtId="9" fontId="12" fillId="6" borderId="1" applyAlignment="1" pivotButton="0" quotePrefix="0" xfId="0">
      <alignment horizontal="center"/>
    </xf>
    <xf numFmtId="0" fontId="12" fillId="6" borderId="2" applyAlignment="1" pivotButton="0" quotePrefix="0" xfId="0">
      <alignment horizontal="center"/>
    </xf>
    <xf numFmtId="0" fontId="37" fillId="0" borderId="0" pivotButton="0" quotePrefix="0" xfId="0"/>
    <xf numFmtId="2" fontId="12" fillId="4" borderId="1" pivotButton="0" quotePrefix="0" xfId="0"/>
    <xf numFmtId="0" fontId="28" fillId="0" borderId="0" applyAlignment="1" pivotButton="0" quotePrefix="0" xfId="0">
      <alignment horizontal="left"/>
    </xf>
    <xf numFmtId="167" fontId="0" fillId="6" borderId="1" pivotButton="0" quotePrefix="0" xfId="0"/>
    <xf numFmtId="0" fontId="2" fillId="0" borderId="1" applyAlignment="1" pivotButton="0" quotePrefix="0" xfId="0">
      <alignment horizontal="center"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13" fillId="5" borderId="0" pivotButton="0" quotePrefix="0" xfId="0"/>
    <xf numFmtId="0" fontId="37" fillId="5" borderId="0" pivotButton="0" quotePrefix="0" xfId="0"/>
    <xf numFmtId="0" fontId="25" fillId="4" borderId="1" pivotButton="0" quotePrefix="0" xfId="0"/>
    <xf numFmtId="0" fontId="27" fillId="0" borderId="1" pivotButton="0" quotePrefix="0" xfId="0"/>
    <xf numFmtId="0" fontId="25" fillId="0" borderId="11" pivotButton="0" quotePrefix="0" xfId="0"/>
    <xf numFmtId="0" fontId="27" fillId="0" borderId="8" pivotButton="0" quotePrefix="0" xfId="0"/>
    <xf numFmtId="0" fontId="25" fillId="0" borderId="29" pivotButton="0" quotePrefix="0" xfId="0"/>
    <xf numFmtId="0" fontId="41" fillId="0" borderId="0" pivotButton="0" quotePrefix="0" xfId="0"/>
    <xf numFmtId="0" fontId="7" fillId="4" borderId="1" applyAlignment="1" pivotButton="0" quotePrefix="0" xfId="0">
      <alignment horizontal="center"/>
    </xf>
    <xf numFmtId="9" fontId="7" fillId="4" borderId="1" applyAlignment="1" pivotButton="0" quotePrefix="0" xfId="0">
      <alignment horizontal="center"/>
    </xf>
    <xf numFmtId="0" fontId="2" fillId="0" borderId="1" pivotButton="0" quotePrefix="0" xfId="0"/>
    <xf numFmtId="10" fontId="50" fillId="0" borderId="30" applyAlignment="1" pivotButton="0" quotePrefix="0" xfId="0">
      <alignment horizontal="center"/>
    </xf>
    <xf numFmtId="10" fontId="25" fillId="4" borderId="1" applyAlignment="1" pivotButton="0" quotePrefix="0" xfId="3">
      <alignment horizontal="center"/>
    </xf>
    <xf numFmtId="167" fontId="25" fillId="0" borderId="0" applyAlignment="1" pivotButton="0" quotePrefix="0" xfId="0">
      <alignment horizontal="center"/>
    </xf>
    <xf numFmtId="2" fontId="25" fillId="0" borderId="0" applyAlignment="1" pivotButton="0" quotePrefix="0" xfId="0">
      <alignment horizontal="center"/>
    </xf>
    <xf numFmtId="168" fontId="25" fillId="10" borderId="1" pivotButton="0" quotePrefix="0" xfId="0"/>
    <xf numFmtId="10" fontId="25" fillId="10" borderId="1" pivotButton="0" quotePrefix="0" xfId="0"/>
    <xf numFmtId="10" fontId="25" fillId="10" borderId="1" pivotButton="0" quotePrefix="0" xfId="3"/>
    <xf numFmtId="2" fontId="25" fillId="10" borderId="1" pivotButton="0" quotePrefix="0" xfId="0"/>
    <xf numFmtId="10" fontId="25" fillId="10" borderId="3" pivotButton="0" quotePrefix="0" xfId="3"/>
    <xf numFmtId="10" fontId="25" fillId="10" borderId="25" pivotButton="0" quotePrefix="0" xfId="3"/>
    <xf numFmtId="0" fontId="7" fillId="0" borderId="1" pivotButton="0" quotePrefix="0" xfId="0"/>
    <xf numFmtId="0" fontId="51" fillId="0" borderId="0" pivotButton="0" quotePrefix="0" xfId="0"/>
    <xf numFmtId="0" fontId="52" fillId="0" borderId="31" applyAlignment="1" pivotButton="0" quotePrefix="0" xfId="0">
      <alignment horizontal="center"/>
    </xf>
    <xf numFmtId="0" fontId="52" fillId="0" borderId="14" applyAlignment="1" pivotButton="0" quotePrefix="0" xfId="0">
      <alignment horizontal="center"/>
    </xf>
    <xf numFmtId="16" fontId="52" fillId="0" borderId="14" applyAlignment="1" pivotButton="0" quotePrefix="0" xfId="0">
      <alignment horizontal="center"/>
    </xf>
    <xf numFmtId="0" fontId="52" fillId="0" borderId="32" applyAlignment="1" pivotButton="0" quotePrefix="0" xfId="0">
      <alignment horizontal="center"/>
    </xf>
    <xf numFmtId="0" fontId="52" fillId="0" borderId="33" pivotButton="0" quotePrefix="0" xfId="0"/>
    <xf numFmtId="164" fontId="46" fillId="0" borderId="34" pivotButton="0" quotePrefix="0" xfId="2"/>
    <xf numFmtId="0" fontId="53" fillId="0" borderId="35" pivotButton="0" quotePrefix="0" xfId="0"/>
    <xf numFmtId="0" fontId="53" fillId="0" borderId="36" pivotButton="0" quotePrefix="0" xfId="0"/>
    <xf numFmtId="168" fontId="53" fillId="0" borderId="1" applyAlignment="1" pivotButton="0" quotePrefix="0" xfId="2">
      <alignment horizontal="center"/>
    </xf>
    <xf numFmtId="10" fontId="53" fillId="0" borderId="1" applyAlignment="1" pivotButton="0" quotePrefix="0" xfId="0">
      <alignment horizontal="center"/>
    </xf>
    <xf numFmtId="0" fontId="53" fillId="0" borderId="1" applyAlignment="1" pivotButton="0" quotePrefix="0" xfId="0">
      <alignment horizontal="center"/>
    </xf>
    <xf numFmtId="10" fontId="53" fillId="0" borderId="13" applyAlignment="1" pivotButton="0" quotePrefix="0" xfId="0">
      <alignment horizontal="center"/>
    </xf>
    <xf numFmtId="10" fontId="53" fillId="0" borderId="18" applyAlignment="1" pivotButton="0" quotePrefix="0" xfId="0">
      <alignment horizontal="center"/>
    </xf>
    <xf numFmtId="2" fontId="53" fillId="0" borderId="13" pivotButton="0" quotePrefix="0" xfId="0"/>
    <xf numFmtId="2" fontId="53" fillId="0" borderId="18" applyAlignment="1" pivotButton="0" quotePrefix="0" xfId="0">
      <alignment horizontal="left"/>
    </xf>
    <xf numFmtId="10" fontId="53" fillId="0" borderId="13" applyAlignment="1" pivotButton="0" quotePrefix="0" xfId="3">
      <alignment horizontal="right"/>
    </xf>
    <xf numFmtId="10" fontId="53" fillId="0" borderId="18" applyAlignment="1" pivotButton="0" quotePrefix="0" xfId="3">
      <alignment horizontal="center"/>
    </xf>
    <xf numFmtId="0" fontId="53" fillId="0" borderId="37" pivotButton="0" quotePrefix="0" xfId="0"/>
    <xf numFmtId="10" fontId="53" fillId="0" borderId="25" applyAlignment="1" pivotButton="0" quotePrefix="0" xfId="0">
      <alignment horizontal="center"/>
    </xf>
    <xf numFmtId="0" fontId="53" fillId="0" borderId="36" applyAlignment="1" pivotButton="0" quotePrefix="0" xfId="0">
      <alignment horizontal="center"/>
    </xf>
    <xf numFmtId="174" fontId="53" fillId="0" borderId="1" pivotButton="0" quotePrefix="0" xfId="2"/>
    <xf numFmtId="10" fontId="53" fillId="0" borderId="1" applyAlignment="1" pivotButton="0" quotePrefix="0" xfId="3">
      <alignment horizontal="center"/>
    </xf>
    <xf numFmtId="0" fontId="53" fillId="0" borderId="37" applyAlignment="1" pivotButton="0" quotePrefix="0" xfId="0">
      <alignment horizontal="center"/>
    </xf>
    <xf numFmtId="174" fontId="53" fillId="0" borderId="25" pivotButton="0" quotePrefix="0" xfId="2"/>
    <xf numFmtId="10" fontId="53" fillId="0" borderId="25" applyAlignment="1" pivotButton="0" quotePrefix="0" xfId="3">
      <alignment horizontal="center"/>
    </xf>
    <xf numFmtId="168" fontId="53" fillId="0" borderId="33" pivotButton="0" quotePrefix="0" xfId="2"/>
    <xf numFmtId="168" fontId="53" fillId="0" borderId="6" pivotButton="0" quotePrefix="0" xfId="2"/>
    <xf numFmtId="0" fontId="53" fillId="0" borderId="6" pivotButton="0" quotePrefix="0" xfId="0"/>
    <xf numFmtId="0" fontId="53" fillId="0" borderId="7" pivotButton="0" quotePrefix="0" xfId="0"/>
    <xf numFmtId="168" fontId="53" fillId="0" borderId="1" pivotButton="0" quotePrefix="0" xfId="2"/>
    <xf numFmtId="168" fontId="53" fillId="0" borderId="0" pivotButton="0" quotePrefix="0" xfId="2"/>
    <xf numFmtId="0" fontId="53" fillId="0" borderId="0" pivotButton="0" quotePrefix="0" xfId="0"/>
    <xf numFmtId="0" fontId="53" fillId="0" borderId="12" pivotButton="0" quotePrefix="0" xfId="0"/>
    <xf numFmtId="0" fontId="53" fillId="0" borderId="5" applyAlignment="1" pivotButton="0" quotePrefix="0" xfId="0">
      <alignment horizontal="left"/>
    </xf>
    <xf numFmtId="0" fontId="53" fillId="0" borderId="0" applyAlignment="1" pivotButton="0" quotePrefix="0" xfId="0">
      <alignment horizontal="left"/>
    </xf>
    <xf numFmtId="0" fontId="53" fillId="0" borderId="0" pivotButton="0" quotePrefix="0" xfId="0"/>
    <xf numFmtId="0" fontId="53" fillId="0" borderId="0" applyAlignment="1" pivotButton="0" quotePrefix="0" xfId="0">
      <alignment horizontal="left"/>
    </xf>
    <xf numFmtId="43" fontId="53" fillId="0" borderId="1" pivotButton="0" quotePrefix="0" xfId="0"/>
    <xf numFmtId="0" fontId="53" fillId="0" borderId="5" pivotButton="0" quotePrefix="0" xfId="0"/>
    <xf numFmtId="0" fontId="53" fillId="0" borderId="38" pivotButton="0" quotePrefix="0" xfId="0"/>
    <xf numFmtId="0" fontId="53" fillId="0" borderId="39" pivotButton="0" quotePrefix="0" xfId="0"/>
    <xf numFmtId="10" fontId="53" fillId="0" borderId="20" applyAlignment="1" pivotButton="0" quotePrefix="0" xfId="3">
      <alignment horizontal="right"/>
    </xf>
    <xf numFmtId="10" fontId="53" fillId="0" borderId="17" applyAlignment="1" pivotButton="0" quotePrefix="0" xfId="3">
      <alignment horizontal="center"/>
    </xf>
    <xf numFmtId="0" fontId="53" fillId="0" borderId="16" pivotButton="0" quotePrefix="0" xfId="0"/>
    <xf numFmtId="10" fontId="53" fillId="0" borderId="3" applyAlignment="1" pivotButton="0" quotePrefix="0" xfId="0">
      <alignment horizontal="center"/>
    </xf>
    <xf numFmtId="0" fontId="53" fillId="0" borderId="34" applyAlignment="1" pivotButton="0" quotePrefix="0" xfId="0">
      <alignment horizontal="center"/>
    </xf>
    <xf numFmtId="0" fontId="53" fillId="0" borderId="40" applyAlignment="1" pivotButton="0" quotePrefix="0" xfId="0">
      <alignment horizontal="center"/>
    </xf>
    <xf numFmtId="2" fontId="53" fillId="0" borderId="15" pivotButton="0" quotePrefix="0" xfId="0"/>
    <xf numFmtId="10" fontId="53" fillId="0" borderId="17" applyAlignment="1" pivotButton="0" quotePrefix="0" xfId="3">
      <alignment horizontal="left"/>
    </xf>
    <xf numFmtId="167" fontId="53" fillId="0" borderId="41" applyAlignment="1" pivotButton="0" quotePrefix="0" xfId="0">
      <alignment horizontal="left"/>
    </xf>
    <xf numFmtId="0" fontId="52" fillId="0" borderId="42" applyAlignment="1" pivotButton="0" quotePrefix="0" xfId="0">
      <alignment horizontal="left"/>
    </xf>
    <xf numFmtId="174" fontId="53" fillId="0" borderId="13" applyAlignment="1" pivotButton="0" quotePrefix="0" xfId="2">
      <alignment horizontal="left"/>
    </xf>
    <xf numFmtId="168" fontId="53" fillId="0" borderId="13" pivotButton="0" quotePrefix="0" xfId="2"/>
    <xf numFmtId="10" fontId="53" fillId="0" borderId="18" applyAlignment="1" pivotButton="0" quotePrefix="0" xfId="0">
      <alignment horizontal="left"/>
    </xf>
    <xf numFmtId="0" fontId="0" fillId="0" borderId="0" applyAlignment="1" pivotButton="0" quotePrefix="0" xfId="0">
      <alignment horizontal="left"/>
    </xf>
    <xf numFmtId="0" fontId="38" fillId="0" borderId="1" applyAlignment="1" pivotButton="0" quotePrefix="0" xfId="0">
      <alignment horizontal="center"/>
    </xf>
    <xf numFmtId="0" fontId="0" fillId="4" borderId="1" pivotButton="0" quotePrefix="0" xfId="0"/>
    <xf numFmtId="10" fontId="12" fillId="4" borderId="1" pivotButton="0" quotePrefix="0" xfId="0"/>
    <xf numFmtId="10" fontId="50" fillId="0" borderId="30" applyAlignment="1" pivotButton="0" quotePrefix="0" xfId="3">
      <alignment horizontal="center"/>
    </xf>
    <xf numFmtId="10" fontId="0" fillId="0" borderId="0" pivotButton="0" quotePrefix="0" xfId="0"/>
    <xf numFmtId="164" fontId="3" fillId="4" borderId="1" applyAlignment="1" pivotButton="0" quotePrefix="0" xfId="2">
      <alignment horizontal="center"/>
    </xf>
    <xf numFmtId="0" fontId="50" fillId="4" borderId="1" pivotButton="0" quotePrefix="0" xfId="0"/>
    <xf numFmtId="0" fontId="54" fillId="0" borderId="43" applyAlignment="1" pivotButton="0" quotePrefix="0" xfId="0">
      <alignment vertical="center" wrapText="1"/>
    </xf>
    <xf numFmtId="0" fontId="55" fillId="0" borderId="0" pivotButton="0" quotePrefix="0" xfId="0"/>
    <xf numFmtId="164" fontId="55" fillId="0" borderId="0" pivotButton="0" quotePrefix="0" xfId="0"/>
    <xf numFmtId="10" fontId="55" fillId="0" borderId="0" pivotButton="0" quotePrefix="0" xfId="0"/>
    <xf numFmtId="164" fontId="0" fillId="0" borderId="0" pivotButton="0" quotePrefix="0" xfId="0"/>
    <xf numFmtId="164" fontId="43" fillId="0" borderId="0" pivotButton="0" quotePrefix="0" xfId="0"/>
    <xf numFmtId="2" fontId="55" fillId="0" borderId="0" pivotButton="0" quotePrefix="0" xfId="0"/>
    <xf numFmtId="164" fontId="55" fillId="0" borderId="0" pivotButton="0" quotePrefix="0" xfId="2"/>
    <xf numFmtId="10" fontId="55" fillId="0" borderId="0" pivotButton="0" quotePrefix="0" xfId="3"/>
    <xf numFmtId="10" fontId="0" fillId="0" borderId="0" pivotButton="0" quotePrefix="0" xfId="3"/>
    <xf numFmtId="169" fontId="0" fillId="0" borderId="0" pivotButton="0" quotePrefix="0" xfId="0"/>
    <xf numFmtId="0" fontId="44" fillId="0" borderId="1" pivotButton="0" quotePrefix="0" xfId="0"/>
    <xf numFmtId="0" fontId="42" fillId="0" borderId="1" applyAlignment="1" pivotButton="0" quotePrefix="0" xfId="0">
      <alignment horizontal="center"/>
    </xf>
    <xf numFmtId="0" fontId="44" fillId="0" borderId="13" applyAlignment="1" pivotButton="0" quotePrefix="0" xfId="0">
      <alignment horizontal="center"/>
    </xf>
    <xf numFmtId="0" fontId="44" fillId="0" borderId="1" pivotButton="0" quotePrefix="0" xfId="0"/>
    <xf numFmtId="0" fontId="42" fillId="0" borderId="1" pivotButton="0" quotePrefix="0" xfId="0"/>
    <xf numFmtId="10" fontId="42" fillId="0" borderId="1" applyAlignment="1" pivotButton="0" quotePrefix="0" xfId="3">
      <alignment horizontal="center"/>
    </xf>
    <xf numFmtId="10" fontId="42" fillId="0" borderId="1" pivotButton="0" quotePrefix="0" xfId="3"/>
    <xf numFmtId="10" fontId="42" fillId="0" borderId="13" applyAlignment="1" pivotButton="0" quotePrefix="0" xfId="0">
      <alignment horizontal="center"/>
    </xf>
    <xf numFmtId="0" fontId="42" fillId="0" borderId="1" applyAlignment="1" pivotButton="0" quotePrefix="0" xfId="0">
      <alignment horizontal="center"/>
    </xf>
    <xf numFmtId="10" fontId="42" fillId="0" borderId="1" pivotButton="0" quotePrefix="0" xfId="0"/>
    <xf numFmtId="10" fontId="56" fillId="0" borderId="13" applyAlignment="1" pivotButton="0" quotePrefix="0" xfId="3">
      <alignment horizontal="center"/>
    </xf>
    <xf numFmtId="0" fontId="42" fillId="0" borderId="1" pivotButton="0" quotePrefix="0" xfId="0"/>
    <xf numFmtId="0" fontId="57" fillId="0" borderId="51" applyAlignment="1" pivotButton="0" quotePrefix="0" xfId="0">
      <alignment horizontal="left"/>
    </xf>
    <xf numFmtId="0" fontId="57" fillId="0" borderId="1" applyAlignment="1" pivotButton="0" quotePrefix="0" xfId="0">
      <alignment horizontal="center"/>
    </xf>
    <xf numFmtId="10" fontId="57" fillId="0" borderId="1" applyAlignment="1" pivotButton="0" quotePrefix="0" xfId="0">
      <alignment horizontal="center"/>
    </xf>
    <xf numFmtId="0" fontId="57" fillId="0" borderId="1" pivotButton="0" quotePrefix="0" xfId="0"/>
    <xf numFmtId="10" fontId="57" fillId="0" borderId="18" applyAlignment="1" pivotButton="0" quotePrefix="0" xfId="0">
      <alignment horizontal="center"/>
    </xf>
    <xf numFmtId="0" fontId="56" fillId="0" borderId="51" applyAlignment="1" pivotButton="0" quotePrefix="0" xfId="0">
      <alignment horizontal="left"/>
    </xf>
    <xf numFmtId="10" fontId="42" fillId="0" borderId="13" applyAlignment="1" pivotButton="0" quotePrefix="0" xfId="3">
      <alignment horizontal="center"/>
    </xf>
    <xf numFmtId="0" fontId="57" fillId="0" borderId="44" applyAlignment="1" pivotButton="0" quotePrefix="0" xfId="0">
      <alignment horizontal="center"/>
    </xf>
    <xf numFmtId="10" fontId="42" fillId="0" borderId="1" applyAlignment="1" pivotButton="0" quotePrefix="0" xfId="0">
      <alignment horizontal="center"/>
    </xf>
    <xf numFmtId="0" fontId="57" fillId="0" borderId="0" pivotButton="0" quotePrefix="0" xfId="0"/>
    <xf numFmtId="0" fontId="42" fillId="0" borderId="51" pivotButton="0" quotePrefix="0" xfId="0"/>
    <xf numFmtId="0" fontId="56" fillId="0" borderId="1" applyAlignment="1" pivotButton="0" quotePrefix="0" xfId="0">
      <alignment horizontal="left"/>
    </xf>
    <xf numFmtId="0" fontId="57" fillId="0" borderId="1" applyAlignment="1" pivotButton="0" quotePrefix="0" xfId="0">
      <alignment horizontal="left"/>
    </xf>
    <xf numFmtId="10" fontId="57" fillId="0" borderId="13" applyAlignment="1" pivotButton="0" quotePrefix="0" xfId="0">
      <alignment horizontal="center"/>
    </xf>
    <xf numFmtId="10" fontId="42" fillId="0" borderId="18" pivotButton="0" quotePrefix="0" xfId="3"/>
    <xf numFmtId="10" fontId="42" fillId="0" borderId="18" applyAlignment="1" pivotButton="0" quotePrefix="0" xfId="0">
      <alignment horizontal="center"/>
    </xf>
    <xf numFmtId="0" fontId="56" fillId="0" borderId="0" applyAlignment="1" pivotButton="0" quotePrefix="0" xfId="0">
      <alignment horizontal="left"/>
    </xf>
    <xf numFmtId="0" fontId="58" fillId="0" borderId="52" applyAlignment="1" pivotButton="0" quotePrefix="0" xfId="0">
      <alignment horizontal="left"/>
    </xf>
    <xf numFmtId="0" fontId="42" fillId="0" borderId="44" applyAlignment="1" pivotButton="0" quotePrefix="0" xfId="0">
      <alignment horizontal="center"/>
    </xf>
    <xf numFmtId="10" fontId="42" fillId="0" borderId="0" pivotButton="0" quotePrefix="0" xfId="3"/>
    <xf numFmtId="10" fontId="42" fillId="0" borderId="0" applyAlignment="1" pivotButton="0" quotePrefix="0" xfId="0">
      <alignment horizontal="center"/>
    </xf>
    <xf numFmtId="0" fontId="42" fillId="0" borderId="44" pivotButton="0" quotePrefix="0" xfId="0"/>
    <xf numFmtId="0" fontId="42" fillId="0" borderId="44" applyAlignment="1" pivotButton="0" quotePrefix="0" xfId="0">
      <alignment horizontal="center"/>
    </xf>
    <xf numFmtId="10" fontId="42" fillId="0" borderId="0" pivotButton="0" quotePrefix="0" xfId="0"/>
    <xf numFmtId="10" fontId="42" fillId="0" borderId="0" applyAlignment="1" pivotButton="0" quotePrefix="0" xfId="0">
      <alignment horizontal="center"/>
    </xf>
    <xf numFmtId="0" fontId="42" fillId="0" borderId="0" pivotButton="0" quotePrefix="0" xfId="0"/>
    <xf numFmtId="0" fontId="42" fillId="0" borderId="0" pivotButton="0" quotePrefix="0" xfId="0"/>
    <xf numFmtId="0" fontId="2" fillId="0" borderId="1" applyAlignment="1" pivotButton="0" quotePrefix="0" xfId="0">
      <alignment horizontal="center"/>
    </xf>
    <xf numFmtId="2" fontId="0" fillId="0" borderId="0" pivotButton="0" quotePrefix="0" xfId="0"/>
    <xf numFmtId="0" fontId="0" fillId="0" borderId="0" applyAlignment="1" pivotButton="0" quotePrefix="0" xfId="0">
      <alignment wrapText="1"/>
    </xf>
    <xf numFmtId="10" fontId="0" fillId="0" borderId="0" applyAlignment="1" pivotButton="0" quotePrefix="0" xfId="0">
      <alignment wrapText="1"/>
    </xf>
    <xf numFmtId="2" fontId="0" fillId="0" borderId="0" applyAlignment="1" pivotButton="0" quotePrefix="0" xfId="0">
      <alignment wrapText="1"/>
    </xf>
    <xf numFmtId="0" fontId="2" fillId="0" borderId="0" applyAlignment="1" pivotButton="0" quotePrefix="0" xfId="0">
      <alignment wrapText="1"/>
    </xf>
    <xf numFmtId="0" fontId="2" fillId="0" borderId="1" applyAlignment="1" pivotButton="0" quotePrefix="0" xfId="0">
      <alignment wrapText="1"/>
    </xf>
    <xf numFmtId="0" fontId="33" fillId="0" borderId="0" applyAlignment="1" pivotButton="0" quotePrefix="0" xfId="0">
      <alignment horizontal="left"/>
    </xf>
    <xf numFmtId="0" fontId="33" fillId="0" borderId="0" pivotButton="0" quotePrefix="0" xfId="0"/>
    <xf numFmtId="10" fontId="33" fillId="0" borderId="0" pivotButton="0" quotePrefix="0" xfId="0"/>
    <xf numFmtId="2" fontId="33" fillId="0" borderId="0" pivotButton="0" quotePrefix="0" xfId="0"/>
    <xf numFmtId="10" fontId="0" fillId="4" borderId="1" pivotButton="0" quotePrefix="0" xfId="0"/>
    <xf numFmtId="175" fontId="38" fillId="4" borderId="1" applyAlignment="1" pivotButton="0" quotePrefix="0" xfId="0">
      <alignment horizontal="right"/>
    </xf>
    <xf numFmtId="0" fontId="53" fillId="0" borderId="5" applyAlignment="1" pivotButton="0" quotePrefix="0" xfId="0">
      <alignment wrapText="1"/>
    </xf>
    <xf numFmtId="0" fontId="68" fillId="0" borderId="0" pivotButton="0" quotePrefix="0" xfId="0"/>
    <xf numFmtId="0" fontId="0" fillId="0" borderId="0" pivotButton="0" quotePrefix="1" xfId="0"/>
    <xf numFmtId="10" fontId="25" fillId="12" borderId="1" applyAlignment="1" pivotButton="0" quotePrefix="0" xfId="0">
      <alignment horizontal="center"/>
    </xf>
    <xf numFmtId="164" fontId="48" fillId="13" borderId="1" pivotButton="0" quotePrefix="0" xfId="2"/>
    <xf numFmtId="0" fontId="26" fillId="0" borderId="0" pivotButton="0" quotePrefix="0" xfId="0"/>
    <xf numFmtId="0" fontId="24" fillId="0" borderId="45" applyAlignment="1" pivotButton="0" quotePrefix="0" xfId="0">
      <alignment horizontal="center"/>
    </xf>
    <xf numFmtId="0" fontId="24" fillId="0" borderId="9" applyAlignment="1" pivotButton="0" quotePrefix="0" xfId="0">
      <alignment horizontal="center"/>
    </xf>
    <xf numFmtId="0" fontId="24" fillId="0" borderId="43" applyAlignment="1" pivotButton="0" quotePrefix="0" xfId="0">
      <alignment horizontal="center"/>
    </xf>
    <xf numFmtId="0" fontId="24" fillId="0" borderId="41" applyAlignment="1" pivotButton="0" quotePrefix="0" xfId="0">
      <alignment horizontal="center"/>
    </xf>
    <xf numFmtId="0" fontId="24" fillId="0" borderId="10" applyAlignment="1" pivotButton="0" quotePrefix="0" xfId="0">
      <alignment horizontal="center"/>
    </xf>
    <xf numFmtId="0" fontId="24" fillId="0" borderId="6" applyAlignment="1" pivotButton="0" quotePrefix="0" xfId="0">
      <alignment horizontal="center"/>
    </xf>
    <xf numFmtId="0" fontId="24" fillId="0" borderId="7" applyAlignment="1" pivotButton="0" quotePrefix="0" xfId="0">
      <alignment horizontal="center"/>
    </xf>
    <xf numFmtId="0" fontId="53" fillId="0" borderId="22" applyAlignment="1" pivotButton="0" quotePrefix="0" xfId="0">
      <alignment horizontal="left"/>
    </xf>
    <xf numFmtId="0" fontId="53" fillId="0" borderId="5" applyAlignment="1" pivotButton="0" quotePrefix="0" xfId="0">
      <alignment horizontal="left"/>
    </xf>
    <xf numFmtId="0" fontId="53" fillId="0" borderId="18" applyAlignment="1" pivotButton="0" quotePrefix="0" xfId="0">
      <alignment horizontal="left"/>
    </xf>
    <xf numFmtId="0" fontId="45" fillId="0" borderId="0" applyAlignment="1" pivotButton="0" quotePrefix="0" xfId="0">
      <alignment horizontal="center"/>
    </xf>
    <xf numFmtId="0" fontId="59" fillId="0" borderId="1" applyAlignment="1" pivotButton="0" quotePrefix="0" xfId="0">
      <alignment horizontal="center"/>
    </xf>
    <xf numFmtId="0" fontId="59" fillId="0" borderId="13" applyAlignment="1" pivotButton="0" quotePrefix="0" xfId="0">
      <alignment horizontal="center"/>
    </xf>
    <xf numFmtId="0" fontId="59" fillId="0" borderId="5" applyAlignment="1" pivotButton="0" quotePrefix="0" xfId="0">
      <alignment horizontal="center"/>
    </xf>
    <xf numFmtId="0" fontId="59" fillId="0" borderId="18" applyAlignment="1" pivotButton="0" quotePrefix="0" xfId="0">
      <alignment horizontal="center"/>
    </xf>
    <xf numFmtId="0" fontId="59" fillId="0" borderId="44" applyAlignment="1" pivotButton="0" quotePrefix="0" xfId="0">
      <alignment horizontal="center"/>
    </xf>
    <xf numFmtId="0" fontId="59" fillId="0" borderId="44" applyAlignment="1" pivotButton="0" quotePrefix="0" xfId="0">
      <alignment horizontal="center"/>
    </xf>
    <xf numFmtId="0" fontId="53" fillId="0" borderId="46" applyAlignment="1" pivotButton="0" quotePrefix="0" xfId="0">
      <alignment horizontal="left"/>
    </xf>
    <xf numFmtId="0" fontId="53" fillId="0" borderId="47" applyAlignment="1" pivotButton="0" quotePrefix="0" xfId="0">
      <alignment horizontal="left"/>
    </xf>
    <xf numFmtId="0" fontId="53" fillId="0" borderId="48" applyAlignment="1" pivotButton="0" quotePrefix="0" xfId="0">
      <alignment horizontal="left"/>
    </xf>
    <xf numFmtId="0" fontId="1" fillId="0" borderId="15" applyAlignment="1" pivotButton="0" quotePrefix="0" xfId="0">
      <alignment horizontal="left" vertical="top" wrapText="1"/>
    </xf>
    <xf numFmtId="0" fontId="59" fillId="0" borderId="16" applyAlignment="1" pivotButton="0" quotePrefix="0" xfId="0">
      <alignment horizontal="left" vertical="top" wrapText="1"/>
    </xf>
    <xf numFmtId="0" fontId="59" fillId="0" borderId="17" applyAlignment="1" pivotButton="0" quotePrefix="0" xfId="0">
      <alignment horizontal="left" vertical="top" wrapText="1"/>
    </xf>
    <xf numFmtId="0" fontId="59" fillId="0" borderId="20" applyAlignment="1" pivotButton="0" quotePrefix="0" xfId="0">
      <alignment horizontal="left" vertical="top" wrapText="1"/>
    </xf>
    <xf numFmtId="0" fontId="59" fillId="0" borderId="0" applyAlignment="1" pivotButton="0" quotePrefix="0" xfId="0">
      <alignment horizontal="left" vertical="top" wrapText="1"/>
    </xf>
    <xf numFmtId="0" fontId="59" fillId="0" borderId="21" applyAlignment="1" pivotButton="0" quotePrefix="0" xfId="0">
      <alignment horizontal="left" vertical="top" wrapText="1"/>
    </xf>
    <xf numFmtId="0" fontId="59" fillId="0" borderId="49" applyAlignment="1" pivotButton="0" quotePrefix="0" xfId="0">
      <alignment horizontal="left" vertical="top" wrapText="1"/>
    </xf>
    <xf numFmtId="0" fontId="59" fillId="0" borderId="50" applyAlignment="1" pivotButton="0" quotePrefix="0" xfId="0">
      <alignment horizontal="left" vertical="top" wrapText="1"/>
    </xf>
    <xf numFmtId="0" fontId="59" fillId="0" borderId="30" applyAlignment="1" pivotButton="0" quotePrefix="0" xfId="0">
      <alignment horizontal="left" vertical="top" wrapText="1"/>
    </xf>
    <xf numFmtId="0" fontId="60" fillId="0" borderId="15" applyAlignment="1" pivotButton="0" quotePrefix="0" xfId="0">
      <alignment horizontal="left" wrapText="1"/>
    </xf>
    <xf numFmtId="0" fontId="61" fillId="0" borderId="16" applyAlignment="1" pivotButton="0" quotePrefix="0" xfId="0">
      <alignment horizontal="left" wrapText="1"/>
    </xf>
    <xf numFmtId="0" fontId="61" fillId="0" borderId="17" applyAlignment="1" pivotButton="0" quotePrefix="0" xfId="0">
      <alignment horizontal="left" wrapText="1"/>
    </xf>
    <xf numFmtId="0" fontId="61" fillId="0" borderId="20" applyAlignment="1" pivotButton="0" quotePrefix="0" xfId="0">
      <alignment horizontal="left" wrapText="1"/>
    </xf>
    <xf numFmtId="0" fontId="61" fillId="0" borderId="0" applyAlignment="1" pivotButton="0" quotePrefix="0" xfId="0">
      <alignment horizontal="left" wrapText="1"/>
    </xf>
    <xf numFmtId="0" fontId="61" fillId="0" borderId="21" applyAlignment="1" pivotButton="0" quotePrefix="0" xfId="0">
      <alignment horizontal="left" wrapText="1"/>
    </xf>
    <xf numFmtId="0" fontId="61" fillId="0" borderId="49" applyAlignment="1" pivotButton="0" quotePrefix="0" xfId="0">
      <alignment horizontal="left" wrapText="1"/>
    </xf>
    <xf numFmtId="0" fontId="61" fillId="0" borderId="50" applyAlignment="1" pivotButton="0" quotePrefix="0" xfId="0">
      <alignment horizontal="left" wrapText="1"/>
    </xf>
    <xf numFmtId="0" fontId="61" fillId="0" borderId="30" applyAlignment="1" pivotButton="0" quotePrefix="0" xfId="0">
      <alignment horizontal="left" wrapText="1"/>
    </xf>
    <xf numFmtId="0" fontId="46" fillId="0" borderId="15" applyAlignment="1" pivotButton="0" quotePrefix="0" xfId="0">
      <alignment horizontal="left" vertical="center" wrapText="1"/>
    </xf>
    <xf numFmtId="0" fontId="46" fillId="0" borderId="16" applyAlignment="1" pivotButton="0" quotePrefix="0" xfId="0">
      <alignment horizontal="left" vertical="center" wrapText="1"/>
    </xf>
    <xf numFmtId="0" fontId="46" fillId="0" borderId="17" applyAlignment="1" pivotButton="0" quotePrefix="0" xfId="0">
      <alignment horizontal="left" vertical="center" wrapText="1"/>
    </xf>
    <xf numFmtId="0" fontId="46" fillId="0" borderId="20" applyAlignment="1" pivotButton="0" quotePrefix="0" xfId="0">
      <alignment horizontal="left" vertical="center" wrapText="1"/>
    </xf>
    <xf numFmtId="0" fontId="46" fillId="0" borderId="0" applyAlignment="1" pivotButton="0" quotePrefix="0" xfId="0">
      <alignment horizontal="left" vertical="center" wrapText="1"/>
    </xf>
    <xf numFmtId="0" fontId="46" fillId="0" borderId="21" applyAlignment="1" pivotButton="0" quotePrefix="0" xfId="0">
      <alignment horizontal="left" vertical="center" wrapText="1"/>
    </xf>
    <xf numFmtId="0" fontId="46" fillId="0" borderId="49" applyAlignment="1" pivotButton="0" quotePrefix="0" xfId="0">
      <alignment horizontal="left" vertical="center" wrapText="1"/>
    </xf>
    <xf numFmtId="0" fontId="46" fillId="0" borderId="50" applyAlignment="1" pivotButton="0" quotePrefix="0" xfId="0">
      <alignment horizontal="left" vertical="center" wrapText="1"/>
    </xf>
    <xf numFmtId="0" fontId="46" fillId="0" borderId="30" applyAlignment="1" pivotButton="0" quotePrefix="0" xfId="0">
      <alignment horizontal="left" vertical="center" wrapText="1"/>
    </xf>
    <xf numFmtId="0" fontId="62" fillId="0" borderId="15" applyAlignment="1" pivotButton="0" quotePrefix="0" xfId="0">
      <alignment horizontal="left" vertical="center" wrapText="1"/>
    </xf>
    <xf numFmtId="0" fontId="53" fillId="0" borderId="16" applyAlignment="1" pivotButton="0" quotePrefix="0" xfId="0">
      <alignment horizontal="left" vertical="center" wrapText="1"/>
    </xf>
    <xf numFmtId="0" fontId="53" fillId="0" borderId="17" applyAlignment="1" pivotButton="0" quotePrefix="0" xfId="0">
      <alignment horizontal="left" vertical="center" wrapText="1"/>
    </xf>
    <xf numFmtId="0" fontId="53" fillId="0" borderId="20" applyAlignment="1" pivotButton="0" quotePrefix="0" xfId="0">
      <alignment horizontal="left" vertical="center" wrapText="1"/>
    </xf>
    <xf numFmtId="0" fontId="53" fillId="0" borderId="0" applyAlignment="1" pivotButton="0" quotePrefix="0" xfId="0">
      <alignment horizontal="left" vertical="center" wrapText="1"/>
    </xf>
    <xf numFmtId="0" fontId="53" fillId="0" borderId="21" applyAlignment="1" pivotButton="0" quotePrefix="0" xfId="0">
      <alignment horizontal="left" vertical="center" wrapText="1"/>
    </xf>
    <xf numFmtId="0" fontId="53" fillId="0" borderId="49" applyAlignment="1" pivotButton="0" quotePrefix="0" xfId="0">
      <alignment horizontal="left" vertical="center" wrapText="1"/>
    </xf>
    <xf numFmtId="0" fontId="53" fillId="0" borderId="50" applyAlignment="1" pivotButton="0" quotePrefix="0" xfId="0">
      <alignment horizontal="left" vertical="center" wrapText="1"/>
    </xf>
    <xf numFmtId="0" fontId="53" fillId="0" borderId="30" applyAlignment="1" pivotButton="0" quotePrefix="0" xfId="0">
      <alignment horizontal="left" vertical="center" wrapText="1"/>
    </xf>
    <xf numFmtId="0" fontId="46" fillId="0" borderId="11" applyAlignment="1" pivotButton="0" quotePrefix="0" xfId="0">
      <alignment horizontal="left" vertical="center" wrapText="1"/>
    </xf>
    <xf numFmtId="0" fontId="46" fillId="0" borderId="0" applyAlignment="1" pivotButton="0" quotePrefix="0" xfId="0">
      <alignment horizontal="left" vertical="center" wrapText="1"/>
    </xf>
    <xf numFmtId="168" fontId="53" fillId="0" borderId="13" applyAlignment="1" pivotButton="0" quotePrefix="0" xfId="2">
      <alignment horizontal="right"/>
    </xf>
    <xf numFmtId="168" fontId="53" fillId="0" borderId="5" applyAlignment="1" pivotButton="0" quotePrefix="0" xfId="2">
      <alignment horizontal="right"/>
    </xf>
    <xf numFmtId="0" fontId="53" fillId="0" borderId="36" applyAlignment="1" pivotButton="0" quotePrefix="0" xfId="0">
      <alignment horizontal="left"/>
    </xf>
    <xf numFmtId="0" fontId="53" fillId="0" borderId="1" applyAlignment="1" pivotButton="0" quotePrefix="0" xfId="0">
      <alignment horizontal="left"/>
    </xf>
    <xf numFmtId="0" fontId="53" fillId="0" borderId="37" applyAlignment="1" pivotButton="0" quotePrefix="0" xfId="0">
      <alignment horizontal="left"/>
    </xf>
    <xf numFmtId="0" fontId="53" fillId="0" borderId="25" applyAlignment="1" pivotButton="0" quotePrefix="0" xfId="0">
      <alignment horizontal="left"/>
    </xf>
    <xf numFmtId="0" fontId="53" fillId="0" borderId="45" applyAlignment="1" pivotButton="0" quotePrefix="0" xfId="0">
      <alignment horizontal="right"/>
    </xf>
    <xf numFmtId="0" fontId="53" fillId="0" borderId="43" applyAlignment="1" pivotButton="0" quotePrefix="0" xfId="0">
      <alignment horizontal="right"/>
    </xf>
    <xf numFmtId="10" fontId="63" fillId="0" borderId="45" applyAlignment="1" pivotButton="0" quotePrefix="0" xfId="0">
      <alignment horizontal="center"/>
    </xf>
    <xf numFmtId="10" fontId="63" fillId="0" borderId="41" applyAlignment="1" pivotButton="0" quotePrefix="0" xfId="0">
      <alignment horizontal="center"/>
    </xf>
    <xf numFmtId="0" fontId="12" fillId="11" borderId="0" applyAlignment="1" pivotButton="0" quotePrefix="0" xfId="0">
      <alignment horizontal="center" vertical="center" wrapText="1"/>
    </xf>
    <xf numFmtId="167" fontId="0" fillId="0" borderId="20" applyAlignment="1" pivotButton="0" quotePrefix="0" xfId="0">
      <alignment horizontal="center" vertical="center" wrapText="1"/>
    </xf>
    <xf numFmtId="0" fontId="70" fillId="0" borderId="0" pivotButton="0" quotePrefix="0" xfId="0"/>
    <xf numFmtId="0" fontId="69" fillId="0" borderId="0" pivotButton="0" quotePrefix="0" xfId="0"/>
    <xf numFmtId="0" fontId="71" fillId="0" borderId="0" pivotButton="0" quotePrefix="0" xfId="0"/>
    <xf numFmtId="0" fontId="72" fillId="14" borderId="0" pivotButton="0" quotePrefix="0" xfId="0"/>
    <xf numFmtId="176" fontId="0" fillId="0" borderId="0" pivotButton="0" quotePrefix="0" xfId="0"/>
    <xf numFmtId="3" fontId="0" fillId="0" borderId="0" pivotButton="0" quotePrefix="0" xfId="0"/>
    <xf numFmtId="0" fontId="24" fillId="0" borderId="2" applyAlignment="1" pivotButton="0" quotePrefix="0" xfId="0">
      <alignment horizontal="center"/>
    </xf>
    <xf numFmtId="0" fontId="0" fillId="0" borderId="43" pivotButton="0" quotePrefix="0" xfId="0"/>
    <xf numFmtId="0" fontId="0" fillId="0" borderId="41" pivotButton="0" quotePrefix="0" xfId="0"/>
    <xf numFmtId="164" fontId="25" fillId="4" borderId="1" applyAlignment="1" pivotButton="0" quotePrefix="0" xfId="2">
      <alignment horizontal="center"/>
    </xf>
    <xf numFmtId="164" fontId="25" fillId="8" borderId="18" applyAlignment="1" pivotButton="0" quotePrefix="0" xfId="0">
      <alignment horizontal="center"/>
    </xf>
    <xf numFmtId="164" fontId="47" fillId="9" borderId="18" applyAlignment="1" pivotButton="0" quotePrefix="0" xfId="0">
      <alignment horizontal="left"/>
    </xf>
    <xf numFmtId="164" fontId="25" fillId="4" borderId="14" applyAlignment="1" pivotButton="0" quotePrefix="0" xfId="2">
      <alignment horizontal="center"/>
    </xf>
    <xf numFmtId="164" fontId="25" fillId="0" borderId="0" applyAlignment="1" pivotButton="0" quotePrefix="0" xfId="2">
      <alignment horizontal="center"/>
    </xf>
    <xf numFmtId="0" fontId="24" fillId="0" borderId="19" applyAlignment="1" pivotButton="0" quotePrefix="0" xfId="0">
      <alignment horizontal="center"/>
    </xf>
    <xf numFmtId="0" fontId="0" fillId="0" borderId="6" pivotButton="0" quotePrefix="0" xfId="0"/>
    <xf numFmtId="0" fontId="0" fillId="0" borderId="7" pivotButton="0" quotePrefix="0" xfId="0"/>
    <xf numFmtId="167" fontId="25" fillId="4" borderId="1" applyAlignment="1" pivotButton="0" quotePrefix="0" xfId="0">
      <alignment horizontal="center"/>
    </xf>
    <xf numFmtId="167" fontId="25" fillId="0" borderId="0" applyAlignment="1" pivotButton="0" quotePrefix="0" xfId="0">
      <alignment horizontal="center"/>
    </xf>
    <xf numFmtId="167" fontId="0" fillId="4"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64" fontId="22" fillId="7" borderId="1" applyAlignment="1" pivotButton="0" quotePrefix="0" xfId="2">
      <alignment horizontal="center"/>
    </xf>
    <xf numFmtId="164" fontId="0" fillId="7" borderId="1" pivotButton="0" quotePrefix="0" xfId="0"/>
    <xf numFmtId="164" fontId="22" fillId="6" borderId="1" applyAlignment="1" pivotButton="0" quotePrefix="0" xfId="0">
      <alignment horizontal="center"/>
    </xf>
    <xf numFmtId="164" fontId="22" fillId="6" borderId="1" pivotButton="0" quotePrefix="0" xfId="0"/>
    <xf numFmtId="167" fontId="22" fillId="6" borderId="1" pivotButton="0" quotePrefix="0" xfId="0"/>
    <xf numFmtId="166" fontId="22" fillId="6" borderId="1" pivotButton="0" quotePrefix="0" xfId="0"/>
    <xf numFmtId="164" fontId="48" fillId="13" borderId="1" pivotButton="0" quotePrefix="0" xfId="2"/>
    <xf numFmtId="0" fontId="0" fillId="0" borderId="5" pivotButton="0" quotePrefix="0" xfId="0"/>
    <xf numFmtId="0" fontId="0" fillId="0" borderId="18" pivotButton="0" quotePrefix="0" xfId="0"/>
    <xf numFmtId="0" fontId="1" fillId="0" borderId="1" applyAlignment="1" pivotButton="0" quotePrefix="0" xfId="0">
      <alignment horizontal="left" vertical="top" wrapText="1"/>
    </xf>
    <xf numFmtId="0" fontId="0" fillId="0" borderId="16" pivotButton="0" quotePrefix="0" xfId="0"/>
    <xf numFmtId="0" fontId="0" fillId="0" borderId="17" pivotButton="0" quotePrefix="0" xfId="0"/>
    <xf numFmtId="0" fontId="60"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9" pivotButton="0" quotePrefix="0" xfId="0"/>
    <xf numFmtId="0" fontId="0" fillId="0" borderId="50" pivotButton="0" quotePrefix="0" xfId="0"/>
    <xf numFmtId="0" fontId="0" fillId="0" borderId="30" pivotButton="0" quotePrefix="0" xfId="0"/>
    <xf numFmtId="0" fontId="46" fillId="0" borderId="1" applyAlignment="1" pivotButton="0" quotePrefix="0" xfId="0">
      <alignment horizontal="left" vertical="center" wrapText="1"/>
    </xf>
    <xf numFmtId="0" fontId="62" fillId="0" borderId="1" applyAlignment="1" pivotButton="0" quotePrefix="0" xfId="0">
      <alignment horizontal="left" vertical="center" wrapText="1"/>
    </xf>
    <xf numFmtId="174" fontId="53" fillId="0" borderId="1" pivotButton="0" quotePrefix="0" xfId="2"/>
    <xf numFmtId="174" fontId="53" fillId="0" borderId="13" applyAlignment="1" pivotButton="0" quotePrefix="0" xfId="2">
      <alignment horizontal="left"/>
    </xf>
    <xf numFmtId="174" fontId="53" fillId="0" borderId="25" pivotButton="0" quotePrefix="0" xfId="2"/>
    <xf numFmtId="0" fontId="53" fillId="0" borderId="31" applyAlignment="1" pivotButton="0" quotePrefix="0" xfId="0">
      <alignment horizontal="left"/>
    </xf>
    <xf numFmtId="0" fontId="0" fillId="0" borderId="47" pivotButton="0" quotePrefix="0" xfId="0"/>
    <xf numFmtId="0" fontId="0" fillId="0" borderId="48" pivotButton="0" quotePrefix="0" xfId="0"/>
    <xf numFmtId="0" fontId="0" fillId="0" borderId="11" pivotButton="0" quotePrefix="0" xfId="0"/>
    <xf numFmtId="0" fontId="0" fillId="0" borderId="38" pivotButton="0" quotePrefix="0" xfId="0"/>
    <xf numFmtId="0" fontId="0" fillId="0" borderId="54" pivotButton="0" quotePrefix="0" xfId="0"/>
    <xf numFmtId="164" fontId="46" fillId="0" borderId="34" pivotButton="0" quotePrefix="0" xfId="2"/>
    <xf numFmtId="167" fontId="53" fillId="0" borderId="41" applyAlignment="1" pivotButton="0" quotePrefix="0" xfId="0">
      <alignment horizontal="left"/>
    </xf>
    <xf numFmtId="164" fontId="55" fillId="0" borderId="0" pivotButton="0" quotePrefix="0" xfId="0"/>
    <xf numFmtId="164" fontId="43" fillId="0" borderId="0" pivotButton="0" quotePrefix="0" xfId="0"/>
    <xf numFmtId="164" fontId="55" fillId="0" borderId="0" pivotButton="0" quotePrefix="0" xfId="2"/>
    <xf numFmtId="164" fontId="0" fillId="0" borderId="0" pivotButton="0" quotePrefix="0" xfId="0"/>
    <xf numFmtId="164" fontId="12" fillId="2" borderId="1" pivotButton="0" quotePrefix="0" xfId="0"/>
    <xf numFmtId="164" fontId="12" fillId="2" borderId="1" pivotButton="0" quotePrefix="0" xfId="2"/>
    <xf numFmtId="164" fontId="12" fillId="0" borderId="2" pivotButton="0" quotePrefix="0" xfId="2"/>
    <xf numFmtId="164" fontId="12" fillId="0" borderId="0" pivotButton="0" quotePrefix="0" xfId="2"/>
    <xf numFmtId="166" fontId="12" fillId="0" borderId="2" pivotButton="0" quotePrefix="0" xfId="0"/>
    <xf numFmtId="164" fontId="33" fillId="6" borderId="1" pivotButton="0" quotePrefix="0" xfId="2"/>
    <xf numFmtId="10" fontId="63" fillId="0" borderId="2" applyAlignment="1" pivotButton="0" quotePrefix="0" xfId="0">
      <alignment horizontal="center"/>
    </xf>
    <xf numFmtId="164" fontId="12" fillId="3" borderId="1" pivotButton="0" quotePrefix="0" xfId="2"/>
    <xf numFmtId="164" fontId="34" fillId="0" borderId="1" pivotButton="0" quotePrefix="0" xfId="2"/>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75" fontId="38" fillId="4" borderId="1" applyAlignment="1" pivotButton="0" quotePrefix="0" xfId="0">
      <alignment horizontal="right"/>
    </xf>
    <xf numFmtId="164" fontId="12" fillId="2" borderId="3" pivotButton="0" quotePrefix="0" xfId="0"/>
    <xf numFmtId="164" fontId="12" fillId="2" borderId="3" pivotButton="0" quotePrefix="0" xfId="2"/>
    <xf numFmtId="164" fontId="12" fillId="2" borderId="2" pivotButton="0" quotePrefix="0" xfId="0"/>
    <xf numFmtId="166" fontId="12" fillId="2" borderId="2" pivotButton="0" quotePrefix="0" xfId="0"/>
    <xf numFmtId="164" fontId="12" fillId="2" borderId="4" pivotButton="0" quotePrefix="0" xfId="0"/>
    <xf numFmtId="167" fontId="0" fillId="6" borderId="1" pivotButton="0" quotePrefix="0" xfId="0"/>
    <xf numFmtId="164" fontId="12" fillId="6" borderId="1" pivotButton="0" quotePrefix="0" xfId="0"/>
    <xf numFmtId="170" fontId="12" fillId="6" borderId="1" pivotButton="0" quotePrefix="0" xfId="3"/>
    <xf numFmtId="173" fontId="12" fillId="3" borderId="1" pivotButton="0" quotePrefix="0" xfId="0"/>
    <xf numFmtId="170" fontId="12" fillId="6" borderId="1" pivotButton="0" quotePrefix="0" xfId="0"/>
    <xf numFmtId="164" fontId="12" fillId="6" borderId="1" pivotButton="0" quotePrefix="0" xfId="2"/>
    <xf numFmtId="167" fontId="12" fillId="6" borderId="2" pivotButton="0" quotePrefix="0" xfId="0"/>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2" fillId="0" borderId="0" applyAlignment="1" pivotButton="0" quotePrefix="0" xfId="0">
      <alignment horizontal="center"/>
    </xf>
    <xf numFmtId="167" fontId="2" fillId="0" borderId="0" pivotButton="0" quotePrefix="0" xfId="0"/>
    <xf numFmtId="167" fontId="0" fillId="0" borderId="0" applyAlignment="1" pivotButton="0" quotePrefix="0" xfId="0">
      <alignment horizontal="center"/>
    </xf>
    <xf numFmtId="167" fontId="0" fillId="0" borderId="0" pivotButton="0" quotePrefix="0" xfId="0"/>
    <xf numFmtId="167" fontId="0" fillId="0" borderId="20" applyAlignment="1" pivotButton="0" quotePrefix="0" xfId="0">
      <alignment horizontal="center" vertical="center" wrapText="1"/>
    </xf>
    <xf numFmtId="164" fontId="3"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Aswath Damodaran</author>
  </authors>
  <commentList>
    <comment ref="C4"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6" authorId="0" shapeId="0">
      <text>
        <t>Aswath Damodaran:
If you are in multiple businesses, you can construct your own weighted averages using the industry average table from this spreadsheet and your company's business breakdown.</t>
      </text>
    </comment>
    <comment ref="D7" authorId="0" shapeId="0">
      <text>
        <t>Aswath Damodaran:
If you have trailing 12 month numbers, the last year's numbers may be only 3 months, 6 months or 9 months ago.</t>
      </text>
    </comment>
    <comment ref="B8" authorId="0" shapeId="0">
      <text>
        <t>Aswath Damodaran:
Enter the revenues from the most recent period (you can either use annual or the trailing 12 months). If your company had no revenues, enter a very small positive number. (You need a base for your growth rate)</t>
      </text>
    </comment>
    <comment ref="C8" authorId="0" shapeId="0">
      <text>
        <t>Aswath Damodaran:
Enter the revenues from the most recent period (you can either use annual or the trailing 12 months). If your company had no revenues, enter a very small positive number. (You need a base for your growth rate)</t>
      </text>
    </comment>
    <comment ref="B9"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9"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0" shapeId="0">
      <text>
        <t>Aswath Damodaran:
Enter the cash balance from the most recent balance sheet. This should include marketable securities.</t>
      </text>
    </comment>
    <comment ref="C15" authorId="0" shapeId="0">
      <text>
        <t>Aswath Damodaran:
Enter the cash balance from the most recent balance sheet. This should include marketable securities.</t>
      </text>
    </comment>
    <comment ref="B16"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7"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18"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19" authorId="0" shapeId="0">
      <text>
        <t xml:space="preserve">Aswath Damodaran:
Enter the most recent stock price (how about today's?) in here. </t>
      </text>
    </comment>
    <comment ref="B20"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1" authorId="0" shapeId="0">
      <text>
        <t>Aswath Damodaran:
This is a statutory tax rate. I use the tax rate of the country the company is domiciled in. See worksheet embedded in this spreadshseet for country tax rates.</t>
      </text>
    </comment>
    <comment ref="B23"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4"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5" authorId="0" shapeId="0">
      <text>
        <t>Aswath Damodaran:
This is the forecast year in which your current margin will converge on target.</t>
      </text>
    </comment>
    <comment ref="B26"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28"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29" authorId="0" shapeId="0">
      <text>
        <t>Aswath Damodaran:
Enter the current cost of capital for your firm. If you don't know what it is, you can use the worksheet to compute it.</t>
      </text>
    </comment>
    <comment ref="J30" authorId="0" shapeId="0">
      <text>
        <t>Aswath Damodaran:
Compare to your total market and check your market share.</t>
      </text>
    </comment>
    <comment ref="J31" authorId="0" shapeId="0">
      <text>
        <t xml:space="preserve">Aswath Damodaran:
Determined by your target margin. </t>
      </text>
    </comment>
    <comment ref="B32" authorId="0" shapeId="0">
      <text>
        <t>Aswath Damodaran:
Check your company's annual report or 10K. If it does have options outstanding, enter the total number here (vested and non vested, in the money and out…)</t>
      </text>
    </comment>
    <comment ref="J32" authorId="0" shapeId="0">
      <text>
        <t>Aswath Damodaran:
Function of both your target margin and your sales to capital ratio.</t>
      </text>
    </comment>
    <comment ref="B33" authorId="0" shapeId="0">
      <text>
        <t>Aswath Damodaran:
Enter the weighted average strike price of your options. (Should be in your 10K or annual report.)</t>
      </text>
    </comment>
    <comment ref="B34" authorId="0" shapeId="0">
      <text>
        <t>Aswath Damodaran:
The weighted average maturity of your options should be reported in your financial statements.</t>
      </text>
    </comment>
    <comment ref="B35" authorId="0" shapeId="0">
      <text>
        <t>Aswath Damodaran:
If you have a standard deviation for your stock, enter that number. If not, use the industry average standard deviation from the worksheet.</t>
      </text>
    </comment>
    <comment ref="B39"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42"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43" authorId="0" shapeId="0">
      <text>
        <t xml:space="preserve">Aswath Damodaran:
Even if you believe your firm has significant competitive advantages, don't set this number to more than 5% more than your cost of capital. </t>
      </text>
    </comment>
    <comment ref="B45"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46"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47"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48"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5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52" authorId="0" shapeId="0">
      <text>
        <t>Aswath Damodaran:
If your company has been losing money for a while, there will be accumulated losses from prior periods. Check your financial statements.</t>
      </text>
    </comment>
    <comment ref="B53" authorId="0" shapeId="0">
      <text>
        <t>Aswath Damodaran:
This is the NOL from prior years carried forward into this year.</t>
      </text>
    </comment>
    <comment ref="B56" authorId="0" shapeId="0">
      <text>
        <t xml:space="preserve">Aswath Damodaran:
Be VERY, VERY careful. This is a growth rate in perpetuity, after year 10. Entering numbers significantly (more than 1%) higher than the risk free rate will render your valuation close to useless.
</t>
      </text>
    </comment>
    <comment ref="B59"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60"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3.xml><?xml version="1.0" encoding="utf-8"?>
<comments xmlns="http://schemas.openxmlformats.org/spreadsheetml/2006/main">
  <authors>
    <author>Aswath Damodaran</author>
  </authors>
  <commentList>
    <comment ref="B9" authorId="0" shapeId="0">
      <text>
        <t>Aswath Damodaran:
Use a sector average beta, if need be.</t>
      </text>
    </comment>
    <comment ref="B11" authorId="0" shapeId="0">
      <text>
        <t>Aswath Damodaran:
If you pick operating regions or countries, please input the revenues by country or region in the table to the right.</t>
      </text>
    </comment>
    <comment ref="B13" authorId="0" shapeId="0">
      <text>
        <t>Aswath Damodaran:
If your company has risk exposure in emergiing markets, incorporate that risk premiums here. See worksheet on country risk premiums.</t>
      </text>
    </comment>
    <comment ref="B17" authorId="0" shapeId="0">
      <text>
        <t>Aswath Damodaran:
Interest expense (gross) from most recent financial statement.</t>
      </text>
    </comment>
    <comment ref="B18" authorId="0" shapeId="0">
      <text>
        <t>Aswath Damodaran:
Generally found in footnotes to financial statements.</t>
      </text>
    </comment>
    <comment ref="B22" authorId="0" shapeId="0">
      <text>
        <t>Aswath Damodaran:
1: Large market cap (&gt;$5 billion) and safe.
2: Small market cap (&lt;$5 billion) or risky.
If company has volatile earnings or is in risky business, use 2, even if large market cap.</t>
      </text>
    </comment>
    <comment ref="B23" authorId="0" shapeId="0">
      <text>
        <t>Aswath Damodaran:
Current, long term cost of borrowing money. If you have a rating use it, if not use a synthetic rating. See the worksheet attached.</t>
      </text>
    </comment>
  </commentList>
</comments>
</file>

<file path=xl/comments/comment4.xml><?xml version="1.0" encoding="utf-8"?>
<comments xmlns="http://schemas.openxmlformats.org/spreadsheetml/2006/main">
  <authors>
    <author>Aswath Damodaran</author>
  </authors>
  <commentList>
    <comment ref="F5" authorId="0" shapeId="0">
      <text>
        <t xml:space="preserve">Aswath Damodaran:
If your most recent year's operating income is unusually low or high, you can use the average operating income from the last few years. </t>
      </text>
    </comment>
    <comment ref="F6" authorId="0" shapeId="0">
      <text>
        <t>Aswath Damodaran:
Enter the interest expense from the most recent income statement.</t>
      </text>
    </comment>
    <comment ref="F7" authorId="0" shapeId="0">
      <text>
        <t>Aswath Damodaran:
I use a 10 year government bond rate.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5" customWidth="1" min="1" max="1"/>
    <col width="18" customWidth="1" min="2" max="2"/>
    <col width="18" customWidth="1" min="3" max="3"/>
    <col width="15" customWidth="1" min="4" max="4"/>
    <col width="15" customWidth="1" min="5" max="5"/>
  </cols>
  <sheetData>
    <row r="1">
      <c r="A1" s="468" t="inlineStr">
        <is>
          <t>Amazon Valuation - September 2018</t>
        </is>
      </c>
    </row>
    <row r="2">
      <c r="A2" s="469" t="inlineStr">
        <is>
          <t>Comparison: Base Case vs. Review Scenario</t>
        </is>
      </c>
    </row>
    <row r="4">
      <c r="A4" s="470" t="inlineStr">
        <is>
          <t>KEY ASSUMPTIONS</t>
        </is>
      </c>
    </row>
    <row r="5">
      <c r="A5" s="471" t="inlineStr">
        <is>
          <t>Assumption</t>
        </is>
      </c>
      <c r="B5" s="471" t="inlineStr">
        <is>
          <t>Base Case</t>
        </is>
      </c>
      <c r="C5" s="471" t="inlineStr">
        <is>
          <t>Review Scenario</t>
        </is>
      </c>
      <c r="D5" s="471" t="inlineStr">
        <is>
          <t>Difference</t>
        </is>
      </c>
    </row>
    <row r="6">
      <c r="A6" t="inlineStr">
        <is>
          <t>Revenue Growth (Years 1-5)</t>
        </is>
      </c>
      <c r="B6" s="472">
        <f>'Input sheet'!B23</f>
      </c>
      <c r="C6" s="472">
        <f>'Input sheet'!B23</f>
      </c>
      <c r="D6" s="472">
        <f>C6-B6</f>
      </c>
    </row>
    <row r="7">
      <c r="A7" t="inlineStr">
        <is>
          <t>Terminal Revenue Growth</t>
        </is>
      </c>
      <c r="B7" s="472">
        <f>'Valuation output'!M2</f>
      </c>
      <c r="C7" s="472">
        <f>'Valuation output'!AA2</f>
      </c>
      <c r="D7" s="472">
        <f>C7-B7</f>
      </c>
    </row>
    <row r="8">
      <c r="A8" t="inlineStr">
        <is>
          <t>Terminal Operating Margin</t>
        </is>
      </c>
      <c r="B8" s="472">
        <f>'Valuation output'!M4</f>
      </c>
      <c r="C8" s="472">
        <f>'Valuation output'!AA4</f>
      </c>
      <c r="D8" s="472">
        <f>C8-B8</f>
      </c>
    </row>
    <row r="9">
      <c r="A9" t="inlineStr">
        <is>
          <t>Cost of Capital (Initial)</t>
        </is>
      </c>
      <c r="B9" s="472">
        <f>'Input sheet'!B29</f>
      </c>
      <c r="C9" s="472">
        <f>'Input sheet'!B29</f>
      </c>
      <c r="D9" s="472">
        <f>C9-B9</f>
      </c>
    </row>
    <row r="10">
      <c r="A10" t="inlineStr">
        <is>
          <t>Cost of Capital (Terminal)</t>
        </is>
      </c>
      <c r="B10" s="472">
        <f>'Valuation output'!M12</f>
      </c>
      <c r="C10" s="472">
        <f>'Valuation output'!AA12</f>
      </c>
      <c r="D10" s="472">
        <f>C10-B10</f>
      </c>
    </row>
    <row r="12">
      <c r="A12" s="470" t="inlineStr">
        <is>
          <t>VALUATION RESULTS</t>
        </is>
      </c>
    </row>
    <row r="13">
      <c r="A13" s="471" t="inlineStr">
        <is>
          <t>Metric</t>
        </is>
      </c>
      <c r="B13" s="471" t="inlineStr">
        <is>
          <t>Base Case</t>
        </is>
      </c>
      <c r="C13" s="471" t="inlineStr">
        <is>
          <t>Review Scenario</t>
        </is>
      </c>
      <c r="D13" s="471" t="inlineStr">
        <is>
          <t>Difference</t>
        </is>
      </c>
      <c r="E13" s="471" t="inlineStr">
        <is>
          <t>% Difference</t>
        </is>
      </c>
    </row>
    <row r="14">
      <c r="A14" t="inlineStr">
        <is>
          <t>Value of Operating Assets</t>
        </is>
      </c>
      <c r="B14" s="473">
        <f>'Valuation output'!B24</f>
      </c>
      <c r="C14" s="473">
        <f>'Valuation output'!P24</f>
      </c>
      <c r="D14" s="473">
        <f>C14-B14</f>
      </c>
      <c r="E14" s="472">
        <f>D14/B14</f>
      </c>
    </row>
    <row r="15">
      <c r="A15" t="inlineStr">
        <is>
          <t>Value of Equity</t>
        </is>
      </c>
      <c r="B15" s="473">
        <f>'Valuation output'!B29</f>
      </c>
      <c r="C15" s="473">
        <f>'Valuation output'!P29</f>
      </c>
      <c r="D15" s="473">
        <f>C15-B15</f>
      </c>
      <c r="E15" s="472">
        <f>D15/B15</f>
      </c>
    </row>
    <row r="16">
      <c r="A16" t="inlineStr">
        <is>
          <t>Value per Share</t>
        </is>
      </c>
      <c r="B16" s="473">
        <f>'Valuation output'!B33</f>
      </c>
      <c r="C16" s="473">
        <f>'Valuation output'!P33</f>
      </c>
      <c r="D16" s="473">
        <f>C16-B16</f>
      </c>
      <c r="E16" s="472">
        <f>D16/B16</f>
      </c>
    </row>
    <row r="17">
      <c r="A17" t="inlineStr">
        <is>
          <t>Number of Shares</t>
        </is>
      </c>
      <c r="B17" s="473">
        <f>'Valuation output'!B32</f>
      </c>
      <c r="C17" s="473">
        <f>'Valuation output'!P32</f>
      </c>
      <c r="D17" s="473">
        <f>C17-B17</f>
      </c>
    </row>
    <row r="18">
      <c r="A18" t="inlineStr">
        <is>
          <t>Market Price</t>
        </is>
      </c>
      <c r="B18" s="473">
        <f>'Valuation output'!B34</f>
      </c>
      <c r="C18" s="473">
        <f>'Valuation output'!P34</f>
      </c>
      <c r="D18" s="473">
        <f>C18-B18</f>
      </c>
      <c r="E18" s="472" t="n"/>
    </row>
    <row r="20">
      <c r="A20" s="470" t="inlineStr">
        <is>
          <t>EXPLANATION</t>
        </is>
      </c>
    </row>
    <row r="21">
      <c r="A21" s="381" t="inlineStr">
        <is>
          <t>The review scenario reduces the terminal operating margin target by 2 percentage points</t>
        </is>
      </c>
    </row>
    <row r="22">
      <c r="A22" s="381" t="inlineStr">
        <is>
          <t>compared to the base case. The linear convergence from the base year margin to the</t>
        </is>
      </c>
    </row>
    <row r="23">
      <c r="A23" s="381" t="inlineStr">
        <is>
          <t>terminal margin follows the same transition convention as the original model over</t>
        </is>
      </c>
    </row>
    <row r="24">
      <c r="A24" s="381" t="inlineStr">
        <is>
          <t>the convergence period specified in the input sheet. All other assumptions (growth</t>
        </is>
      </c>
    </row>
    <row r="25">
      <c r="A25" s="381" t="inlineStr">
        <is>
          <t>rates, cost of capital, reinvestment assumptions) remain identical between the two cases.</t>
        </is>
      </c>
    </row>
    <row r="27">
      <c r="A27" s="381" t="inlineStr">
        <is>
          <t>The equity value difference reflects the impact of lower profitability on terminal value,</t>
        </is>
      </c>
    </row>
    <row r="28">
      <c r="A28" s="381" t="inlineStr">
        <is>
          <t>flowing through to reduced cash flows in all forecast periods as margins converge to</t>
        </is>
      </c>
    </row>
    <row r="29">
      <c r="A29" s="381" t="inlineStr">
        <is>
          <t>the lower target.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10" defaultColWidth="8.83203125" defaultRowHeight="12"/>
  <cols>
    <col width="36.6640625" customWidth="1" min="1" max="3"/>
  </cols>
  <sheetData>
    <row r="1">
      <c r="A1" s="393" t="inlineStr">
        <is>
          <t>Crystal Ball Data</t>
        </is>
      </c>
    </row>
    <row r="3">
      <c r="A3" t="inlineStr">
        <is>
          <t>Workbook Variables</t>
        </is>
      </c>
      <c r="B3" t="inlineStr">
        <is>
          <t>Last Var Column</t>
        </is>
      </c>
      <c r="C3" t="n">
        <v>0</v>
      </c>
    </row>
    <row r="4">
      <c r="A4" t="inlineStr">
        <is>
          <t xml:space="preserve">    Name:</t>
        </is>
      </c>
    </row>
    <row r="5">
      <c r="A5" t="inlineStr">
        <is>
          <t xml:space="preserve">    Value:</t>
        </is>
      </c>
    </row>
    <row r="7">
      <c r="A7" s="393" t="inlineStr">
        <is>
          <t>Worksheet Data</t>
        </is>
      </c>
      <c r="B7" t="inlineStr">
        <is>
          <t>Last Data Column Used</t>
        </is>
      </c>
    </row>
    <row r="8">
      <c r="B8" t="n">
        <v>3</v>
      </c>
    </row>
    <row r="10">
      <c r="A10" t="inlineStr">
        <is>
          <t>Sheet Ref</t>
        </is>
      </c>
    </row>
    <row r="11">
      <c r="A11">
        <f>CB_DATA_!#REF!</f>
      </c>
      <c r="B11">
        <f>'Input sheet'!#REF!</f>
      </c>
      <c r="C11">
        <f>'Valuation output'!#REF!</f>
      </c>
    </row>
    <row r="13">
      <c r="A13" t="inlineStr">
        <is>
          <t>Sheet Guid</t>
        </is>
      </c>
    </row>
    <row r="14">
      <c r="A14" t="inlineStr">
        <is>
          <t>271d6a2b-7a93-4e27-808c-aa1aada6a76d</t>
        </is>
      </c>
      <c r="B14" t="inlineStr">
        <is>
          <t>eb12ad88-c3be-4256-b53f-793e1373a468</t>
        </is>
      </c>
      <c r="C14" t="inlineStr">
        <is>
          <t>faa3ee01-9bfb-4333-b742-7cca748c6e20</t>
        </is>
      </c>
    </row>
    <row r="16">
      <c r="A16" t="inlineStr">
        <is>
          <t>Deleted sheet count</t>
        </is>
      </c>
    </row>
    <row r="19">
      <c r="A19" t="inlineStr">
        <is>
          <t>Last row used</t>
        </is>
      </c>
    </row>
    <row r="20">
      <c r="A20" t="n">
        <v>28</v>
      </c>
      <c r="B20" t="n">
        <v>31</v>
      </c>
      <c r="C20" t="n">
        <v>31</v>
      </c>
    </row>
    <row r="25">
      <c r="A25" s="393" t="n"/>
    </row>
    <row r="26">
      <c r="A26" s="394" t="n"/>
      <c r="B26" s="394" t="n"/>
      <c r="C26" s="394" t="n"/>
    </row>
    <row r="27"/>
    <row r="28">
      <c r="A28" s="394" t="n"/>
      <c r="B28" s="394" t="n"/>
      <c r="C28" s="394" t="n"/>
    </row>
    <row r="29">
      <c r="B29" s="394" t="n"/>
      <c r="C29" s="394" t="n"/>
    </row>
    <row r="30"/>
    <row r="31">
      <c r="B31" s="394" t="n"/>
      <c r="C31" s="39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61"/>
  <sheetViews>
    <sheetView topLeftCell="A14" zoomScaleNormal="100" workbookViewId="0">
      <selection activeCell="D52" sqref="D52"/>
    </sheetView>
  </sheetViews>
  <sheetFormatPr baseColWidth="10" defaultColWidth="10.83203125" defaultRowHeight="12"/>
  <cols>
    <col width="49.6640625" customWidth="1" style="4" min="1" max="1"/>
    <col width="26.5" customWidth="1" style="4" min="2" max="2"/>
    <col width="17" customWidth="1" style="4" min="3" max="3"/>
    <col width="16.6640625" customWidth="1" style="4" min="4" max="4"/>
    <col width="10.83203125" customWidth="1" style="4" min="5" max="7"/>
    <col width="11" bestFit="1" customWidth="1" style="4" min="8" max="8"/>
    <col width="13.5" customWidth="1" style="4" min="9" max="9"/>
    <col width="15" bestFit="1" customWidth="1" style="4" min="10" max="10"/>
    <col width="17.5" bestFit="1" customWidth="1" style="4" min="11" max="11"/>
    <col width="10.83203125" customWidth="1" style="4" min="12" max="16384"/>
  </cols>
  <sheetData>
    <row r="1" ht="13" customHeight="1">
      <c r="A1" s="207" t="inlineStr">
        <is>
          <t>Date of valuation</t>
        </is>
      </c>
      <c r="B1" s="227" t="n">
        <v>41882</v>
      </c>
      <c r="C1" s="168" t="inlineStr">
        <is>
          <t>Important: Before you run this spreadsheet, go into preferences in Excel and check under Calculation options</t>
        </is>
      </c>
      <c r="D1" s="169" t="n"/>
      <c r="E1" s="169" t="n"/>
      <c r="F1" s="169" t="n"/>
      <c r="G1" s="169" t="n"/>
      <c r="H1" s="169" t="n"/>
      <c r="I1" s="169" t="n"/>
      <c r="J1" s="170" t="n"/>
    </row>
    <row r="2" ht="14" customFormat="1" customHeight="1" s="155" thickBot="1">
      <c r="A2" s="171" t="inlineStr">
        <is>
          <t>Company name</t>
        </is>
      </c>
      <c r="B2" s="228" t="inlineStr">
        <is>
          <t>Amazon</t>
        </is>
      </c>
      <c r="C2" s="208" t="inlineStr">
        <is>
          <t>There should be a check against the iteration box. If there is not, you will get circular reasoning errors.</t>
        </is>
      </c>
      <c r="D2" s="155" t="n"/>
      <c r="E2" s="155" t="n"/>
      <c r="F2" s="155" t="n"/>
      <c r="G2" s="155" t="n"/>
      <c r="H2" s="155" t="n"/>
      <c r="I2" s="155" t="n"/>
      <c r="J2" s="209" t="n"/>
    </row>
    <row r="3" ht="14" customFormat="1" customHeight="1" s="155" thickBot="1">
      <c r="A3" s="474" t="inlineStr">
        <is>
          <t>Numbers from your base year below ( in consistent units)</t>
        </is>
      </c>
      <c r="B3" s="475" t="n"/>
      <c r="C3" s="475" t="n"/>
      <c r="D3" s="475" t="n"/>
      <c r="E3" s="475" t="n"/>
      <c r="F3" s="475" t="n"/>
      <c r="G3" s="475" t="n"/>
      <c r="H3" s="475" t="n"/>
      <c r="I3" s="475" t="n"/>
      <c r="J3" s="476" t="n"/>
    </row>
    <row r="4" ht="13" customFormat="1" customHeight="1" s="155">
      <c r="A4" s="171" t="n"/>
      <c r="B4" s="171" t="inlineStr">
        <is>
          <t>This year</t>
        </is>
      </c>
      <c r="C4" s="171" t="inlineStr">
        <is>
          <t>Last year</t>
        </is>
      </c>
      <c r="D4" s="155" t="n"/>
      <c r="E4" s="155" t="n"/>
      <c r="F4" s="155" t="n"/>
      <c r="G4" s="155" t="n"/>
      <c r="H4" s="155" t="n"/>
      <c r="I4" s="155" t="n"/>
    </row>
    <row r="5" ht="13" customFormat="1" customHeight="1" s="155">
      <c r="A5" s="155" t="inlineStr">
        <is>
          <t>Country of incorporation</t>
        </is>
      </c>
      <c r="B5" s="246" t="inlineStr">
        <is>
          <t>United States</t>
        </is>
      </c>
      <c r="C5" s="171" t="n"/>
      <c r="D5" s="155" t="n"/>
      <c r="E5" s="155" t="n"/>
      <c r="F5" s="155" t="n"/>
      <c r="G5" s="155" t="n"/>
      <c r="H5" s="155" t="n"/>
      <c r="I5" s="155" t="n"/>
    </row>
    <row r="6" ht="13" customFormat="1" customHeight="1" s="155">
      <c r="A6" s="155" t="inlineStr">
        <is>
          <t>Industry (US)</t>
        </is>
      </c>
      <c r="B6" s="246" t="inlineStr">
        <is>
          <t>Retail (General)</t>
        </is>
      </c>
      <c r="C6" s="155" t="n"/>
      <c r="D6" s="155" t="n"/>
      <c r="E6" s="155" t="n"/>
      <c r="F6" s="155" t="n"/>
      <c r="G6" s="155" t="n"/>
      <c r="H6" s="155" t="n"/>
      <c r="I6" s="155" t="n"/>
    </row>
    <row r="7" ht="13" customFormat="1" customHeight="1" s="155">
      <c r="A7" s="155" t="inlineStr">
        <is>
          <t>Industry (Global)</t>
        </is>
      </c>
      <c r="B7" s="246" t="inlineStr">
        <is>
          <t>Retail (General)</t>
        </is>
      </c>
      <c r="C7" s="247" t="inlineStr">
        <is>
          <t>Last 10K</t>
        </is>
      </c>
      <c r="D7" s="247" t="inlineStr">
        <is>
          <t>Years since last 10K</t>
        </is>
      </c>
      <c r="E7" s="155" t="n"/>
      <c r="F7" s="155" t="n"/>
      <c r="G7" s="155" t="n"/>
      <c r="H7" s="155" t="n"/>
      <c r="I7" s="155" t="n"/>
    </row>
    <row r="8" ht="13" customFormat="1" customHeight="1" s="155">
      <c r="A8" s="159" t="inlineStr">
        <is>
          <t>Revenues</t>
        </is>
      </c>
      <c r="B8" s="477" t="n">
        <v>208125</v>
      </c>
      <c r="C8" s="477" t="n">
        <v>177866</v>
      </c>
      <c r="D8" s="246" t="n">
        <v>0.5</v>
      </c>
    </row>
    <row r="9" ht="13" customFormat="1" customHeight="1" s="155">
      <c r="A9" s="159" t="inlineStr">
        <is>
          <t>Operating income or EBIT</t>
        </is>
      </c>
      <c r="B9" s="477" t="n">
        <v>7385</v>
      </c>
      <c r="C9" s="477" t="n">
        <v>4106</v>
      </c>
      <c r="D9" s="246" t="n">
        <v>0.5</v>
      </c>
    </row>
    <row r="10" ht="13" customFormat="1" customHeight="1" s="155">
      <c r="A10" s="159" t="inlineStr">
        <is>
          <t>Interest expense</t>
        </is>
      </c>
      <c r="B10" s="477" t="n">
        <v>1239</v>
      </c>
      <c r="C10" s="477" t="n">
        <v>848</v>
      </c>
      <c r="D10" s="62" t="n"/>
    </row>
    <row r="11" ht="13" customFormat="1" customHeight="1" s="155">
      <c r="A11" s="159" t="inlineStr">
        <is>
          <t>Book value of equity</t>
        </is>
      </c>
      <c r="B11" s="477" t="n">
        <v>34995</v>
      </c>
      <c r="C11" s="477" t="n">
        <v>27709</v>
      </c>
      <c r="D11" s="62" t="n"/>
    </row>
    <row r="12" ht="13" customFormat="1" customHeight="1" s="155">
      <c r="A12" s="159" t="inlineStr">
        <is>
          <t>Book value of debt</t>
        </is>
      </c>
      <c r="B12" s="477" t="n">
        <v>27050</v>
      </c>
      <c r="C12" s="477" t="n">
        <v>24473</v>
      </c>
      <c r="D12" s="62" t="n"/>
    </row>
    <row r="13" ht="13" customFormat="1" customHeight="1" s="155">
      <c r="A13" s="159" t="inlineStr">
        <is>
          <t>Do you have R&amp;D expenses to capitalize?</t>
        </is>
      </c>
      <c r="B13" s="478" t="inlineStr">
        <is>
          <t>Yes</t>
        </is>
      </c>
      <c r="C13" s="479" t="inlineStr">
        <is>
          <t xml:space="preserve"> If you want to capitalize R&amp;D, you have to input the numbers into the R&amp;D worksheet. </t>
        </is>
      </c>
      <c r="D13" s="62" t="n"/>
    </row>
    <row r="14" ht="13" customFormat="1" customHeight="1" s="155">
      <c r="A14" s="159" t="inlineStr">
        <is>
          <t>Do you have operating lease commitments?</t>
        </is>
      </c>
      <c r="B14" s="477" t="inlineStr">
        <is>
          <t>Yes</t>
        </is>
      </c>
      <c r="C14" s="62" t="inlineStr">
        <is>
          <t>If you have operating leases, please enter your lease commitments in the lease worksheet below and I will convert to debt</t>
        </is>
      </c>
      <c r="D14" s="62" t="n"/>
    </row>
    <row r="15" ht="13" customFormat="1" customHeight="1" s="155">
      <c r="A15" s="159" t="inlineStr">
        <is>
          <t>Cash and Marketable Securities</t>
        </is>
      </c>
      <c r="B15" s="477" t="n">
        <v>27050</v>
      </c>
      <c r="C15" s="477" t="n">
        <v>30986</v>
      </c>
      <c r="D15" s="62" t="n"/>
    </row>
    <row r="16" ht="13" customFormat="1" customHeight="1" s="155">
      <c r="A16" s="159" t="inlineStr">
        <is>
          <t>Cross holdings and other non-operating assets</t>
        </is>
      </c>
      <c r="B16" s="480" t="n">
        <v>0</v>
      </c>
      <c r="C16" s="477" t="n">
        <v>0</v>
      </c>
      <c r="D16" s="62" t="n"/>
    </row>
    <row r="17" ht="13" customFormat="1" customHeight="1" s="155">
      <c r="A17" s="159" t="inlineStr">
        <is>
          <t>Minority interests</t>
        </is>
      </c>
      <c r="B17" s="480" t="n">
        <v>0</v>
      </c>
      <c r="C17" s="477" t="n">
        <v>0</v>
      </c>
      <c r="D17" s="62" t="n"/>
    </row>
    <row r="18" ht="14" customFormat="1" customHeight="1" s="155" thickBot="1">
      <c r="A18" s="159" t="inlineStr">
        <is>
          <t>Number of shares outstanding =</t>
        </is>
      </c>
      <c r="B18" s="157" t="n">
        <v>497</v>
      </c>
      <c r="C18" s="62" t="n"/>
    </row>
    <row r="19" ht="13" customFormat="1" customHeight="1" s="155">
      <c r="A19" s="159" t="inlineStr">
        <is>
          <t>Current stock price =</t>
        </is>
      </c>
      <c r="B19" s="477" t="n">
        <v>1970.19</v>
      </c>
      <c r="C19" s="62" t="n"/>
      <c r="E19" s="86" t="inlineStr">
        <is>
          <t>Computed numbers: Here is what your company's numbers look like, relative to industry.</t>
        </is>
      </c>
      <c r="F19" s="54" t="n"/>
      <c r="G19" s="54" t="n"/>
      <c r="H19" s="54" t="n"/>
      <c r="I19" s="54" t="n"/>
      <c r="J19" s="54" t="n"/>
      <c r="K19" s="55" t="n"/>
    </row>
    <row r="20" ht="13" customFormat="1" customHeight="1" s="155">
      <c r="A20" s="155" t="inlineStr">
        <is>
          <t>Effective tax rate =</t>
        </is>
      </c>
      <c r="B20" s="64">
        <f>769/3806</f>
      </c>
      <c r="C20" s="62" t="n"/>
      <c r="E20" s="206" t="inlineStr">
        <is>
          <t>If you are not working in US dollars, you should add the inflation differential to the industry averages.</t>
        </is>
      </c>
      <c r="F20" s="155" t="n"/>
      <c r="G20" s="155" t="n"/>
      <c r="H20" s="155" t="n"/>
      <c r="I20" s="155" t="n"/>
      <c r="J20" s="155" t="n"/>
      <c r="K20" s="88" t="n"/>
    </row>
    <row r="21" ht="13" customFormat="1" customHeight="1" s="155">
      <c r="A21" s="155" t="inlineStr">
        <is>
          <t>Marginal tax rate =</t>
        </is>
      </c>
      <c r="B21" s="64" t="n">
        <v>0.24</v>
      </c>
      <c r="C21" s="62" t="n"/>
      <c r="E21" s="154" t="n"/>
      <c r="F21" s="155" t="n"/>
      <c r="G21" s="155" t="n"/>
      <c r="H21" s="155" t="n"/>
      <c r="I21" s="159" t="inlineStr">
        <is>
          <t>Company</t>
        </is>
      </c>
      <c r="J21" s="159" t="inlineStr">
        <is>
          <t>Industry (US data)</t>
        </is>
      </c>
      <c r="K21" s="88" t="inlineStr">
        <is>
          <t>Industry (Global data)</t>
        </is>
      </c>
    </row>
    <row r="22" ht="13" customFormat="1" customHeight="1" s="155">
      <c r="A22" s="171" t="inlineStr">
        <is>
          <t>The value drivers below:</t>
        </is>
      </c>
      <c r="B22" s="481" t="n"/>
      <c r="C22" s="62" t="n"/>
      <c r="E22" s="248" t="inlineStr">
        <is>
          <t>Revenue growth in the most recent year =</t>
        </is>
      </c>
      <c r="F22" s="155" t="n"/>
      <c r="G22" s="155" t="n"/>
      <c r="H22" s="155" t="n"/>
      <c r="I22" s="260">
        <f>IF(C8&gt;0,(B8/C8)^(1/D8)-1, "NA")</f>
      </c>
      <c r="J22" s="260">
        <f>VLOOKUP(B6,'Industry Averages(US)'!A2:S95,3)</f>
      </c>
      <c r="K22" s="261">
        <f>VLOOKUP(B7,'Global industry averages'!A2:N95,3)</f>
      </c>
    </row>
    <row r="23" ht="13" customFormat="1" customHeight="1" s="155">
      <c r="A23" s="159" t="inlineStr">
        <is>
          <t>Compounded annual revenue growth rate over next 5 years =</t>
        </is>
      </c>
      <c r="B23" s="395">
        <v>0.16</v>
      </c>
      <c r="C23" s="62" t="inlineStr">
        <is>
          <t>Growth Lever</t>
        </is>
      </c>
      <c r="E23" s="248" t="inlineStr">
        <is>
          <t>Pre-tax operating margin in the most recent year =</t>
        </is>
      </c>
      <c r="F23" s="155" t="n"/>
      <c r="G23" s="155" t="n"/>
      <c r="H23" s="155" t="n"/>
      <c r="I23" s="260">
        <f>'Valuation output'!B4</f>
      </c>
      <c r="J23" s="261">
        <f>VLOOKUP(B6,'Industry Averages(US)'!A2:S95,4)</f>
      </c>
      <c r="K23" s="261">
        <f>VLOOKUP(B7,'Global industry averages'!A2:N95,4)</f>
      </c>
    </row>
    <row r="24" ht="13" customFormat="1" customHeight="1" s="155">
      <c r="A24" s="159" t="inlineStr">
        <is>
          <t>Target pre-tax operating margin (EBIT as % of sales in year 10) =</t>
        </is>
      </c>
      <c r="B24" s="395" t="n">
        <v>0.125</v>
      </c>
      <c r="C24" s="62" t="inlineStr">
        <is>
          <t>Profitability Lever</t>
        </is>
      </c>
      <c r="E24" s="248" t="inlineStr">
        <is>
          <t>Sales to capital ratio in most recent year =</t>
        </is>
      </c>
      <c r="F24" s="155" t="n"/>
      <c r="G24" s="155" t="n"/>
      <c r="H24" s="155" t="n"/>
      <c r="I24" s="262">
        <f>B8/(B11+B12-B15)</f>
      </c>
      <c r="J24" s="262">
        <f>VLOOKUP(B6,'Industry Averages(US)'!A2:S95,14)</f>
      </c>
      <c r="K24" s="262">
        <f>VLOOKUP(B7,'Global industry averages'!A2:N95,14)</f>
      </c>
    </row>
    <row r="25" ht="13" customFormat="1" customHeight="1" s="155">
      <c r="A25" s="159" t="inlineStr">
        <is>
          <t>Year of convergence</t>
        </is>
      </c>
      <c r="B25" s="68" t="n">
        <v>5</v>
      </c>
      <c r="C25" s="62" t="inlineStr">
        <is>
          <t>Speed of convergence level</t>
        </is>
      </c>
      <c r="E25" s="248" t="inlineStr">
        <is>
          <t>Return on invested capital in most recent year=</t>
        </is>
      </c>
      <c r="F25" s="155" t="n"/>
      <c r="G25" s="155" t="n"/>
      <c r="H25" s="155" t="n"/>
      <c r="I25" s="261">
        <f>'Valuation output'!B7/'Valuation output'!B39</f>
      </c>
      <c r="J25" s="261">
        <f>VLOOKUP(B6,'Industry Averages(US)'!A2:S95,5)</f>
      </c>
      <c r="K25" s="261">
        <f>VLOOKUP(B7,'Global industry averages'!A2:N95,5)</f>
      </c>
    </row>
    <row r="26" ht="13" customFormat="1" customHeight="1" s="155">
      <c r="A26" s="159" t="inlineStr">
        <is>
          <t>Sales to capital ratio  (for computing reinvestment) =</t>
        </is>
      </c>
      <c r="B26" s="68">
        <f>I24</f>
      </c>
      <c r="C26" s="62" t="inlineStr">
        <is>
          <t>Efficency of Growth Lever</t>
        </is>
      </c>
      <c r="E26" s="248" t="inlineStr">
        <is>
          <t>Standard deviation in stock prices =</t>
        </is>
      </c>
      <c r="F26" s="155" t="n"/>
      <c r="G26" s="155" t="n"/>
      <c r="H26" s="155" t="n"/>
      <c r="I26" s="167" t="n"/>
      <c r="J26" s="263">
        <f>VLOOKUP(B6,'Industry Averages(US)'!A2:S95,10)</f>
      </c>
      <c r="K26" s="261">
        <f>VLOOKUP(B6,'Global industry averages'!A2:Z95,10)</f>
      </c>
    </row>
    <row r="27" ht="14" customFormat="1" customHeight="1" s="155" thickBot="1">
      <c r="A27" s="171" t="inlineStr">
        <is>
          <t xml:space="preserve">Market numbers </t>
        </is>
      </c>
      <c r="B27" s="69" t="n"/>
      <c r="C27" s="62" t="n"/>
      <c r="E27" s="58" t="inlineStr">
        <is>
          <t>Cost of capital =</t>
        </is>
      </c>
      <c r="F27" s="59" t="n"/>
      <c r="G27" s="59" t="n"/>
      <c r="H27" s="59" t="n"/>
      <c r="I27" s="59" t="n"/>
      <c r="J27" s="264">
        <f>VLOOKUP(B6,'Industry Averages(US)'!A2:S95,13)</f>
      </c>
      <c r="K27" s="261">
        <f>VLOOKUP(B6,'Global industry averages'!A2:Z95,13)</f>
      </c>
    </row>
    <row r="28" ht="14" customFormat="1" customHeight="1" s="155" thickBot="1">
      <c r="A28" s="159" t="inlineStr">
        <is>
          <t>Riskfree rate</t>
        </is>
      </c>
      <c r="B28" s="158" t="n">
        <v>0.03</v>
      </c>
      <c r="C28" s="62" t="n"/>
    </row>
    <row r="29" ht="13" customFormat="1" customHeight="1" s="155">
      <c r="A29" s="159" t="inlineStr">
        <is>
          <t>Initial cost of capital =</t>
        </is>
      </c>
      <c r="B29" s="395" t="n">
        <v>0.07969999999999999</v>
      </c>
      <c r="C29" s="62" t="n"/>
      <c r="E29" s="482" t="inlineStr">
        <is>
          <t>Valuation Output Feedback (for you to use to fine tune your inputs, if you want)</t>
        </is>
      </c>
      <c r="F29" s="483" t="n"/>
      <c r="G29" s="483" t="n"/>
      <c r="H29" s="483" t="n"/>
      <c r="I29" s="483" t="n"/>
      <c r="J29" s="484" t="n"/>
    </row>
    <row r="30" ht="13" customFormat="1" customHeight="1" s="155">
      <c r="A30" s="171" t="inlineStr">
        <is>
          <t>Other inputs</t>
        </is>
      </c>
      <c r="B30" s="70" t="n"/>
      <c r="C30" s="70" t="n"/>
      <c r="D30" s="62" t="n"/>
      <c r="E30" s="248" t="inlineStr">
        <is>
          <t>Revenues in year 10, based on your revenue growth =</t>
        </is>
      </c>
      <c r="F30" s="155" t="n"/>
      <c r="G30" s="155" t="n"/>
      <c r="H30" s="155" t="n"/>
      <c r="I30" s="155" t="n"/>
      <c r="J30" s="259">
        <f>'Valuation output'!M3</f>
      </c>
    </row>
    <row r="31" ht="13" customFormat="1" customHeight="1" s="155">
      <c r="A31" s="155" t="inlineStr">
        <is>
          <t>Do you have employee options outstanding?</t>
        </is>
      </c>
      <c r="B31" s="158" t="inlineStr">
        <is>
          <t>No</t>
        </is>
      </c>
      <c r="D31" s="62" t="n"/>
      <c r="E31" s="248" t="inlineStr">
        <is>
          <t>Pre-tax Operating Income in year 10, based on your operating margin =</t>
        </is>
      </c>
      <c r="F31" s="155" t="n"/>
      <c r="G31" s="155" t="n"/>
      <c r="H31" s="155" t="n"/>
      <c r="I31" s="155" t="n"/>
      <c r="J31" s="259">
        <f>'Valuation output'!M5</f>
      </c>
    </row>
    <row r="32" ht="13" customFormat="1" customHeight="1" s="155">
      <c r="A32" s="155" t="inlineStr">
        <is>
          <t>Number of options outstanding =</t>
        </is>
      </c>
      <c r="B32" s="68" t="n">
        <v>21.65</v>
      </c>
      <c r="C32" s="258" t="n"/>
      <c r="D32" s="62" t="n"/>
      <c r="E32" s="248" t="inlineStr">
        <is>
          <t>Return on invested capital in year 10, based on your sales/capital ratio =</t>
        </is>
      </c>
      <c r="F32" s="155" t="n"/>
      <c r="G32" s="155" t="n"/>
      <c r="H32" s="155" t="n"/>
      <c r="I32" s="155" t="n"/>
      <c r="J32" s="260">
        <f>'Valuation output'!L40</f>
      </c>
    </row>
    <row r="33" ht="14" customFormat="1" customHeight="1" s="155" thickBot="1">
      <c r="A33" s="155" t="inlineStr">
        <is>
          <t>Average strike price =</t>
        </is>
      </c>
      <c r="B33" s="485" t="n">
        <v>61.13</v>
      </c>
      <c r="C33" s="486" t="n"/>
      <c r="D33" s="62" t="n"/>
      <c r="E33" s="249" t="inlineStr">
        <is>
          <t>Check the Diagnostics worksheet for more details.</t>
        </is>
      </c>
      <c r="F33" s="59" t="n"/>
      <c r="G33" s="59" t="n"/>
      <c r="H33" s="59" t="n"/>
      <c r="I33" s="59" t="n"/>
      <c r="J33" s="250" t="n"/>
    </row>
    <row r="34" ht="13" customFormat="1" customHeight="1" s="155">
      <c r="A34" s="155" t="inlineStr">
        <is>
          <t>Average maturity =</t>
        </is>
      </c>
      <c r="B34" s="68" t="n">
        <v>5.97</v>
      </c>
      <c r="C34" s="258" t="n"/>
      <c r="D34" s="62" t="n"/>
    </row>
    <row r="35" ht="13" customFormat="1" customHeight="1" s="155">
      <c r="A35" s="155" t="inlineStr">
        <is>
          <t>Standard deviation on stock price =</t>
        </is>
      </c>
      <c r="B35" s="158" t="n">
        <v>0.3</v>
      </c>
      <c r="C35" s="62" t="n"/>
    </row>
    <row r="36" ht="13" customFormat="1" customHeight="1" s="155">
      <c r="A36" s="155" t="n"/>
      <c r="B36" s="72" t="n"/>
      <c r="C36" s="70" t="n"/>
      <c r="D36" s="62" t="n"/>
    </row>
    <row r="37" ht="13" customFormat="1" customHeight="1" s="224">
      <c r="A37" s="397" t="inlineStr">
        <is>
          <t xml:space="preserve">Default assumptions. </t>
        </is>
      </c>
      <c r="C37" s="83" t="n"/>
      <c r="D37" s="62" t="n"/>
      <c r="H37" s="155" t="n"/>
      <c r="I37" s="155" t="n"/>
      <c r="J37" s="155" t="n"/>
      <c r="K37" s="155" t="n"/>
      <c r="L37" s="155" t="n"/>
      <c r="M37" s="155" t="n"/>
      <c r="N37" s="155" t="n"/>
    </row>
    <row r="38" ht="13" customFormat="1" customHeight="1" s="155">
      <c r="A38" s="224" t="inlineStr">
        <is>
          <t>In stable growth, I will assume that your firm will have a cost of capital similar to that of typical mature companies (riskfree rate + 4.5%)</t>
        </is>
      </c>
      <c r="B38" s="224" t="n"/>
      <c r="C38" s="84" t="n"/>
      <c r="D38" s="62" t="n"/>
    </row>
    <row r="39" ht="13" customFormat="1" customHeight="1" s="155">
      <c r="A39" s="155" t="inlineStr">
        <is>
          <t>Do you want to override this assumption =</t>
        </is>
      </c>
      <c r="B39" s="76" t="inlineStr">
        <is>
          <t>Yes</t>
        </is>
      </c>
      <c r="C39" s="62" t="inlineStr">
        <is>
          <t>Mature companies generally see their risk levels approach the average</t>
        </is>
      </c>
      <c r="N39" s="224" t="n"/>
    </row>
    <row r="40" ht="13" customFormat="1" customHeight="1" s="224">
      <c r="A40" s="155" t="inlineStr">
        <is>
          <t>If yes, enter the cost of capital after year 10 =</t>
        </is>
      </c>
      <c r="B40" s="158" t="n">
        <v>0.075</v>
      </c>
      <c r="C40" s="62" t="inlineStr">
        <is>
          <t>Though some sectors, even in stable growth, may have higher risk.</t>
        </is>
      </c>
      <c r="D40" s="155" t="n"/>
      <c r="N40" s="155" t="n"/>
    </row>
    <row r="41" ht="13" customFormat="1" customHeight="1" s="155">
      <c r="A41" s="224" t="inlineStr">
        <is>
          <t>I will assume that your firm will earn a return on capital equal to its cost of capital after year 10. I am assuming that whatever competitive advantages you have today will fade over time.</t>
        </is>
      </c>
      <c r="B41" s="224" t="n"/>
      <c r="C41" s="62" t="n"/>
      <c r="D41" s="224" t="n"/>
    </row>
    <row r="42" ht="13" customFormat="1" customHeight="1" s="155">
      <c r="A42" s="155" t="inlineStr">
        <is>
          <t>Do you want to override this assumption =</t>
        </is>
      </c>
      <c r="B42" s="76" t="inlineStr">
        <is>
          <t>Yes</t>
        </is>
      </c>
      <c r="C42" s="62" t="inlineStr">
        <is>
          <t>Mature companies find it difficult to generate returns that exceed the cost of capital</t>
        </is>
      </c>
      <c r="N42" s="224" t="n"/>
    </row>
    <row r="43" ht="13" customFormat="1" customHeight="1" s="155">
      <c r="A43" s="155" t="inlineStr">
        <is>
          <t>If yes, enter the return on capital you expect after year 10</t>
        </is>
      </c>
      <c r="B43" s="77" t="n">
        <v>0.1</v>
      </c>
      <c r="C43" s="62" t="inlineStr">
        <is>
          <t>But there are significant exceptions among companies with long-lasting competitive advantages.</t>
        </is>
      </c>
      <c r="H43" s="224" t="n"/>
      <c r="I43" s="224" t="n"/>
      <c r="J43" s="224" t="n"/>
      <c r="K43" s="224" t="n"/>
      <c r="L43" s="224" t="n"/>
      <c r="M43" s="224" t="n"/>
    </row>
    <row r="44" ht="13" customFormat="1" customHeight="1" s="155">
      <c r="A44" s="224" t="inlineStr">
        <is>
          <t>I will assume that your firm has no chance of failure over the foreseeable future.</t>
        </is>
      </c>
      <c r="C44" s="62" t="n"/>
    </row>
    <row r="45" ht="13" customFormat="1" customHeight="1" s="155">
      <c r="A45" s="155" t="inlineStr">
        <is>
          <t>Do you want to override this assumption =</t>
        </is>
      </c>
      <c r="B45" s="76" t="inlineStr">
        <is>
          <t>No</t>
        </is>
      </c>
      <c r="C45" s="62" t="inlineStr">
        <is>
          <t>Many young, growth companies fail, especially if they have trouble raising cash. Many distressed companies fail, because they have trouble making debt payments.</t>
        </is>
      </c>
    </row>
    <row r="46" ht="13" customFormat="1" customHeight="1" s="155">
      <c r="A46" s="155" t="inlineStr">
        <is>
          <t>If yes, enter the probability of failure =</t>
        </is>
      </c>
      <c r="B46" s="77" t="n">
        <v>0.2</v>
      </c>
      <c r="C46" s="62" t="inlineStr">
        <is>
          <t>Tough to estimate but a key input.</t>
        </is>
      </c>
    </row>
    <row r="47" ht="13" customFormat="1" customHeight="1" s="155">
      <c r="A47" s="155" t="inlineStr">
        <is>
          <t>What do you want to tie your proceeds in failure to?</t>
        </is>
      </c>
      <c r="B47" s="77" t="inlineStr">
        <is>
          <t>V</t>
        </is>
      </c>
      <c r="C47" s="62" t="inlineStr">
        <is>
          <t>B: Book value of capital, V= Estimated fair value for the company</t>
        </is>
      </c>
    </row>
    <row r="48" ht="13" customFormat="1" customHeight="1" s="155">
      <c r="A48" s="155" t="inlineStr">
        <is>
          <t>Enter the distress proceeds as percentage of book or fair value</t>
        </is>
      </c>
      <c r="B48" s="77" t="n">
        <v>0.5</v>
      </c>
      <c r="C48" s="62" t="inlineStr">
        <is>
          <t>This can be zero, if the assets will be worth nothing if the firm fails.</t>
        </is>
      </c>
    </row>
    <row r="49" ht="13" customFormat="1" customHeight="1" s="155">
      <c r="A49" s="224" t="inlineStr">
        <is>
          <t>I will assume that your effective tax rate will adjust to your marginal tax rate by your terminal year. If you override this assumption, I will leave the tax rate at your effective tax rate.</t>
        </is>
      </c>
      <c r="B49" s="78" t="n"/>
      <c r="C49" s="62" t="n"/>
    </row>
    <row r="50" ht="13" customFormat="1" customHeight="1" s="155">
      <c r="A50" s="155" t="inlineStr">
        <is>
          <t>Do you want to override this assumption =</t>
        </is>
      </c>
      <c r="B50" s="77" t="inlineStr">
        <is>
          <t>No</t>
        </is>
      </c>
      <c r="C50" s="62" t="n"/>
    </row>
    <row r="51" ht="13" customFormat="1" customHeight="1" s="155">
      <c r="A51" s="224" t="inlineStr">
        <is>
          <t>I will assume that you have no losses carried forward from prior years ( NOL) coming into the valuation. If you have a money losing company, you may want to override tis.</t>
        </is>
      </c>
      <c r="C51" s="62" t="n"/>
    </row>
    <row r="52" ht="13" customFormat="1" customHeight="1" s="155">
      <c r="A52" s="155" t="inlineStr">
        <is>
          <t>Do you want to override this assumption =</t>
        </is>
      </c>
      <c r="B52" s="76" t="inlineStr">
        <is>
          <t>No</t>
        </is>
      </c>
      <c r="C52" s="62" t="inlineStr">
        <is>
          <t>Check the financial statements.</t>
        </is>
      </c>
    </row>
    <row r="53" ht="13" customFormat="1" customHeight="1" s="155">
      <c r="A53" s="155" t="inlineStr">
        <is>
          <t>If yes, enter the NOL that you are carrying over into year 1</t>
        </is>
      </c>
      <c r="B53" s="485" t="n">
        <v>250</v>
      </c>
      <c r="C53" s="62" t="inlineStr">
        <is>
          <t>An NOL will shield your income from taxes, even after you start making money.</t>
        </is>
      </c>
    </row>
    <row r="54" ht="13" customFormat="1" customHeight="1" s="155">
      <c r="A54" s="155" t="inlineStr">
        <is>
          <t>I will assume that the growth rate in perpetuity will be equal to the risk free rate. This allows for both valuation consistency and prevents "impossible" growth rates.</t>
        </is>
      </c>
      <c r="B54" s="486" t="n"/>
      <c r="C54" s="62" t="n"/>
    </row>
    <row r="55" ht="13" customFormat="1" customHeight="1" s="155">
      <c r="A55" s="155" t="inlineStr">
        <is>
          <t>Do you want to override this assumption =</t>
        </is>
      </c>
      <c r="B55" s="485" t="inlineStr">
        <is>
          <t>No</t>
        </is>
      </c>
      <c r="C55" s="62" t="n"/>
    </row>
    <row r="56" ht="13" customFormat="1" customHeight="1" s="251">
      <c r="A56" s="155" t="inlineStr">
        <is>
          <t>If yes, enter the growth rate in perpetuity</t>
        </is>
      </c>
      <c r="B56" s="256" t="n">
        <v>0.01</v>
      </c>
      <c r="C56" s="62" t="inlineStr">
        <is>
          <t>This can be negative, if you feel the company will decline (and disappear) after growth is done. If you let it exceed the risk free rate, you are on your own in uncharted territory.</t>
        </is>
      </c>
      <c r="D56" s="155" t="n"/>
      <c r="H56" s="224" t="n"/>
      <c r="I56" s="224" t="n"/>
      <c r="J56" s="224" t="n"/>
      <c r="K56" s="224" t="n"/>
      <c r="L56" s="224" t="n"/>
      <c r="M56" s="224" t="n"/>
      <c r="N56" s="224" t="n"/>
    </row>
    <row r="57" ht="13" customHeight="1">
      <c r="A57" s="251" t="inlineStr">
        <is>
          <t>I have assumed that none of the cash is trapped (in foreign countries) and that there is no additional tax liability coming due and that cash is a neutral asset.</t>
        </is>
      </c>
      <c r="B57" s="251" t="n"/>
      <c r="C57" s="251" t="n"/>
      <c r="D57" s="251" t="n"/>
      <c r="H57" s="155" t="n"/>
      <c r="I57" s="155" t="n"/>
      <c r="J57" s="155" t="n"/>
      <c r="K57" s="155" t="n"/>
      <c r="L57" s="155" t="n"/>
      <c r="M57" s="155" t="n"/>
      <c r="N57" s="155" t="n"/>
    </row>
    <row r="58" ht="13" customHeight="1">
      <c r="A58" s="4" t="inlineStr">
        <is>
          <t>Do you want to override this assumption</t>
        </is>
      </c>
      <c r="B58" s="252" t="inlineStr">
        <is>
          <t>No</t>
        </is>
      </c>
      <c r="H58" s="155" t="n"/>
      <c r="I58" s="155" t="n"/>
      <c r="J58" s="155" t="n"/>
      <c r="K58" s="155" t="n"/>
      <c r="L58" s="155" t="n"/>
      <c r="M58" s="155" t="n"/>
    </row>
    <row r="59">
      <c r="A59" s="4" t="inlineStr">
        <is>
          <t>If yes, enter trapped cash (if taxes) or entire balance (if mistrust)</t>
        </is>
      </c>
      <c r="B59" s="487" t="n">
        <v>140000</v>
      </c>
      <c r="C59" s="266" t="inlineStr">
        <is>
          <t>Cash that is trapped in foreign markets (and subject to additoinal tax) or cash that is being discounted by the market (because of management mistrust)</t>
        </is>
      </c>
    </row>
    <row r="60">
      <c r="A60" s="265" t="inlineStr">
        <is>
          <t>&amp; Average tax rate of the foreign markets where the cash is trapped</t>
        </is>
      </c>
      <c r="B60" s="253" t="n">
        <v>0.15</v>
      </c>
      <c r="C60" s="266" t="inlineStr">
        <is>
          <t>Additional tax rate due on trapped cash or discount being applied to cash balance because of mistrust.</t>
        </is>
      </c>
    </row>
    <row r="61">
      <c r="A61" s="144" t="n"/>
    </row>
  </sheetData>
  <mergeCells count="3">
    <mergeCell ref="A37:B37"/>
    <mergeCell ref="A3:J3"/>
    <mergeCell ref="E29:J29"/>
  </mergeCells>
  <dataValidations count="1">
    <dataValidation sqref="B20"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A41"/>
  <sheetViews>
    <sheetView topLeftCell="A26" zoomScale="125" zoomScaleNormal="125" workbookViewId="0">
      <selection activeCell="B33" sqref="B33"/>
    </sheetView>
  </sheetViews>
  <sheetFormatPr baseColWidth="10" defaultColWidth="11.5" defaultRowHeight="16"/>
  <cols>
    <col width="23" bestFit="1" customWidth="1" style="47" min="1" max="1"/>
    <col width="14.33203125" customWidth="1" style="47" min="2" max="2"/>
    <col width="14.33203125" customWidth="1" style="52" min="3" max="13"/>
    <col width="12.6640625" bestFit="1" customWidth="1" min="14" max="14"/>
  </cols>
  <sheetData>
    <row r="1">
      <c r="A1" s="42" t="n"/>
      <c r="B1" s="43" t="inlineStr">
        <is>
          <t>Base year</t>
        </is>
      </c>
      <c r="C1" s="43" t="n">
        <v>1</v>
      </c>
      <c r="D1" s="43" t="n">
        <v>2</v>
      </c>
      <c r="E1" s="43" t="n">
        <v>3</v>
      </c>
      <c r="F1" s="43" t="n">
        <v>4</v>
      </c>
      <c r="G1" s="43" t="n">
        <v>5</v>
      </c>
      <c r="H1" s="43" t="n">
        <v>6</v>
      </c>
      <c r="I1" s="43" t="n">
        <v>7</v>
      </c>
      <c r="J1" s="43" t="n">
        <v>8</v>
      </c>
      <c r="K1" s="43" t="n">
        <v>9</v>
      </c>
      <c r="L1" s="43" t="n">
        <v>10</v>
      </c>
      <c r="M1" s="50" t="inlineStr">
        <is>
          <t>Terminal year</t>
        </is>
      </c>
      <c r="O1" s="469" t="inlineStr">
        <is>
          <t>REVIEW SCENARIO</t>
        </is>
      </c>
      <c r="P1" t="inlineStr">
        <is>
          <t>Base year</t>
        </is>
      </c>
      <c r="Q1" t="n">
        <v>1</v>
      </c>
      <c r="R1" t="n">
        <v>2</v>
      </c>
      <c r="S1" t="n">
        <v>3</v>
      </c>
      <c r="T1" t="n">
        <v>4</v>
      </c>
      <c r="U1" t="n">
        <v>5</v>
      </c>
      <c r="V1" t="n">
        <v>6</v>
      </c>
      <c r="W1" t="n">
        <v>7</v>
      </c>
      <c r="X1" t="n">
        <v>8</v>
      </c>
      <c r="Y1" t="n">
        <v>9</v>
      </c>
      <c r="Z1" t="n">
        <v>10</v>
      </c>
      <c r="AA1" t="inlineStr">
        <is>
          <t>Terminal year</t>
        </is>
      </c>
    </row>
    <row r="2">
      <c r="A2" s="47" t="inlineStr">
        <is>
          <t>Revenue growth rate</t>
        </is>
      </c>
      <c r="B2" s="89" t="n"/>
      <c r="C2" s="90">
        <f>'Input sheet'!B23</f>
      </c>
      <c r="D2" s="90">
        <f>C2</f>
      </c>
      <c r="E2" s="90">
        <f>D2</f>
      </c>
      <c r="F2" s="90">
        <f>E2</f>
      </c>
      <c r="G2" s="90">
        <f>F2</f>
      </c>
      <c r="H2" s="90">
        <f>G2-((G2-$M$2)/5)</f>
      </c>
      <c r="I2" s="90">
        <f>G2-((G2-$M$2)/5)*2</f>
      </c>
      <c r="J2" s="90">
        <f>G2-((G2-$M$2)/5)*3</f>
      </c>
      <c r="K2" s="90">
        <f>G2-((G2-$M$2)/5)*4</f>
      </c>
      <c r="L2" s="90">
        <f>G2-((G2-$M$2)/5)*5</f>
      </c>
      <c r="M2" s="91">
        <f>IF('Input sheet'!B55="Yes",'Input sheet'!B56,'Input sheet'!B28)</f>
      </c>
      <c r="O2" t="inlineStr">
        <is>
          <t>Revenue growth rate</t>
        </is>
      </c>
      <c r="Q2">
        <f>C2</f>
      </c>
      <c r="R2">
        <f>D2</f>
      </c>
      <c r="S2">
        <f>E2</f>
      </c>
      <c r="T2">
        <f>F2</f>
      </c>
      <c r="U2">
        <f>G2</f>
      </c>
      <c r="V2">
        <f>H2</f>
      </c>
      <c r="W2">
        <f>I2</f>
      </c>
      <c r="X2">
        <f>J2</f>
      </c>
      <c r="Y2">
        <f>K2</f>
      </c>
      <c r="Z2">
        <f>L2</f>
      </c>
      <c r="AA2">
        <f>M2</f>
      </c>
    </row>
    <row r="3" ht="15" customHeight="1">
      <c r="A3" s="47" t="inlineStr">
        <is>
          <t>Revenues</t>
        </is>
      </c>
      <c r="B3" s="488">
        <f>'Input sheet'!B8</f>
      </c>
      <c r="C3" s="489">
        <f>B3*(1+C2)</f>
      </c>
      <c r="D3" s="489">
        <f>C3*(1+D2)</f>
      </c>
      <c r="E3" s="489">
        <f>D3*(1+E2)</f>
      </c>
      <c r="F3" s="489">
        <f>E3*(1+F2)</f>
      </c>
      <c r="G3" s="489">
        <f>F3*(1+G2)</f>
      </c>
      <c r="H3" s="489">
        <f>G3*(1+H2)</f>
      </c>
      <c r="I3" s="489">
        <f>H3*(1+I2)</f>
      </c>
      <c r="J3" s="489">
        <f>I3*(1+J2)</f>
      </c>
      <c r="K3" s="489">
        <f>J3*(1+K2)</f>
      </c>
      <c r="L3" s="489">
        <f>K3*(1+L2)</f>
      </c>
      <c r="M3" s="490">
        <f>L3*(1+M2)</f>
      </c>
      <c r="O3" t="inlineStr">
        <is>
          <t>Revenues</t>
        </is>
      </c>
      <c r="P3">
        <f>B3</f>
      </c>
      <c r="Q3">
        <f>P3*(1+Q2)</f>
      </c>
      <c r="R3">
        <f>Q3*(1+R2)</f>
      </c>
      <c r="S3">
        <f>R3*(1+S2)</f>
      </c>
      <c r="T3">
        <f>S3*(1+T2)</f>
      </c>
      <c r="U3">
        <f>T3*(1+U2)</f>
      </c>
      <c r="V3">
        <f>U3*(1+V2)</f>
      </c>
      <c r="W3">
        <f>V3*(1+W2)</f>
      </c>
      <c r="X3">
        <f>W3*(1+X2)</f>
      </c>
      <c r="Y3">
        <f>X3*(1+Y2)</f>
      </c>
      <c r="Z3">
        <f>Y3*(1+Z2)</f>
      </c>
      <c r="AA3">
        <f>Z3*(1+AA2)</f>
      </c>
    </row>
    <row r="4" ht="15" customHeight="1">
      <c r="A4" s="47" t="inlineStr">
        <is>
          <t>EBIT (Operating) margin</t>
        </is>
      </c>
      <c r="B4" s="94">
        <f>B5/B3</f>
      </c>
      <c r="C4" s="90">
        <f>IF(C1&gt;'Input sheet'!$B$25,'Input sheet'!$B$24,'Input sheet'!$B$24-(('Input sheet'!$B$24-$B$4)/'Input sheet'!$B$25)*('Input sheet'!$B$25-C1))</f>
      </c>
      <c r="D4" s="90">
        <f>IF(D1&gt;'Input sheet'!$B$25,'Input sheet'!$B$24,'Input sheet'!$B$24-(('Input sheet'!$B$24-$B$4)/'Input sheet'!$B$25)*('Input sheet'!$B$25-D1))</f>
      </c>
      <c r="E4" s="90">
        <f>IF(E1&gt;'Input sheet'!$B$25,'Input sheet'!$B$24,'Input sheet'!$B$24-(('Input sheet'!$B$24-$B$4)/'Input sheet'!$B$25)*('Input sheet'!$B$25-E1))</f>
      </c>
      <c r="F4" s="90">
        <f>IF(F1&gt;'Input sheet'!$B$25,'Input sheet'!$B$24,'Input sheet'!$B$24-(('Input sheet'!$B$24-$B$4)/'Input sheet'!$B$25)*('Input sheet'!$B$25-F1))</f>
      </c>
      <c r="G4" s="90">
        <f>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c r="O4" t="inlineStr">
        <is>
          <t>EBIT (Operating) margin</t>
        </is>
      </c>
      <c r="P4">
        <f>B4</f>
      </c>
      <c r="Q4">
        <f>IF(Q1&gt;'Input sheet'!$B$25,'Input sheet'!$B$24-0.02,('Input sheet'!$B$24-0.02)-(('Input sheet'!$B$24-0.02-$P$4)/'Input sheet'!$B$25)*('Input sheet'!$B$25-Q1))</f>
      </c>
      <c r="R4">
        <f>IF(R1&gt;'Input sheet'!$B$25,'Input sheet'!$B$24-0.02,('Input sheet'!$B$24-0.02)-(('Input sheet'!$B$24-0.02-$P$4)/'Input sheet'!$B$25)*('Input sheet'!$B$25-R1))</f>
      </c>
      <c r="S4">
        <f>IF(S1&gt;'Input sheet'!$B$25,'Input sheet'!$B$24-0.02,('Input sheet'!$B$24-0.02)-(('Input sheet'!$B$24-0.02-$P$4)/'Input sheet'!$B$25)*('Input sheet'!$B$25-S1))</f>
      </c>
      <c r="T4">
        <f>IF(T1&gt;'Input sheet'!$B$25,'Input sheet'!$B$24-0.02,('Input sheet'!$B$24-0.02)-(('Input sheet'!$B$24-0.02-$P$4)/'Input sheet'!$B$25)*('Input sheet'!$B$25-T1))</f>
      </c>
      <c r="U4">
        <f>IF(U1&gt;'Input sheet'!$B$25,'Input sheet'!$B$24-0.02,('Input sheet'!$B$24-0.02)-(('Input sheet'!$B$24-0.02-$P$4)/'Input sheet'!$B$25)*('Input sheet'!$B$25-U1))</f>
      </c>
      <c r="V4">
        <f>IF(V1&gt;'Input sheet'!$B$25,'Input sheet'!$B$24-0.02,('Input sheet'!$B$24-0.02)-(('Input sheet'!$B$24-0.02-$P$4)/'Input sheet'!$B$25)*('Input sheet'!$B$25-V1))</f>
      </c>
      <c r="W4">
        <f>IF(W1&gt;'Input sheet'!$B$25,'Input sheet'!$B$24-0.02,('Input sheet'!$B$24-0.02)-(('Input sheet'!$B$24-0.02-$P$4)/'Input sheet'!$B$25)*('Input sheet'!$B$25-W1))</f>
      </c>
      <c r="X4">
        <f>IF(X1&gt;'Input sheet'!$B$25,'Input sheet'!$B$24-0.02,('Input sheet'!$B$24-0.02)-(('Input sheet'!$B$24-0.02-$P$4)/'Input sheet'!$B$25)*('Input sheet'!$B$25-X1))</f>
      </c>
      <c r="Y4">
        <f>IF(Y1&gt;'Input sheet'!$B$25,'Input sheet'!$B$24-0.02,('Input sheet'!$B$24-0.02)-(('Input sheet'!$B$24-0.02-$P$4)/'Input sheet'!$B$25)*('Input sheet'!$B$25-Y1))</f>
      </c>
      <c r="Z4">
        <f>IF(Z1&gt;'Input sheet'!$B$25,'Input sheet'!$B$24-0.02,('Input sheet'!$B$24-0.02)-(('Input sheet'!$B$24-0.02-$P$4)/'Input sheet'!$B$25)*('Input sheet'!$B$25-Z1))</f>
      </c>
      <c r="AA4">
        <f>Z4</f>
      </c>
    </row>
    <row r="5" ht="15" customHeight="1">
      <c r="A5" s="47" t="inlineStr">
        <is>
          <t>EBIT (Operating income)</t>
        </is>
      </c>
      <c r="B5" s="488">
        <f>IF('Input sheet'!B14="Yes",IF('Input sheet'!B13="Yes",'Input sheet'!B9+'Operating lease converter'!F32+'R&amp; D converter'!D39,'Input sheet'!B9+'Operating lease converter'!F32),IF('Input sheet'!B13="Yes",'Input sheet'!B9+'R&amp; D converter'!D39,'Input sheet'!B9))</f>
      </c>
      <c r="C5" s="489">
        <f>C3*C4</f>
      </c>
      <c r="D5" s="489">
        <f>D3*D4</f>
      </c>
      <c r="E5" s="489">
        <f>E3*E4</f>
      </c>
      <c r="F5" s="489">
        <f>F3*F4</f>
      </c>
      <c r="G5" s="489">
        <f>G3*G4</f>
      </c>
      <c r="H5" s="489">
        <f>H3*H4</f>
      </c>
      <c r="I5" s="489">
        <f>I3*I4</f>
      </c>
      <c r="J5" s="489">
        <f>J3*J4</f>
      </c>
      <c r="K5" s="489">
        <f>K3*K4</f>
      </c>
      <c r="L5" s="489">
        <f>L3*L4</f>
      </c>
      <c r="M5" s="490">
        <f>M3*M4</f>
      </c>
      <c r="N5" s="491">
        <f>M5-B5</f>
      </c>
      <c r="O5" t="inlineStr">
        <is>
          <t>EBIT (Operating income)</t>
        </is>
      </c>
      <c r="Q5">
        <f>Q3*Q4</f>
      </c>
      <c r="R5">
        <f>R3*R4</f>
      </c>
      <c r="S5">
        <f>S3*S4</f>
      </c>
      <c r="T5">
        <f>T3*T4</f>
      </c>
      <c r="U5">
        <f>U3*U4</f>
      </c>
      <c r="V5">
        <f>V3*V4</f>
      </c>
      <c r="W5">
        <f>W3*W4</f>
      </c>
      <c r="X5">
        <f>X3*X4</f>
      </c>
      <c r="Y5">
        <f>Y3*Y4</f>
      </c>
      <c r="Z5">
        <f>Z3*Z4</f>
      </c>
      <c r="AA5">
        <f>AA3*AA4</f>
      </c>
    </row>
    <row r="6" ht="15" customHeight="1">
      <c r="A6" s="47" t="inlineStr">
        <is>
          <t>Tax rate</t>
        </is>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c r="O6" t="inlineStr">
        <is>
          <t>Tax rate</t>
        </is>
      </c>
      <c r="P6">
        <f>B6</f>
      </c>
      <c r="Q6">
        <f>C6</f>
      </c>
      <c r="R6">
        <f>D6</f>
      </c>
      <c r="S6">
        <f>E6</f>
      </c>
      <c r="T6">
        <f>F6</f>
      </c>
      <c r="U6">
        <f>G6</f>
      </c>
      <c r="V6">
        <f>H6</f>
      </c>
      <c r="W6">
        <f>I6</f>
      </c>
      <c r="X6">
        <f>J6</f>
      </c>
      <c r="Y6">
        <f>K6</f>
      </c>
      <c r="Z6">
        <f>L6</f>
      </c>
      <c r="AA6">
        <f>M6</f>
      </c>
    </row>
    <row r="7" ht="15" customHeight="1">
      <c r="A7" s="47" t="inlineStr">
        <is>
          <t>EBIT(1-t)</t>
        </is>
      </c>
      <c r="B7" s="488">
        <f>IF(B5&gt;0,B5*(1-B6),B5)</f>
      </c>
      <c r="C7" s="489">
        <f>IF(C5&gt;0,MAX(C5*(1-C6)-C10,C5),C5)</f>
      </c>
      <c r="D7" s="489">
        <f>IF(D5&gt;0,MAX(D5*(1-D6)-D10,D5),D5)</f>
      </c>
      <c r="E7" s="489">
        <f>IF(E5&gt;0,MAX(E5*(1-E6)-E10,E5),E5)</f>
      </c>
      <c r="F7" s="489">
        <f>IF(F5&gt;0,MAX(F5*(1-F6)-F10,F5),F5)</f>
      </c>
      <c r="G7" s="489">
        <f>IF(G5&gt;0,MAX(G5*(1-G6)-G10,G5),G5)</f>
      </c>
      <c r="H7" s="489">
        <f>IF(H5&gt;0,MAX(H5*(1-H6)-H10,H5),H5)</f>
      </c>
      <c r="I7" s="489">
        <f>IF(I5&gt;0,MAX(I5*(1-I6)-I10,I5),I5)</f>
      </c>
      <c r="J7" s="489">
        <f>IF(J5&gt;0,MAX(J5*(1-J6)-J10,J5),J5)</f>
      </c>
      <c r="K7" s="489">
        <f>IF(K5&gt;0,MAX(K5*(1-K6)-K10,K5),K5)</f>
      </c>
      <c r="L7" s="489">
        <f>IF(L5&gt;0,MAX(L5*(1-L6)-L10,L5),L5)</f>
      </c>
      <c r="M7" s="489">
        <f>M5*(1-M6)</f>
      </c>
      <c r="O7" t="inlineStr">
        <is>
          <t>EBIT(1-t)</t>
        </is>
      </c>
      <c r="Q7">
        <f>IF(Q5&gt;0,MAX(Q5*(1-Q6)-Q10,Q5),Q5)</f>
      </c>
      <c r="R7">
        <f>IF(R5&gt;0,MAX(R5*(1-R6)-R10,R5),R5)</f>
      </c>
      <c r="S7">
        <f>IF(S5&gt;0,MAX(S5*(1-S6)-S10,S5),S5)</f>
      </c>
      <c r="T7">
        <f>IF(T5&gt;0,MAX(T5*(1-T6)-T10,T5),T5)</f>
      </c>
      <c r="U7">
        <f>IF(U5&gt;0,MAX(U5*(1-U6)-U10,U5),U5)</f>
      </c>
      <c r="V7">
        <f>IF(V5&gt;0,MAX(V5*(1-V6)-V10,V5),V5)</f>
      </c>
      <c r="W7">
        <f>IF(W5&gt;0,MAX(W5*(1-W6)-W10,W5),W5)</f>
      </c>
      <c r="X7">
        <f>IF(X5&gt;0,MAX(X5*(1-X6)-X10,X5),X5)</f>
      </c>
      <c r="Y7">
        <f>IF(Y5&gt;0,MAX(Y5*(1-Y6)-Y10,Y5),Y5)</f>
      </c>
      <c r="Z7">
        <f>IF(Z5&gt;0,MAX(Z5*(1-Z6)-Z10,Z5),Z5)</f>
      </c>
      <c r="AA7">
        <f>AA5*(1-AA6)</f>
      </c>
    </row>
    <row r="8" ht="15" customHeight="1">
      <c r="A8" s="47" t="inlineStr">
        <is>
          <t xml:space="preserve"> - Reinvestment</t>
        </is>
      </c>
      <c r="B8" s="488" t="n"/>
      <c r="C8" s="489">
        <f>(C3-B3)/C38</f>
      </c>
      <c r="D8" s="489">
        <f>(D3-C3)/D38</f>
      </c>
      <c r="E8" s="489">
        <f>(E3-D3)/E38</f>
      </c>
      <c r="F8" s="489">
        <f>(F3-E3)/F38</f>
      </c>
      <c r="G8" s="489">
        <f>(G3-F3)/G38</f>
      </c>
      <c r="H8" s="489">
        <f>(H3-G3)/H38</f>
      </c>
      <c r="I8" s="489">
        <f>(I3-H3)/I38</f>
      </c>
      <c r="J8" s="489">
        <f>(J3-I3)/J38</f>
      </c>
      <c r="K8" s="489">
        <f>(K3-J3)/K38</f>
      </c>
      <c r="L8" s="489">
        <f>(L3-K3)/L38</f>
      </c>
      <c r="M8" s="492">
        <f>(M3*M2)/M38</f>
      </c>
      <c r="N8" s="491">
        <f>SUM(C8:M8)</f>
      </c>
      <c r="O8" t="inlineStr">
        <is>
          <t xml:space="preserve"> - Reinvestment</t>
        </is>
      </c>
      <c r="Q8">
        <f>(Q3-P3)/Q38</f>
      </c>
      <c r="R8">
        <f>(R3-Q3)/R38</f>
      </c>
      <c r="S8">
        <f>(S3-R3)/S38</f>
      </c>
      <c r="T8">
        <f>(T3-S3)/T38</f>
      </c>
      <c r="U8">
        <f>(U3-T3)/U38</f>
      </c>
      <c r="V8">
        <f>(V3-U3)/V38</f>
      </c>
      <c r="W8">
        <f>(W3-V3)/W38</f>
      </c>
      <c r="X8">
        <f>(X3-W3)/X38</f>
      </c>
      <c r="Y8">
        <f>(Y3-X3)/Y38</f>
      </c>
      <c r="Z8">
        <f>(Z3-Y3)/Z38</f>
      </c>
      <c r="AA8">
        <f>(AA3*AA2)/AA38</f>
      </c>
    </row>
    <row r="9" ht="15" customHeight="1">
      <c r="A9" s="47" t="inlineStr">
        <is>
          <t>FCFF</t>
        </is>
      </c>
      <c r="B9" s="488" t="n"/>
      <c r="C9" s="489">
        <f>C7-C8</f>
      </c>
      <c r="D9" s="489">
        <f>D7-D8</f>
      </c>
      <c r="E9" s="489">
        <f>E7-E8</f>
      </c>
      <c r="F9" s="489">
        <f>F7-F8</f>
      </c>
      <c r="G9" s="489">
        <f>G7-G8</f>
      </c>
      <c r="H9" s="489">
        <f>H7-H8</f>
      </c>
      <c r="I9" s="489">
        <f>I7-I8</f>
      </c>
      <c r="J9" s="489">
        <f>J7-J8</f>
      </c>
      <c r="K9" s="489">
        <f>K7-K8</f>
      </c>
      <c r="L9" s="489">
        <f>L7-L8</f>
      </c>
      <c r="M9" s="492">
        <f>M7-M8</f>
      </c>
      <c r="O9" t="inlineStr">
        <is>
          <t>FCFF</t>
        </is>
      </c>
      <c r="Q9">
        <f>Q7-Q8</f>
      </c>
      <c r="R9">
        <f>R7-R8</f>
      </c>
      <c r="S9">
        <f>S7-S8</f>
      </c>
      <c r="T9">
        <f>T7-T8</f>
      </c>
      <c r="U9">
        <f>U7-U8</f>
      </c>
      <c r="V9">
        <f>V7-V8</f>
      </c>
      <c r="W9">
        <f>W7-W8</f>
      </c>
      <c r="X9">
        <f>X7-X8</f>
      </c>
      <c r="Y9">
        <f>Y7-Y8</f>
      </c>
      <c r="Z9">
        <f>Z7-Z8</f>
      </c>
      <c r="AA9">
        <f>AA7-AA8</f>
      </c>
    </row>
    <row r="10" ht="15" customHeight="1">
      <c r="A10" s="47" t="inlineStr">
        <is>
          <t>NOL</t>
        </is>
      </c>
      <c r="B10" s="488">
        <f>IF('Input sheet'!B52="Yes",'Input sheet'!B53,0)</f>
      </c>
      <c r="C10" s="489">
        <f>IF(C5&gt;0,MAX(B10-C5*C6,0),B10-C5)</f>
      </c>
      <c r="D10" s="489">
        <f>IF(D5&gt;0,MAX(C10-D5*D6,0),C10-D5)</f>
      </c>
      <c r="E10" s="489">
        <f>IF(E5&gt;0,MAX(D10-E5*E6,0),D10-E5)</f>
      </c>
      <c r="F10" s="489">
        <f>IF(F5&gt;0,MAX(E10-F5*F6,0),E10-F5)</f>
      </c>
      <c r="G10" s="489">
        <f>IF(G5&gt;0,MAX(F10-G5*G6,0),F10-G5)</f>
      </c>
      <c r="H10" s="489">
        <f>IF(H5&gt;0,MAX(G10-H5*H6,0),G10-H5)</f>
      </c>
      <c r="I10" s="489">
        <f>IF(I5&gt;0,MAX(H10-I5*I6,0),H10-I5)</f>
      </c>
      <c r="J10" s="489">
        <f>IF(J5&gt;0,MAX(I10-J5*J6,0),I10-J5)</f>
      </c>
      <c r="K10" s="489">
        <f>IF(K5&gt;0,MAX(J10-K5*K6,0),J10-K5)</f>
      </c>
      <c r="L10" s="489">
        <f>IF(L5&gt;0,MAX(K10-L5*L6,0),K10-L5)</f>
      </c>
      <c r="M10" s="489">
        <f>IF(M5&gt;0,MAX(L10-M5*M6,0),L10-M5)</f>
      </c>
      <c r="O10" t="inlineStr">
        <is>
          <t>NOL</t>
        </is>
      </c>
      <c r="P10">
        <f>B10</f>
      </c>
      <c r="Q10">
        <f>IF(Q5&gt;0,MAX(P10-Q5*Q6,0),P10-Q5)</f>
      </c>
      <c r="R10">
        <f>IF(R5&gt;0,MAX(Q10-R5*R6,0),Q10-R5)</f>
      </c>
      <c r="S10">
        <f>IF(S5&gt;0,MAX(R10-S5*S6,0),R10-S5)</f>
      </c>
      <c r="T10">
        <f>IF(T5&gt;0,MAX(S10-T5*T6,0),S10-T5)</f>
      </c>
      <c r="U10">
        <f>IF(U5&gt;0,MAX(T10-U5*U6,0),T10-U5)</f>
      </c>
      <c r="V10">
        <f>IF(V5&gt;0,MAX(U10-V5*V6,0),U10-V5)</f>
      </c>
      <c r="W10">
        <f>IF(W5&gt;0,MAX(V10-W5*W6,0),V10-W5)</f>
      </c>
      <c r="X10">
        <f>IF(X5&gt;0,MAX(W10-X5*X6,0),W10-X5)</f>
      </c>
      <c r="Y10">
        <f>IF(Y5&gt;0,MAX(X10-Y5*Y6,0),X10-Y5)</f>
      </c>
      <c r="Z10">
        <f>IF(Z5&gt;0,MAX(Y10-Z5*Z6,0),Y10-Z5)</f>
      </c>
      <c r="AA10">
        <f>IF(AA5&gt;0,MAX(Z10-AA5*AA6,0),Z10-AA5)</f>
      </c>
    </row>
    <row r="11" ht="15" customHeight="1">
      <c r="A11" s="47" t="n"/>
      <c r="B11" s="89" t="n"/>
      <c r="C11" s="98" t="n"/>
      <c r="D11" s="98" t="n"/>
      <c r="E11" s="98" t="n"/>
      <c r="F11" s="98" t="n"/>
      <c r="G11" s="98" t="n"/>
      <c r="H11" s="98" t="n"/>
      <c r="I11" s="98" t="n"/>
      <c r="J11" s="98" t="n"/>
      <c r="K11" s="98" t="n"/>
      <c r="L11" s="98" t="n"/>
      <c r="M11" s="98" t="n"/>
    </row>
    <row r="12" ht="15" customHeight="1">
      <c r="A12" s="47" t="inlineStr">
        <is>
          <t>Cost of capital</t>
        </is>
      </c>
      <c r="B12" s="94" t="n"/>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c r="O12" t="inlineStr">
        <is>
          <t>Cost of capital</t>
        </is>
      </c>
      <c r="Q12">
        <f>C12</f>
      </c>
      <c r="R12">
        <f>D12</f>
      </c>
      <c r="S12">
        <f>E12</f>
      </c>
      <c r="T12">
        <f>F12</f>
      </c>
      <c r="U12">
        <f>G12</f>
      </c>
      <c r="V12">
        <f>H12</f>
      </c>
      <c r="W12">
        <f>I12</f>
      </c>
      <c r="X12">
        <f>J12</f>
      </c>
      <c r="Y12">
        <f>K12</f>
      </c>
      <c r="Z12">
        <f>L12</f>
      </c>
      <c r="AA12">
        <f>M12</f>
      </c>
    </row>
    <row r="13" ht="15" customHeight="1">
      <c r="A13" s="47" t="inlineStr">
        <is>
          <t>Cumulated discount factor</t>
        </is>
      </c>
      <c r="B13" s="89" t="n"/>
      <c r="C13" s="152">
        <f>1/(1+C12)</f>
      </c>
      <c r="D13" s="152">
        <f>C13*(1/(1+D12))</f>
      </c>
      <c r="E13" s="152">
        <f>D13*(1/(1+E12))</f>
      </c>
      <c r="F13" s="152">
        <f>E13*(1/(1+F12))</f>
      </c>
      <c r="G13" s="152">
        <f>F13*(1/(1+G12))</f>
      </c>
      <c r="H13" s="152">
        <f>G13*(1/(1+H12))</f>
      </c>
      <c r="I13" s="152">
        <f>H13*(1/(1+I12))</f>
      </c>
      <c r="J13" s="152">
        <f>I13*(1/(1+J12))</f>
      </c>
      <c r="K13" s="152">
        <f>J13*(1/(1+K12))</f>
      </c>
      <c r="L13" s="152">
        <f>K13*(1/(1+L12))</f>
      </c>
      <c r="M13" s="98">
        <f>L13/(1+M12)</f>
      </c>
      <c r="O13" t="inlineStr">
        <is>
          <t>Cumulated discount factor</t>
        </is>
      </c>
      <c r="Q13">
        <f>1/(1+Q12)</f>
      </c>
      <c r="R13">
        <f>Q13/(1+R12)</f>
      </c>
      <c r="S13">
        <f>R13/(1+S12)</f>
      </c>
      <c r="T13">
        <f>S13/(1+T12)</f>
      </c>
      <c r="U13">
        <f>T13/(1+U12)</f>
      </c>
      <c r="V13">
        <f>U13/(1+V12)</f>
      </c>
      <c r="W13">
        <f>V13/(1+W12)</f>
      </c>
      <c r="X13">
        <f>W13/(1+X12)</f>
      </c>
      <c r="Y13">
        <f>X13/(1+Y12)</f>
      </c>
      <c r="Z13">
        <f>Y13/(1+Z12)</f>
      </c>
      <c r="AA13">
        <f>Z13/(1+AA12)</f>
      </c>
    </row>
    <row r="14" ht="15" customHeight="1">
      <c r="A14" s="47" t="inlineStr">
        <is>
          <t>PV(FCFF)</t>
        </is>
      </c>
      <c r="B14" s="89" t="n"/>
      <c r="C14" s="489">
        <f>C9*C13</f>
      </c>
      <c r="D14" s="489">
        <f>D9*D13</f>
      </c>
      <c r="E14" s="489">
        <f>E9*E13</f>
      </c>
      <c r="F14" s="489">
        <f>F9*F13</f>
      </c>
      <c r="G14" s="489">
        <f>G9*G13</f>
      </c>
      <c r="H14" s="489">
        <f>H9*H13</f>
      </c>
      <c r="I14" s="489">
        <f>I9*I13</f>
      </c>
      <c r="J14" s="489">
        <f>J9*J13</f>
      </c>
      <c r="K14" s="489">
        <f>K9*K13</f>
      </c>
      <c r="L14" s="489">
        <f>L9*L13</f>
      </c>
      <c r="M14" s="98">
        <f>M9*M13</f>
      </c>
      <c r="O14" t="inlineStr">
        <is>
          <t>PV(FCFF)</t>
        </is>
      </c>
      <c r="Q14">
        <f>Q9*Q13</f>
      </c>
      <c r="R14">
        <f>R9*R13</f>
      </c>
      <c r="S14">
        <f>S9*S13</f>
      </c>
      <c r="T14">
        <f>T9*T13</f>
      </c>
      <c r="U14">
        <f>U9*U13</f>
      </c>
      <c r="V14">
        <f>V9*V13</f>
      </c>
      <c r="W14">
        <f>W9*W13</f>
      </c>
      <c r="X14">
        <f>X9*X13</f>
      </c>
      <c r="Y14">
        <f>Y9*Y13</f>
      </c>
      <c r="Z14">
        <f>Z9*Z13</f>
      </c>
      <c r="AA14">
        <f>AA9*AA13</f>
      </c>
    </row>
    <row r="15" ht="15" customHeight="1">
      <c r="A15" s="47" t="n"/>
      <c r="B15" s="47" t="n"/>
      <c r="C15" s="52" t="n"/>
      <c r="D15" s="52" t="n"/>
      <c r="E15" s="52" t="n"/>
      <c r="F15" s="52" t="n"/>
      <c r="G15" s="52" t="n"/>
      <c r="H15" s="52" t="n"/>
      <c r="I15" s="52" t="n"/>
      <c r="J15" s="52" t="n"/>
      <c r="K15" s="52" t="n"/>
      <c r="L15" s="52" t="n"/>
    </row>
    <row r="16" ht="15" customHeight="1">
      <c r="A16" s="48" t="inlineStr">
        <is>
          <t>Terminal cash flow</t>
        </is>
      </c>
      <c r="B16" s="488" t="n"/>
      <c r="C16" s="52" t="n"/>
      <c r="D16" s="52" t="n"/>
      <c r="E16" s="52" t="n"/>
      <c r="F16" s="52" t="n"/>
      <c r="G16" s="52" t="n"/>
      <c r="H16" s="52" t="n"/>
      <c r="I16" s="52" t="n"/>
      <c r="J16" s="52" t="n"/>
      <c r="K16" s="52" t="n"/>
      <c r="L16" s="52" t="n"/>
      <c r="M16">
        <f>M9</f>
      </c>
      <c r="O16" t="inlineStr">
        <is>
          <t>Terminal cash flow</t>
        </is>
      </c>
      <c r="AA16">
        <f>AA9</f>
      </c>
    </row>
    <row r="17" ht="15" customHeight="1">
      <c r="A17" s="48" t="inlineStr">
        <is>
          <t>Terminal cost of capital</t>
        </is>
      </c>
      <c r="B17" s="94" t="n"/>
      <c r="C17" s="52" t="n"/>
      <c r="D17" s="52" t="n"/>
      <c r="E17" s="52" t="n"/>
      <c r="F17" s="52" t="n"/>
      <c r="G17" s="52" t="n"/>
      <c r="H17" s="52" t="n"/>
      <c r="I17" s="52" t="n"/>
      <c r="J17" s="52" t="n"/>
      <c r="K17" s="52" t="n"/>
      <c r="L17" s="52" t="n"/>
      <c r="M17">
        <f>M12</f>
      </c>
      <c r="O17" t="inlineStr">
        <is>
          <t>Terminal cost of capital</t>
        </is>
      </c>
      <c r="AA17">
        <f>AA12</f>
      </c>
    </row>
    <row r="18">
      <c r="A18" s="48" t="inlineStr">
        <is>
          <t>Terminal value</t>
        </is>
      </c>
      <c r="B18" s="488" t="n"/>
      <c r="C18" s="52" t="n"/>
      <c r="D18" s="153" t="n"/>
      <c r="E18" s="52" t="n"/>
      <c r="F18" s="52" t="n"/>
      <c r="G18" s="52" t="n"/>
      <c r="H18" s="52" t="n"/>
      <c r="I18" s="52" t="n"/>
      <c r="J18" s="52" t="n"/>
      <c r="K18" s="52" t="n"/>
      <c r="L18" s="52" t="n"/>
      <c r="M18">
        <f>M16/(M17-M2)</f>
      </c>
      <c r="O18" t="inlineStr">
        <is>
          <t>Terminal value</t>
        </is>
      </c>
      <c r="AA18">
        <f>AA16/(AA17-AA2)</f>
      </c>
    </row>
    <row r="19">
      <c r="A19" s="48" t="inlineStr">
        <is>
          <t>PV(Terminal value)</t>
        </is>
      </c>
      <c r="B19" s="493" t="n"/>
      <c r="C19" s="52" t="n"/>
      <c r="D19" s="52" t="n"/>
      <c r="E19" s="52" t="n"/>
      <c r="F19" s="52" t="n"/>
      <c r="G19" s="52" t="n"/>
      <c r="H19" s="52" t="n"/>
      <c r="I19" s="52" t="n"/>
      <c r="J19" s="52" t="n"/>
      <c r="K19" s="52" t="n"/>
      <c r="L19" s="52" t="n"/>
      <c r="M19">
        <f>M18*M13</f>
      </c>
      <c r="O19" t="inlineStr">
        <is>
          <t>PV(Terminal value)</t>
        </is>
      </c>
      <c r="AA19">
        <f>AA18*AA13</f>
      </c>
    </row>
    <row r="20">
      <c r="A20" s="48" t="inlineStr">
        <is>
          <t>PV (CF over next 10 years)</t>
        </is>
      </c>
      <c r="B20" s="493">
        <f>SUM(C14:L14)</f>
      </c>
      <c r="C20" s="52" t="n"/>
      <c r="D20" s="52" t="n"/>
      <c r="E20" s="52" t="n"/>
      <c r="F20" s="52" t="n"/>
      <c r="G20" s="52" t="n"/>
      <c r="H20" s="52" t="n"/>
      <c r="I20" s="52" t="n"/>
      <c r="J20" s="52" t="n"/>
      <c r="K20" s="52" t="n"/>
      <c r="L20" s="52" t="n"/>
      <c r="O20" t="inlineStr">
        <is>
          <t>PV (CF over next 10 years)</t>
        </is>
      </c>
      <c r="P20">
        <f>SUM(Q14:Z14)</f>
      </c>
    </row>
    <row r="21">
      <c r="A21" s="48" t="inlineStr">
        <is>
          <t>Sum of PV</t>
        </is>
      </c>
      <c r="B21" s="493">
        <f>B20+M19</f>
      </c>
      <c r="C21" s="52" t="n"/>
      <c r="D21" s="52" t="n"/>
      <c r="E21" s="52" t="n"/>
      <c r="F21" s="52" t="n"/>
      <c r="G21" s="52" t="n"/>
      <c r="H21" s="52" t="n"/>
      <c r="I21" s="52" t="n"/>
      <c r="J21" s="52" t="n"/>
      <c r="K21" s="52" t="n"/>
      <c r="L21" s="52" t="n"/>
      <c r="O21" t="inlineStr">
        <is>
          <t>Sum of PV</t>
        </is>
      </c>
      <c r="P21">
        <f>P20+AA19</f>
      </c>
    </row>
    <row r="22">
      <c r="A22" s="48" t="inlineStr">
        <is>
          <t>Probability of failure =</t>
        </is>
      </c>
      <c r="B22" s="100">
        <f>IF('Input sheet'!B45="Yes",'Input sheet'!B46,0)</f>
      </c>
      <c r="C22" s="52" t="n"/>
      <c r="D22" s="52" t="n"/>
      <c r="E22" s="52" t="n"/>
      <c r="F22" s="52" t="n"/>
      <c r="G22" s="52" t="n"/>
      <c r="H22" s="52" t="n"/>
      <c r="I22" s="52" t="n"/>
      <c r="J22" s="52" t="n"/>
      <c r="K22" s="52" t="n"/>
      <c r="L22" s="52" t="n"/>
      <c r="O22" t="inlineStr">
        <is>
          <t>Probability of failure =</t>
        </is>
      </c>
      <c r="P22">
        <f>B22</f>
      </c>
    </row>
    <row r="23">
      <c r="A23" s="48" t="inlineStr">
        <is>
          <t>Proceeds if firm fails =</t>
        </is>
      </c>
      <c r="B23" s="494">
        <f>IF('Input sheet'!B47="V",B21*'Input sheet'!B48,IF('Input sheet'!B47="BV",'Input sheet'!B11*'Input sheet'!B48,0))</f>
      </c>
      <c r="C23" s="52" t="n"/>
      <c r="D23" s="52" t="n"/>
      <c r="E23" s="52" t="n"/>
      <c r="F23" s="52" t="n"/>
      <c r="G23" s="52" t="n"/>
      <c r="H23" s="52" t="n"/>
      <c r="I23" s="52" t="n"/>
      <c r="J23" s="52" t="n"/>
      <c r="K23" s="52" t="n"/>
      <c r="L23" s="52" t="n"/>
      <c r="O23" t="inlineStr">
        <is>
          <t>Proceeds if firm fails =</t>
        </is>
      </c>
      <c r="P23">
        <f>IF('Input sheet'!B47="V",P21*'Input sheet'!B48,IF('Input sheet'!B47="BV",'Input sheet'!B11*'Input sheet'!B48,0))</f>
      </c>
    </row>
    <row r="24">
      <c r="A24" s="48" t="inlineStr">
        <is>
          <t>Value of operating assets =</t>
        </is>
      </c>
      <c r="B24" s="488">
        <f>B21*(1-B22)+B22*B23</f>
      </c>
      <c r="C24" s="52" t="n"/>
      <c r="D24" s="52" t="n"/>
      <c r="E24" s="52" t="n"/>
      <c r="F24" s="52" t="n"/>
      <c r="G24" s="52" t="n"/>
      <c r="H24" s="52" t="n"/>
      <c r="I24" s="52" t="n"/>
      <c r="J24" s="52" t="n"/>
      <c r="K24" s="52" t="n"/>
      <c r="L24" s="52" t="n"/>
      <c r="O24" t="inlineStr">
        <is>
          <t>Value of operating assets =</t>
        </is>
      </c>
      <c r="P24">
        <f>P21*(1-P22)+P22*P23</f>
      </c>
    </row>
    <row r="25">
      <c r="A25" s="48" t="inlineStr">
        <is>
          <t xml:space="preserve"> - Debt</t>
        </is>
      </c>
      <c r="B25" s="488">
        <f>'Input sheet'!B12</f>
      </c>
      <c r="C25" s="52" t="n"/>
      <c r="D25" s="52" t="n"/>
      <c r="E25" s="52" t="n"/>
      <c r="F25" s="52" t="n"/>
      <c r="G25" s="52" t="n"/>
      <c r="H25" s="52" t="n"/>
      <c r="I25" s="52" t="n"/>
      <c r="J25" s="52" t="n"/>
      <c r="K25" s="52" t="n"/>
      <c r="L25" s="52" t="n"/>
      <c r="O25" t="inlineStr">
        <is>
          <t xml:space="preserve"> - Debt</t>
        </is>
      </c>
      <c r="P25">
        <f>B25</f>
      </c>
    </row>
    <row r="26">
      <c r="A26" s="48" t="inlineStr">
        <is>
          <t xml:space="preserve"> - Minority interests</t>
        </is>
      </c>
      <c r="B26" s="488">
        <f>'Input sheet'!B17</f>
      </c>
      <c r="C26" s="52" t="n"/>
      <c r="D26" s="52" t="n"/>
      <c r="E26" s="52" t="n"/>
      <c r="F26" s="52" t="n"/>
      <c r="G26" s="52" t="n"/>
      <c r="H26" s="52" t="n"/>
      <c r="I26" s="52" t="n"/>
      <c r="J26" s="52" t="n"/>
      <c r="K26" s="52" t="n"/>
      <c r="L26" s="52" t="n"/>
      <c r="O26" t="inlineStr">
        <is>
          <t xml:space="preserve"> - Minority interests</t>
        </is>
      </c>
      <c r="P26">
        <f>B26</f>
      </c>
    </row>
    <row r="27">
      <c r="A27" s="48" t="inlineStr">
        <is>
          <t xml:space="preserve"> +  Cash</t>
        </is>
      </c>
      <c r="B27" s="488">
        <f>IF('Input sheet'!B58="Yes",'Input sheet'!B15-'Input sheet'!B59,'Input sheet'!B15)</f>
      </c>
      <c r="C27" s="52" t="n"/>
      <c r="D27" s="52" t="n"/>
      <c r="E27" s="52" t="n"/>
      <c r="F27" s="52" t="n"/>
      <c r="G27" s="52" t="n"/>
      <c r="H27" s="52" t="n"/>
      <c r="I27" s="52" t="n"/>
      <c r="J27" s="52" t="n"/>
      <c r="K27" s="52" t="n"/>
      <c r="L27" s="52" t="n"/>
      <c r="O27" t="inlineStr">
        <is>
          <t xml:space="preserve"> +  Cash</t>
        </is>
      </c>
      <c r="P27">
        <f>B27</f>
      </c>
    </row>
    <row r="28">
      <c r="A28" s="48" t="inlineStr">
        <is>
          <t xml:space="preserve"> + Non-operating assets</t>
        </is>
      </c>
      <c r="B28" s="488">
        <f>'Input sheet'!B16</f>
      </c>
      <c r="C28" s="52" t="n"/>
      <c r="D28" s="52" t="n"/>
      <c r="E28" s="52" t="n"/>
      <c r="F28" s="52" t="n"/>
      <c r="G28" s="52" t="n"/>
      <c r="H28" s="52" t="n"/>
      <c r="I28" s="52" t="n"/>
      <c r="J28" s="52" t="n"/>
      <c r="K28" s="52" t="n"/>
      <c r="L28" s="52" t="n"/>
      <c r="O28" t="inlineStr">
        <is>
          <t xml:space="preserve"> + Non-operating assets</t>
        </is>
      </c>
      <c r="P28">
        <f>B28</f>
      </c>
    </row>
    <row r="29">
      <c r="A29" s="48" t="inlineStr">
        <is>
          <t>Value of equity</t>
        </is>
      </c>
      <c r="B29" s="493">
        <f>B24-B25-B26+B27+B28</f>
      </c>
      <c r="C29" s="52" t="n"/>
      <c r="D29" s="52" t="n"/>
      <c r="E29" s="52" t="n"/>
      <c r="F29" s="52" t="n"/>
      <c r="G29" s="52" t="n"/>
      <c r="H29" s="52" t="n"/>
      <c r="I29" s="52" t="n"/>
      <c r="J29" s="52" t="n"/>
      <c r="K29" s="52" t="n"/>
      <c r="L29" s="52" t="n"/>
      <c r="O29" t="inlineStr">
        <is>
          <t>Value of equity</t>
        </is>
      </c>
      <c r="P29">
        <f>P24-P25-P26+P27+P28</f>
      </c>
    </row>
    <row r="30">
      <c r="A30" s="48" t="inlineStr">
        <is>
          <t xml:space="preserve"> - Value of options</t>
        </is>
      </c>
      <c r="B30" s="495">
        <f>IF('Input sheet'!B31="Yes",'Option value'!H18,0)</f>
      </c>
      <c r="C30" s="52" t="n"/>
      <c r="D30" s="52" t="n"/>
      <c r="E30" s="52" t="n"/>
      <c r="F30" s="52" t="n"/>
      <c r="G30" s="52" t="n"/>
      <c r="H30" s="52" t="n"/>
      <c r="I30" s="52" t="n"/>
      <c r="J30" s="52" t="n"/>
      <c r="K30" s="52" t="n"/>
      <c r="L30" s="52" t="n"/>
      <c r="O30" t="inlineStr">
        <is>
          <t xml:space="preserve"> - Value of options</t>
        </is>
      </c>
      <c r="P30">
        <f>B30</f>
      </c>
    </row>
    <row r="31">
      <c r="A31" s="48" t="inlineStr">
        <is>
          <t>Value of equity in common stock</t>
        </is>
      </c>
      <c r="B31" s="493">
        <f>B29-B30</f>
      </c>
      <c r="C31" s="52" t="n"/>
      <c r="D31" s="52" t="n"/>
      <c r="E31" s="52" t="n"/>
      <c r="F31" s="52" t="n"/>
      <c r="G31" s="52" t="n"/>
      <c r="H31" s="52" t="n"/>
      <c r="I31" s="52" t="n"/>
      <c r="J31" s="52" t="n"/>
      <c r="K31" s="52" t="n"/>
      <c r="L31" s="52" t="n"/>
      <c r="O31" t="inlineStr">
        <is>
          <t>Value of equity in common stock</t>
        </is>
      </c>
      <c r="P31">
        <f>P29-P30</f>
      </c>
    </row>
    <row r="32">
      <c r="A32" s="48" t="inlineStr">
        <is>
          <t>Number of shares</t>
        </is>
      </c>
      <c r="B32" s="103">
        <f>'Input sheet'!B18</f>
      </c>
      <c r="C32" s="52" t="n"/>
      <c r="D32" s="52" t="n"/>
      <c r="E32" s="52" t="n"/>
      <c r="F32" s="52" t="n"/>
      <c r="G32" s="52" t="n"/>
      <c r="H32" s="52" t="n"/>
      <c r="I32" s="52" t="n"/>
      <c r="J32" s="52" t="n"/>
      <c r="K32" s="52" t="n"/>
      <c r="L32" s="52" t="n"/>
      <c r="O32" t="inlineStr">
        <is>
          <t>Number of shares</t>
        </is>
      </c>
      <c r="P32">
        <f>B32</f>
      </c>
    </row>
    <row r="33">
      <c r="A33" s="48" t="inlineStr">
        <is>
          <t>Estimated value /share</t>
        </is>
      </c>
      <c r="B33" s="496">
        <f>B31/B32</f>
      </c>
      <c r="C33" s="52" t="n"/>
      <c r="D33" s="52" t="n"/>
      <c r="E33" s="52" t="n"/>
      <c r="F33" s="52" t="n"/>
      <c r="G33" s="52" t="n"/>
      <c r="H33" s="52" t="n"/>
      <c r="I33" s="52" t="n"/>
      <c r="J33" s="52" t="n"/>
      <c r="K33" s="52" t="n"/>
      <c r="L33" s="52" t="n"/>
      <c r="O33" t="inlineStr">
        <is>
          <t>Estimated value /share</t>
        </is>
      </c>
      <c r="P33">
        <f>P31/P32</f>
      </c>
    </row>
    <row r="34">
      <c r="A34" s="48" t="inlineStr">
        <is>
          <t>Price</t>
        </is>
      </c>
      <c r="B34" s="488">
        <f>'Input sheet'!B19</f>
      </c>
      <c r="C34" s="52" t="n"/>
      <c r="D34" s="52" t="n"/>
      <c r="E34" s="52" t="n"/>
      <c r="F34" s="52" t="n"/>
      <c r="G34" s="52" t="n"/>
      <c r="H34" s="52" t="n"/>
      <c r="I34" s="52" t="n"/>
      <c r="J34" s="52" t="n"/>
      <c r="K34" s="52" t="n"/>
      <c r="L34" s="52" t="n"/>
      <c r="O34" t="inlineStr">
        <is>
          <t>Price</t>
        </is>
      </c>
      <c r="P34">
        <f>B34</f>
      </c>
    </row>
    <row r="35">
      <c r="A35" s="48" t="inlineStr">
        <is>
          <t>Price as % of value</t>
        </is>
      </c>
      <c r="B35" s="95">
        <f>B34/B33</f>
      </c>
      <c r="C35" s="52" t="n"/>
      <c r="D35" s="52" t="n"/>
      <c r="E35" s="52" t="n"/>
      <c r="F35" s="52" t="n"/>
      <c r="G35" s="52" t="n"/>
      <c r="H35" s="52" t="n"/>
      <c r="I35" s="52" t="n"/>
      <c r="J35" s="52" t="n"/>
      <c r="K35" s="52" t="n"/>
      <c r="L35" s="52" t="n"/>
      <c r="O35" t="inlineStr">
        <is>
          <t>Price as % of value</t>
        </is>
      </c>
      <c r="P35">
        <f>P34/P33</f>
      </c>
    </row>
    <row r="36">
      <c r="A36" s="47" t="n"/>
      <c r="B36" s="47" t="n"/>
      <c r="C36" s="52" t="n"/>
      <c r="D36" s="52" t="n"/>
      <c r="E36" s="52" t="n"/>
      <c r="F36" s="52" t="n"/>
      <c r="G36" s="52" t="n"/>
      <c r="H36" s="52" t="n"/>
      <c r="I36" s="52" t="n"/>
      <c r="J36" s="52" t="n"/>
      <c r="K36" s="52" t="n"/>
      <c r="L36" s="52" t="n"/>
    </row>
    <row r="37">
      <c r="A37" s="49" t="inlineStr">
        <is>
          <t>Implied variables</t>
        </is>
      </c>
      <c r="B37" s="89" t="n"/>
      <c r="C37" s="98" t="n"/>
      <c r="D37" s="98" t="n"/>
      <c r="E37" s="98" t="n"/>
      <c r="F37" s="98" t="n"/>
      <c r="G37" s="98" t="n"/>
      <c r="H37" s="98" t="n"/>
      <c r="I37" s="98" t="n"/>
      <c r="J37" s="98" t="n"/>
      <c r="K37" s="98" t="n"/>
      <c r="L37" s="98" t="n"/>
      <c r="M37" s="98" t="inlineStr">
        <is>
          <t>After year 10</t>
        </is>
      </c>
      <c r="O37" t="inlineStr">
        <is>
          <t>Implied variables</t>
        </is>
      </c>
    </row>
    <row r="38">
      <c r="A38" s="48" t="inlineStr">
        <is>
          <t>Sales to capital ratio</t>
        </is>
      </c>
      <c r="B38" s="89" t="n"/>
      <c r="C38" s="105">
        <f>'Input sheet'!B26</f>
      </c>
      <c r="D38" s="105">
        <f>C38</f>
      </c>
      <c r="E38" s="105">
        <f>C38</f>
      </c>
      <c r="F38" s="105">
        <f>C38</f>
      </c>
      <c r="G38" s="105">
        <f>C38</f>
      </c>
      <c r="H38" s="105">
        <f>C38</f>
      </c>
      <c r="I38" s="105">
        <f>C38</f>
      </c>
      <c r="J38" s="105">
        <f>C38</f>
      </c>
      <c r="K38" s="105">
        <f>C38</f>
      </c>
      <c r="L38" s="105">
        <f>C38</f>
      </c>
      <c r="M38" s="98">
        <f>(M12-M2)/M40</f>
      </c>
      <c r="O38" t="inlineStr">
        <is>
          <t>Sales to capital ratio</t>
        </is>
      </c>
      <c r="Q38">
        <f>C38</f>
      </c>
      <c r="R38">
        <f>D38</f>
      </c>
      <c r="S38">
        <f>E38</f>
      </c>
      <c r="T38">
        <f>F38</f>
      </c>
      <c r="U38">
        <f>G38</f>
      </c>
      <c r="V38">
        <f>H38</f>
      </c>
      <c r="W38">
        <f>I38</f>
      </c>
      <c r="X38">
        <f>J38</f>
      </c>
      <c r="Y38">
        <f>K38</f>
      </c>
      <c r="Z38">
        <f>L38</f>
      </c>
      <c r="AA38">
        <f>(AA12-AA2)/AA40</f>
      </c>
    </row>
    <row r="39">
      <c r="A39" s="48" t="inlineStr">
        <is>
          <t>Invested capital</t>
        </is>
      </c>
      <c r="B39" s="106">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B39+C8</f>
      </c>
      <c r="D39" s="107">
        <f>C39+D8</f>
      </c>
      <c r="E39" s="107">
        <f>D39+E8</f>
      </c>
      <c r="F39" s="107">
        <f>E39+F8</f>
      </c>
      <c r="G39" s="107">
        <f>F39+G8</f>
      </c>
      <c r="H39" s="107">
        <f>G39+H8</f>
      </c>
      <c r="I39" s="107">
        <f>H39+I8</f>
      </c>
      <c r="J39" s="107">
        <f>I39+J8</f>
      </c>
      <c r="K39" s="107">
        <f>J39+K8</f>
      </c>
      <c r="L39" s="107">
        <f>K39+L8</f>
      </c>
      <c r="M39" s="98">
        <f>L39+M8</f>
      </c>
      <c r="O39" t="inlineStr">
        <is>
          <t>Invested capital</t>
        </is>
      </c>
      <c r="P39">
        <f>B39</f>
      </c>
      <c r="Q39">
        <f>P39+Q8</f>
      </c>
      <c r="R39">
        <f>Q39+R8</f>
      </c>
      <c r="S39">
        <f>R39+S8</f>
      </c>
      <c r="T39">
        <f>S39+T8</f>
      </c>
      <c r="U39">
        <f>T39+U8</f>
      </c>
      <c r="V39">
        <f>U39+V8</f>
      </c>
      <c r="W39">
        <f>V39+W8</f>
      </c>
      <c r="X39">
        <f>W39+X8</f>
      </c>
      <c r="Y39">
        <f>X39+Y8</f>
      </c>
      <c r="Z39">
        <f>Y39+Z8</f>
      </c>
      <c r="AA39">
        <f>Z39+AA8</f>
      </c>
    </row>
    <row r="40">
      <c r="A40" s="48" t="inlineStr">
        <is>
          <t>ROIC</t>
        </is>
      </c>
      <c r="B40" s="94">
        <f>B7/B39</f>
      </c>
      <c r="C40" s="90">
        <f>C7/C39</f>
      </c>
      <c r="D40" s="90">
        <f>D7/D39</f>
      </c>
      <c r="E40" s="90">
        <f>E7/E39</f>
      </c>
      <c r="F40" s="90">
        <f>F7/F39</f>
      </c>
      <c r="G40" s="90">
        <f>G7/G39</f>
      </c>
      <c r="H40" s="90">
        <f>H7/H39</f>
      </c>
      <c r="I40" s="90">
        <f>I7/I39</f>
      </c>
      <c r="J40" s="90">
        <f>J7/J39</f>
      </c>
      <c r="K40" s="90">
        <f>K7/K39</f>
      </c>
      <c r="L40" s="109">
        <f>L7/L39</f>
      </c>
      <c r="M40" s="90">
        <f>IF('Input sheet'!B42="Yes",'Input sheet'!B43,M12)</f>
      </c>
      <c r="O40" t="inlineStr">
        <is>
          <t>ROIC</t>
        </is>
      </c>
      <c r="Q40">
        <f>Q7/Q39</f>
      </c>
      <c r="R40">
        <f>R7/R39</f>
      </c>
      <c r="S40">
        <f>S7/S39</f>
      </c>
      <c r="T40">
        <f>T7/T39</f>
      </c>
      <c r="U40">
        <f>U7/U39</f>
      </c>
      <c r="V40">
        <f>V7/V39</f>
      </c>
      <c r="W40">
        <f>W7/W39</f>
      </c>
      <c r="X40">
        <f>X7/X39</f>
      </c>
      <c r="Y40">
        <f>Y7/Y39</f>
      </c>
      <c r="Z40">
        <f>Z7/Z39</f>
      </c>
      <c r="AA40">
        <f>IF('Input sheet'!B42="Yes",'Input sheet'!B43,AA12)</f>
      </c>
    </row>
    <row r="41">
      <c r="A41" s="47" t="n"/>
    </row>
  </sheetData>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outlinePr summaryBelow="1" summaryRight="1"/>
    <pageSetUpPr/>
  </sheetPr>
  <dimension ref="A1:K43"/>
  <sheetViews>
    <sheetView tabSelected="1" zoomScale="88" zoomScaleNormal="88" workbookViewId="0">
      <selection activeCell="A3" sqref="A3:G6"/>
    </sheetView>
  </sheetViews>
  <sheetFormatPr baseColWidth="10" defaultColWidth="11.5" defaultRowHeight="16"/>
  <cols>
    <col width="20.33203125" customWidth="1" style="302" min="1" max="1"/>
    <col width="12.83203125" bestFit="1" customWidth="1" style="302" min="2" max="2"/>
    <col width="17.6640625" customWidth="1" style="302" min="3" max="3"/>
    <col width="16.5" customWidth="1" style="302" min="4" max="4"/>
    <col width="13.83203125" customWidth="1" style="302" min="5" max="5"/>
    <col width="24.6640625" customWidth="1" style="303" min="6" max="6"/>
    <col width="35.5" customWidth="1" style="302" min="7" max="7"/>
    <col width="17" customWidth="1" min="8" max="8"/>
  </cols>
  <sheetData>
    <row r="1">
      <c r="A1" s="408">
        <f>'Input sheet'!B2</f>
      </c>
    </row>
    <row r="2">
      <c r="A2" s="409" t="inlineStr">
        <is>
          <t>The Greatest (and most Feared) Disruptive Platform in History</t>
        </is>
      </c>
      <c r="B2" s="497" t="n"/>
      <c r="C2" s="497" t="n"/>
      <c r="D2" s="497" t="n"/>
      <c r="E2" s="497" t="n"/>
      <c r="F2" s="497" t="n"/>
      <c r="G2" s="498" t="n"/>
    </row>
    <row r="3" ht="16" customHeight="1">
      <c r="A3" s="499" t="inlineStr">
        <is>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is>
      </c>
      <c r="B3" s="500" t="n"/>
      <c r="C3" s="500" t="n"/>
      <c r="D3" s="500" t="n"/>
      <c r="E3" s="500" t="n"/>
      <c r="F3" s="500" t="n"/>
      <c r="G3" s="501" t="n"/>
      <c r="H3" s="502" t="inlineStr">
        <is>
          <t>Tell your story about the company. Keep it focuses on the company's businesses and tie it into the three key levers of value: cash flows, growth and risk</t>
        </is>
      </c>
      <c r="I3" s="500" t="n"/>
      <c r="J3" s="500" t="n"/>
      <c r="K3" s="501" t="n"/>
    </row>
    <row r="4" ht="16" customHeight="1">
      <c r="A4" s="503" t="n"/>
      <c r="G4" s="504" t="n"/>
      <c r="H4" s="503" t="n"/>
      <c r="K4" s="504" t="n"/>
    </row>
    <row r="5" ht="12" customHeight="1">
      <c r="A5" s="503" t="n"/>
      <c r="G5" s="504" t="n"/>
      <c r="H5" s="503" t="n"/>
      <c r="K5" s="504" t="n"/>
    </row>
    <row r="6" ht="32" customHeight="1">
      <c r="A6" s="505" t="n"/>
      <c r="B6" s="506" t="n"/>
      <c r="C6" s="506" t="n"/>
      <c r="D6" s="506" t="n"/>
      <c r="E6" s="506" t="n"/>
      <c r="F6" s="506" t="n"/>
      <c r="G6" s="507" t="n"/>
      <c r="H6" s="505" t="n"/>
      <c r="I6" s="506" t="n"/>
      <c r="J6" s="506" t="n"/>
      <c r="K6" s="507" t="n"/>
    </row>
    <row r="7">
      <c r="A7" s="409" t="inlineStr">
        <is>
          <t>The Assumptions</t>
        </is>
      </c>
      <c r="B7" s="497" t="n"/>
      <c r="C7" s="497" t="n"/>
      <c r="D7" s="497" t="n"/>
      <c r="E7" s="497" t="n"/>
      <c r="F7" s="497" t="n"/>
      <c r="G7" s="498" t="n"/>
    </row>
    <row r="8">
      <c r="A8" s="273" t="n"/>
      <c r="B8" s="268" t="inlineStr">
        <is>
          <t>Base year</t>
        </is>
      </c>
      <c r="C8" s="269" t="inlineStr">
        <is>
          <t>Years 1-5</t>
        </is>
      </c>
      <c r="D8" s="268" t="inlineStr">
        <is>
          <t>Years 6-10</t>
        </is>
      </c>
      <c r="E8" s="268" t="n"/>
      <c r="F8" s="268" t="inlineStr">
        <is>
          <t>After year 10</t>
        </is>
      </c>
      <c r="G8" s="270" t="inlineStr">
        <is>
          <t>Link to story</t>
        </is>
      </c>
    </row>
    <row r="9">
      <c r="A9" s="274" t="inlineStr">
        <is>
          <t>Revenues (a)</t>
        </is>
      </c>
      <c r="B9" s="275">
        <f>'Valuation output'!B3</f>
      </c>
      <c r="C9" s="276">
        <f>'Input sheet'!B23</f>
      </c>
      <c r="D9" s="276">
        <f>F9</f>
      </c>
      <c r="E9" s="277" t="n"/>
      <c r="F9" s="276">
        <f>'Valuation output'!M2</f>
      </c>
      <c r="G9" s="406" t="inlineStr">
        <is>
          <t>Expanding into new businessses</t>
        </is>
      </c>
      <c r="H9" s="508" t="inlineStr">
        <is>
          <t>Tie each assumption to the part of your story that relates to it.</t>
        </is>
      </c>
      <c r="I9" s="500" t="n"/>
      <c r="J9" s="500" t="n"/>
      <c r="K9" s="501" t="n"/>
    </row>
    <row r="10" ht="34" customHeight="1">
      <c r="A10" s="274" t="inlineStr">
        <is>
          <t>Operating margin (b)</t>
        </is>
      </c>
      <c r="B10" s="276">
        <f>'Valuation output'!B4</f>
      </c>
      <c r="C10" s="278">
        <f>B10</f>
      </c>
      <c r="D10" s="279">
        <f>F10</f>
      </c>
      <c r="E10" s="279" t="n"/>
      <c r="F10" s="276">
        <f>'Valuation output'!M4</f>
      </c>
      <c r="G10" s="392" t="inlineStr">
        <is>
          <t>Economies of scale and pricing power increase margins</t>
        </is>
      </c>
      <c r="H10" s="503" t="n"/>
      <c r="K10" s="504" t="n"/>
    </row>
    <row r="11">
      <c r="A11" s="274" t="inlineStr">
        <is>
          <t>Tax rate</t>
        </is>
      </c>
      <c r="B11" s="276">
        <f>'Valuation output'!B6</f>
      </c>
      <c r="C11" s="278">
        <f>B11</f>
      </c>
      <c r="D11" s="279">
        <f>F11</f>
      </c>
      <c r="E11" s="279" t="n"/>
      <c r="F11" s="276">
        <f>'Valuation output'!M6</f>
      </c>
      <c r="G11" s="305" t="inlineStr">
        <is>
          <t>Converging on a global tax rate of 25%</t>
        </is>
      </c>
      <c r="H11" s="503" t="n"/>
      <c r="K11" s="504" t="n"/>
    </row>
    <row r="12" ht="34" customHeight="1">
      <c r="A12" s="274" t="inlineStr">
        <is>
          <t>Reinvestment (c )</t>
        </is>
      </c>
      <c r="B12" s="277" t="n"/>
      <c r="C12" s="280" t="inlineStr">
        <is>
          <t>Sales to capital ratio =</t>
        </is>
      </c>
      <c r="D12" s="281">
        <f>'Input sheet'!B26</f>
      </c>
      <c r="E12" s="282" t="inlineStr">
        <is>
          <t>RIR =</t>
        </is>
      </c>
      <c r="F12" s="283">
        <f>'Valuation output'!M2/'Valuation output'!M40</f>
      </c>
      <c r="G12" s="392" t="inlineStr">
        <is>
          <t>Big payoffs from investing in technology and content</t>
        </is>
      </c>
      <c r="H12" s="503" t="n"/>
      <c r="K12" s="504" t="n"/>
    </row>
    <row r="13">
      <c r="A13" s="307" t="inlineStr">
        <is>
          <t>Return on capital</t>
        </is>
      </c>
      <c r="B13" s="311">
        <f>'Valuation output'!B40</f>
      </c>
      <c r="C13" s="314" t="inlineStr">
        <is>
          <t>Marginal ROIC =</t>
        </is>
      </c>
      <c r="D13" s="315">
        <f>Diagnostics!B6</f>
      </c>
      <c r="E13" s="308" t="n"/>
      <c r="F13" s="309">
        <f>'Valuation output'!M40</f>
      </c>
      <c r="G13" s="310" t="inlineStr">
        <is>
          <t>The last man standing…</t>
        </is>
      </c>
      <c r="H13" s="503" t="n"/>
      <c r="K13" s="504" t="n"/>
    </row>
    <row r="14" ht="17" customHeight="1" thickBot="1">
      <c r="A14" s="284" t="inlineStr">
        <is>
          <t>Cost of capital (d)</t>
        </is>
      </c>
      <c r="B14" s="312" t="n"/>
      <c r="C14" s="278">
        <f>'Valuation output'!C12</f>
      </c>
      <c r="D14" s="279">
        <f>F14</f>
      </c>
      <c r="E14" s="313" t="n"/>
      <c r="F14" s="285">
        <f>'Valuation output'!M12</f>
      </c>
      <c r="G14" s="306" t="inlineStr">
        <is>
          <t>Low debt &amp; diverse business mix</t>
        </is>
      </c>
      <c r="H14" s="505" t="n"/>
      <c r="I14" s="506" t="n"/>
      <c r="J14" s="506" t="n"/>
      <c r="K14" s="507" t="n"/>
    </row>
    <row r="15" ht="17" customHeight="1" thickBot="1">
      <c r="A15" s="414" t="inlineStr">
        <is>
          <t>The Cash Flows</t>
        </is>
      </c>
      <c r="G15" s="504" t="n"/>
    </row>
    <row r="16">
      <c r="A16" s="267" t="n"/>
      <c r="B16" s="271" t="inlineStr">
        <is>
          <t>Revenues</t>
        </is>
      </c>
      <c r="C16" s="271" t="inlineStr">
        <is>
          <t>Operating Margin</t>
        </is>
      </c>
      <c r="D16" s="271" t="inlineStr">
        <is>
          <t>EBIT</t>
        </is>
      </c>
      <c r="E16" s="271" t="inlineStr">
        <is>
          <t>EBIT (1-t)</t>
        </is>
      </c>
      <c r="F16" s="271" t="inlineStr">
        <is>
          <t xml:space="preserve">Reinvestment </t>
        </is>
      </c>
      <c r="G16" s="317" t="inlineStr">
        <is>
          <t>FCFF</t>
        </is>
      </c>
      <c r="H16" s="50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500" t="n"/>
      <c r="J16" s="500" t="n"/>
      <c r="K16" s="501" t="n"/>
    </row>
    <row r="17">
      <c r="A17" s="286" t="n">
        <v>1</v>
      </c>
      <c r="B17" s="510">
        <f>'Valuation output'!C3</f>
      </c>
      <c r="C17" s="288">
        <f>'Valuation output'!C4</f>
      </c>
      <c r="D17" s="275">
        <f>B17*C17</f>
      </c>
      <c r="E17" s="510">
        <f>'Valuation output'!C7</f>
      </c>
      <c r="F17" s="510">
        <f>'Valuation output'!C8</f>
      </c>
      <c r="G17" s="511">
        <f>E17-F17</f>
      </c>
      <c r="H17" s="503" t="n"/>
      <c r="K17" s="504" t="n"/>
    </row>
    <row r="18">
      <c r="A18" s="286" t="n">
        <v>2</v>
      </c>
      <c r="B18" s="510">
        <f>'Valuation output'!D3</f>
      </c>
      <c r="C18" s="288">
        <f>'Valuation output'!D4</f>
      </c>
      <c r="D18" s="275">
        <f>B18*C18</f>
      </c>
      <c r="E18" s="510">
        <f>'Valuation output'!D7</f>
      </c>
      <c r="F18" s="510">
        <f>'Valuation output'!D8</f>
      </c>
      <c r="G18" s="511">
        <f>E18-F18</f>
      </c>
      <c r="H18" s="503" t="n"/>
      <c r="K18" s="504" t="n"/>
    </row>
    <row r="19">
      <c r="A19" s="286" t="n">
        <v>3</v>
      </c>
      <c r="B19" s="510">
        <f>'Valuation output'!E3</f>
      </c>
      <c r="C19" s="288">
        <f>'Valuation output'!E4</f>
      </c>
      <c r="D19" s="275">
        <f>B19*C19</f>
      </c>
      <c r="E19" s="510">
        <f>'Valuation output'!E7</f>
      </c>
      <c r="F19" s="510">
        <f>'Valuation output'!E8</f>
      </c>
      <c r="G19" s="511">
        <f>E19-F19</f>
      </c>
      <c r="H19" s="503" t="n"/>
      <c r="K19" s="504" t="n"/>
    </row>
    <row r="20">
      <c r="A20" s="286" t="n">
        <v>4</v>
      </c>
      <c r="B20" s="510">
        <f>'Valuation output'!F3</f>
      </c>
      <c r="C20" s="288">
        <f>'Valuation output'!F4</f>
      </c>
      <c r="D20" s="275">
        <f>B20*C20</f>
      </c>
      <c r="E20" s="510">
        <f>'Valuation output'!F7</f>
      </c>
      <c r="F20" s="510">
        <f>'Valuation output'!F8</f>
      </c>
      <c r="G20" s="511">
        <f>E20-F20</f>
      </c>
      <c r="H20" s="503" t="n"/>
      <c r="K20" s="504" t="n"/>
    </row>
    <row r="21">
      <c r="A21" s="286" t="n">
        <v>5</v>
      </c>
      <c r="B21" s="510">
        <f>'Valuation output'!G3</f>
      </c>
      <c r="C21" s="288">
        <f>'Valuation output'!G4</f>
      </c>
      <c r="D21" s="275">
        <f>B21*C21</f>
      </c>
      <c r="E21" s="510">
        <f>'Valuation output'!G7</f>
      </c>
      <c r="F21" s="510">
        <f>'Valuation output'!G8</f>
      </c>
      <c r="G21" s="511">
        <f>E21-F21</f>
      </c>
      <c r="H21" s="503" t="n"/>
      <c r="K21" s="504" t="n"/>
    </row>
    <row r="22">
      <c r="A22" s="286" t="n">
        <v>6</v>
      </c>
      <c r="B22" s="510">
        <f>'Valuation output'!H3</f>
      </c>
      <c r="C22" s="288">
        <f>'Valuation output'!H4</f>
      </c>
      <c r="D22" s="275">
        <f>B22*C22</f>
      </c>
      <c r="E22" s="510">
        <f>'Valuation output'!H7</f>
      </c>
      <c r="F22" s="510">
        <f>'Valuation output'!H8</f>
      </c>
      <c r="G22" s="511">
        <f>E22-F22</f>
      </c>
      <c r="H22" s="503" t="n"/>
      <c r="K22" s="504" t="n"/>
    </row>
    <row r="23">
      <c r="A23" s="286" t="n">
        <v>7</v>
      </c>
      <c r="B23" s="510">
        <f>'Valuation output'!I3</f>
      </c>
      <c r="C23" s="288">
        <f>'Valuation output'!I4</f>
      </c>
      <c r="D23" s="275">
        <f>B23*C23</f>
      </c>
      <c r="E23" s="510">
        <f>'Valuation output'!I7</f>
      </c>
      <c r="F23" s="510">
        <f>'Valuation output'!I8</f>
      </c>
      <c r="G23" s="511">
        <f>E23-F23</f>
      </c>
      <c r="H23" s="503" t="n"/>
      <c r="K23" s="504" t="n"/>
    </row>
    <row r="24">
      <c r="A24" s="286" t="n">
        <v>8</v>
      </c>
      <c r="B24" s="510">
        <f>'Valuation output'!J3</f>
      </c>
      <c r="C24" s="288">
        <f>'Valuation output'!J4</f>
      </c>
      <c r="D24" s="275">
        <f>B24*C24</f>
      </c>
      <c r="E24" s="510">
        <f>'Valuation output'!J7</f>
      </c>
      <c r="F24" s="510">
        <f>'Valuation output'!J8</f>
      </c>
      <c r="G24" s="511">
        <f>E24-F24</f>
      </c>
      <c r="H24" s="503" t="n"/>
      <c r="K24" s="504" t="n"/>
    </row>
    <row r="25">
      <c r="A25" s="286" t="n">
        <v>9</v>
      </c>
      <c r="B25" s="510">
        <f>'Valuation output'!K3</f>
      </c>
      <c r="C25" s="288">
        <f>'Valuation output'!K4</f>
      </c>
      <c r="D25" s="275">
        <f>B25*C25</f>
      </c>
      <c r="E25" s="510">
        <f>'Valuation output'!K7</f>
      </c>
      <c r="F25" s="510">
        <f>'Valuation output'!K8</f>
      </c>
      <c r="G25" s="511">
        <f>E25-F25</f>
      </c>
      <c r="H25" s="503" t="n"/>
      <c r="K25" s="504" t="n"/>
    </row>
    <row r="26">
      <c r="A26" s="286" t="n">
        <v>10</v>
      </c>
      <c r="B26" s="510">
        <f>'Valuation output'!L3</f>
      </c>
      <c r="C26" s="288">
        <f>'Valuation output'!L4</f>
      </c>
      <c r="D26" s="275">
        <f>B26*C26</f>
      </c>
      <c r="E26" s="510">
        <f>'Valuation output'!L7</f>
      </c>
      <c r="F26" s="510">
        <f>'Valuation output'!L8</f>
      </c>
      <c r="G26" s="511">
        <f>E26-F26</f>
      </c>
      <c r="H26" s="503" t="n"/>
      <c r="K26" s="504" t="n"/>
    </row>
    <row r="27" ht="17" customHeight="1" thickBot="1">
      <c r="A27" s="289" t="inlineStr">
        <is>
          <t>Terminal year</t>
        </is>
      </c>
      <c r="B27" s="512">
        <f>'Valuation output'!M3</f>
      </c>
      <c r="C27" s="291">
        <f>'Valuation output'!M4</f>
      </c>
      <c r="D27" s="275">
        <f>B27*C27</f>
      </c>
      <c r="E27" s="512">
        <f>'Valuation output'!M7</f>
      </c>
      <c r="F27" s="512">
        <f>'Valuation output'!M8</f>
      </c>
      <c r="G27" s="511">
        <f>E27-F27</f>
      </c>
      <c r="H27" s="505" t="n"/>
      <c r="I27" s="506" t="n"/>
      <c r="J27" s="506" t="n"/>
      <c r="K27" s="507" t="n"/>
    </row>
    <row r="28" ht="17" customHeight="1" thickBot="1">
      <c r="A28" s="414" t="inlineStr">
        <is>
          <t>The Value</t>
        </is>
      </c>
      <c r="G28" s="504" t="n"/>
    </row>
    <row r="29">
      <c r="A29" s="513" t="inlineStr">
        <is>
          <t>Terminal value</t>
        </is>
      </c>
      <c r="B29" s="514" t="n"/>
      <c r="C29" s="515" t="n"/>
      <c r="D29" s="292">
        <f>'Valuation output'!B18</f>
      </c>
      <c r="E29" s="293" t="n"/>
      <c r="F29" s="294" t="n"/>
      <c r="G29" s="295" t="n"/>
      <c r="H29" s="454"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58" t="inlineStr">
        <is>
          <t>PV(Terminal value)</t>
        </is>
      </c>
      <c r="B30" s="497" t="n"/>
      <c r="C30" s="498" t="n"/>
      <c r="D30" s="296">
        <f>'Valuation output'!B19</f>
      </c>
      <c r="E30" s="297" t="n"/>
      <c r="F30" s="302" t="n"/>
      <c r="G30" s="299" t="n"/>
      <c r="H30" s="516" t="n"/>
    </row>
    <row r="31">
      <c r="A31" s="458" t="inlineStr">
        <is>
          <t>PV (CF over next 10 years)</t>
        </is>
      </c>
      <c r="B31" s="497" t="n"/>
      <c r="C31" s="498" t="n"/>
      <c r="D31" s="296">
        <f>'Valuation output'!B20</f>
      </c>
      <c r="E31" s="297" t="n"/>
      <c r="F31" s="302" t="n"/>
      <c r="G31" s="299" t="n"/>
      <c r="H31" s="516" t="n"/>
    </row>
    <row r="32">
      <c r="A32" s="458" t="inlineStr">
        <is>
          <t>Value of operating assets =</t>
        </is>
      </c>
      <c r="B32" s="497" t="n"/>
      <c r="C32" s="498" t="n"/>
      <c r="D32" s="296">
        <f>'Valuation output'!B21</f>
      </c>
      <c r="E32" s="297" t="n"/>
      <c r="F32" s="302" t="n"/>
      <c r="G32" s="299" t="n"/>
      <c r="H32" s="516" t="n"/>
    </row>
    <row r="33">
      <c r="A33" s="458" t="inlineStr">
        <is>
          <t>Adjustment for distress</t>
        </is>
      </c>
      <c r="B33" s="497" t="n"/>
      <c r="C33" s="498" t="n"/>
      <c r="D33" s="319">
        <f>D32-'Valuation output'!B24</f>
      </c>
      <c r="E33" s="456" t="inlineStr">
        <is>
          <t>Probability of failure =</t>
        </is>
      </c>
      <c r="F33" s="497" t="n"/>
      <c r="G33" s="320">
        <f>'Valuation output'!B22</f>
      </c>
      <c r="H33" s="516" t="n"/>
    </row>
    <row r="34">
      <c r="A34" s="458" t="inlineStr">
        <is>
          <t xml:space="preserve"> - Debt &amp; Mnority Interests</t>
        </is>
      </c>
      <c r="B34" s="497" t="n"/>
      <c r="C34" s="498" t="n"/>
      <c r="D34" s="296">
        <f>'Valuation output'!B25+'Valuation output'!B26</f>
      </c>
      <c r="E34" s="297" t="n"/>
      <c r="F34" s="302" t="n"/>
      <c r="G34" s="299" t="n"/>
      <c r="H34" s="516" t="n"/>
    </row>
    <row r="35">
      <c r="A35" s="458" t="inlineStr">
        <is>
          <t xml:space="preserve"> + Cash &amp; Other Non-operating assets</t>
        </is>
      </c>
      <c r="B35" s="497" t="n"/>
      <c r="C35" s="498" t="n"/>
      <c r="D35" s="296">
        <f>'Valuation output'!B27+'Valuation output'!B28</f>
      </c>
      <c r="E35" s="297" t="n"/>
      <c r="F35" s="302" t="n"/>
      <c r="G35" s="299" t="n"/>
      <c r="H35" s="516" t="n"/>
    </row>
    <row r="36">
      <c r="A36" s="458" t="inlineStr">
        <is>
          <t>Value of equity</t>
        </is>
      </c>
      <c r="B36" s="497" t="n"/>
      <c r="C36" s="498" t="n"/>
      <c r="D36" s="296">
        <f>D32-D33-D34+D35</f>
      </c>
      <c r="E36" s="297" t="n"/>
      <c r="F36" s="302" t="n"/>
      <c r="G36" s="299" t="n"/>
      <c r="H36" s="516" t="n"/>
    </row>
    <row r="37">
      <c r="A37" s="458" t="inlineStr">
        <is>
          <t xml:space="preserve"> - Value of equity options</t>
        </is>
      </c>
      <c r="B37" s="497" t="n"/>
      <c r="C37" s="498" t="n"/>
      <c r="D37" s="296">
        <f>'Valuation output'!B30</f>
      </c>
      <c r="E37" s="297" t="n"/>
      <c r="F37" s="302" t="n"/>
      <c r="G37" s="299" t="n"/>
      <c r="H37" s="516" t="n"/>
    </row>
    <row r="38" ht="17" customHeight="1" thickBot="1">
      <c r="A38" s="458" t="inlineStr">
        <is>
          <t>Number of shares</t>
        </is>
      </c>
      <c r="B38" s="497" t="n"/>
      <c r="C38" s="498" t="n"/>
      <c r="D38" s="304">
        <f>'Valuation output'!B32</f>
      </c>
      <c r="E38" s="302" t="n"/>
      <c r="F38" s="303" t="n"/>
      <c r="G38" s="299" t="n"/>
      <c r="H38" s="516" t="n"/>
    </row>
    <row r="39" ht="17" customHeight="1" thickBot="1">
      <c r="A39" s="460" t="inlineStr">
        <is>
          <t>Value per share</t>
        </is>
      </c>
      <c r="B39" s="517" t="n"/>
      <c r="C39" s="518" t="n"/>
      <c r="D39" s="519">
        <f>(D36-D37)/D38</f>
      </c>
      <c r="E39" s="462" t="inlineStr">
        <is>
          <t>Stock was trading at =</t>
        </is>
      </c>
      <c r="F39" s="475" t="n"/>
      <c r="G39" s="520">
        <f>'Input sheet'!B19</f>
      </c>
      <c r="H39" s="516" t="n"/>
    </row>
    <row r="43">
      <c r="J43" s="338">
        <f>D39/1944</f>
      </c>
    </row>
  </sheetData>
  <mergeCells count="23">
    <mergeCell ref="A37:C37"/>
    <mergeCell ref="H16:K27"/>
    <mergeCell ref="E33:F33"/>
    <mergeCell ref="E39:F39"/>
    <mergeCell ref="A28:G28"/>
    <mergeCell ref="A33:C33"/>
    <mergeCell ref="H9:K14"/>
    <mergeCell ref="A32:C32"/>
    <mergeCell ref="A3:G6"/>
    <mergeCell ref="A15:G15"/>
    <mergeCell ref="A35:C35"/>
    <mergeCell ref="A29:C29"/>
    <mergeCell ref="A38:C38"/>
    <mergeCell ref="A1:G1"/>
    <mergeCell ref="A31:C31"/>
    <mergeCell ref="A30:C30"/>
    <mergeCell ref="A39:C39"/>
    <mergeCell ref="A34:C34"/>
    <mergeCell ref="A7:G7"/>
    <mergeCell ref="H3:K6"/>
    <mergeCell ref="A36:C36"/>
    <mergeCell ref="H29:K39"/>
    <mergeCell ref="A2:G2"/>
  </mergeCells>
  <pageMargins left="0.75" right="0.75" top="1" bottom="1" header="0.3" footer="0.3"/>
  <pageSetup orientation="portrait" horizontalDpi="0" verticalDpi="0"/>
</worksheet>
</file>

<file path=xl/worksheets/sheet6.xml><?xml version="1.0" encoding="utf-8"?>
<worksheet xmlns="http://schemas.openxmlformats.org/spreadsheetml/2006/main">
  <sheetPr>
    <outlinePr summaryBelow="1" summaryRight="1"/>
    <pageSetUpPr/>
  </sheetPr>
  <dimension ref="A1:H50"/>
  <sheetViews>
    <sheetView topLeftCell="A14" workbookViewId="0">
      <selection activeCell="A50" sqref="A50:IV50"/>
    </sheetView>
  </sheetViews>
  <sheetFormatPr baseColWidth="10" defaultColWidth="11.5" defaultRowHeight="12"/>
  <sheetData>
    <row r="1" ht="46" customFormat="1" customHeight="1" s="330" thickBot="1">
      <c r="A1" s="329" t="inlineStr">
        <is>
          <t>Year</t>
        </is>
      </c>
      <c r="B1" s="329" t="inlineStr">
        <is>
          <t>Revenues</t>
        </is>
      </c>
      <c r="C1" s="329" t="inlineStr">
        <is>
          <t>Revenue Growth Rate</t>
        </is>
      </c>
      <c r="D1" s="329" t="inlineStr">
        <is>
          <t>Pre-Tax Operating Margin</t>
        </is>
      </c>
      <c r="E1" s="329" t="inlineStr">
        <is>
          <t>Pre-Tax Operating Income</t>
        </is>
      </c>
      <c r="F1" s="329" t="inlineStr">
        <is>
          <t>NOL</t>
        </is>
      </c>
      <c r="G1" s="329" t="inlineStr">
        <is>
          <t>Taxes</t>
        </is>
      </c>
      <c r="H1" s="329" t="inlineStr">
        <is>
          <t>After-Tax Operating Income</t>
        </is>
      </c>
    </row>
    <row r="2" customFormat="1" s="330">
      <c r="A2" s="330" t="inlineStr">
        <is>
          <t>Traling 12 month</t>
        </is>
      </c>
      <c r="B2" s="521">
        <f>'Valuation output'!B3</f>
      </c>
      <c r="D2" s="332">
        <f>'Valuation output'!B4</f>
      </c>
      <c r="E2" s="521">
        <f>B2*D2</f>
      </c>
      <c r="F2" s="521">
        <f>'Valuation output'!B10</f>
      </c>
      <c r="G2" s="521">
        <f>E2-H2</f>
      </c>
      <c r="H2" s="521">
        <f>'Valuation output'!B7</f>
      </c>
    </row>
    <row r="3" customFormat="1" s="330">
      <c r="A3" s="330" t="n">
        <v>1</v>
      </c>
      <c r="B3" s="521">
        <f>'Valuation output'!C3</f>
      </c>
      <c r="C3" s="332">
        <f>'Valuation output'!C2</f>
      </c>
      <c r="D3" s="332">
        <f>'Valuation output'!C4</f>
      </c>
      <c r="E3" s="521">
        <f>B3*D3</f>
      </c>
      <c r="F3" s="521">
        <f>'Valuation output'!C10</f>
      </c>
      <c r="G3" s="521">
        <f>E3-H3</f>
      </c>
      <c r="H3" s="521">
        <f>'Valuation output'!C7</f>
      </c>
    </row>
    <row r="4" customFormat="1" s="330">
      <c r="A4" s="330" t="n">
        <v>2</v>
      </c>
      <c r="B4" s="522">
        <f>'Valuation output'!D3</f>
      </c>
      <c r="C4" s="332">
        <f>B4/B3-1</f>
      </c>
      <c r="D4" s="332">
        <f>'Valuation output'!D4</f>
      </c>
      <c r="E4" s="521">
        <f>B4*D4</f>
      </c>
      <c r="F4" s="521">
        <f>'Valuation output'!D10</f>
      </c>
      <c r="G4" s="521">
        <f>E4-H4</f>
      </c>
      <c r="H4" s="521">
        <f>'Valuation output'!D7</f>
      </c>
    </row>
    <row r="5" customFormat="1" s="330">
      <c r="A5" s="330" t="n">
        <v>3</v>
      </c>
      <c r="B5" s="521">
        <f>'Valuation output'!E3</f>
      </c>
      <c r="C5" s="332">
        <f>B5/B4-1</f>
      </c>
      <c r="D5" s="332">
        <f>'Valuation output'!E4</f>
      </c>
      <c r="E5" s="521">
        <f>B5*D5</f>
      </c>
      <c r="F5" s="521">
        <f>'Valuation output'!E10</f>
      </c>
      <c r="G5" s="521">
        <f>E5-H5</f>
      </c>
      <c r="H5" s="521">
        <f>'Valuation output'!E7</f>
      </c>
    </row>
    <row r="6" customFormat="1" s="330">
      <c r="A6" s="330" t="n">
        <v>4</v>
      </c>
      <c r="B6" s="521">
        <f>'Valuation output'!F3</f>
      </c>
      <c r="C6" s="332">
        <f>B6/B5-1</f>
      </c>
      <c r="D6" s="332">
        <f>'Valuation output'!F4</f>
      </c>
      <c r="E6" s="521">
        <f>B6*D6</f>
      </c>
      <c r="F6" s="521">
        <f>'Valuation output'!F10</f>
      </c>
      <c r="G6" s="521">
        <f>E6-H6</f>
      </c>
      <c r="H6" s="521">
        <f>'Valuation output'!F7</f>
      </c>
    </row>
    <row r="7" customFormat="1" s="330">
      <c r="A7" s="330" t="n">
        <v>5</v>
      </c>
      <c r="B7" s="521">
        <f>'Valuation output'!G3</f>
      </c>
      <c r="C7" s="332">
        <f>B7/B6-1</f>
      </c>
      <c r="D7" s="332">
        <f>'Valuation output'!G4</f>
      </c>
      <c r="E7" s="521">
        <f>B7*D7</f>
      </c>
      <c r="F7" s="521">
        <f>'Valuation output'!G10</f>
      </c>
      <c r="G7" s="521">
        <f>E7-H7</f>
      </c>
      <c r="H7" s="521">
        <f>'Valuation output'!G7</f>
      </c>
    </row>
    <row r="8" customFormat="1" s="330">
      <c r="A8" s="330" t="n">
        <v>6</v>
      </c>
      <c r="B8" s="521">
        <f>'Valuation output'!H3</f>
      </c>
      <c r="C8" s="332">
        <f>B8/B7-1</f>
      </c>
      <c r="D8" s="332">
        <f>'Valuation output'!H4</f>
      </c>
      <c r="E8" s="521">
        <f>B8*D8</f>
      </c>
      <c r="F8" s="521">
        <f>'Valuation output'!H10</f>
      </c>
      <c r="G8" s="521">
        <f>E8-H8</f>
      </c>
      <c r="H8" s="521">
        <f>'Valuation output'!H7</f>
      </c>
    </row>
    <row r="9" customFormat="1" s="330">
      <c r="A9" s="330" t="n">
        <v>7</v>
      </c>
      <c r="B9" s="521">
        <f>'Valuation output'!I3</f>
      </c>
      <c r="C9" s="332">
        <f>B9/B8-1</f>
      </c>
      <c r="D9" s="332">
        <f>'Valuation output'!I4</f>
      </c>
      <c r="E9" s="521">
        <f>B9*D9</f>
      </c>
      <c r="F9" s="521">
        <f>'Valuation output'!I10</f>
      </c>
      <c r="G9" s="521">
        <f>E9-H9</f>
      </c>
      <c r="H9" s="521">
        <f>'Valuation output'!I7</f>
      </c>
    </row>
    <row r="10" customFormat="1" s="330">
      <c r="A10" s="330" t="n">
        <v>8</v>
      </c>
      <c r="B10" s="521">
        <f>'Valuation output'!J3</f>
      </c>
      <c r="C10" s="332">
        <f>B10/B9-1</f>
      </c>
      <c r="D10" s="332">
        <f>'Valuation output'!J4</f>
      </c>
      <c r="E10" s="521">
        <f>B10*D10</f>
      </c>
      <c r="F10" s="521">
        <f>'Valuation output'!J10</f>
      </c>
      <c r="G10" s="521">
        <f>E10-H10</f>
      </c>
      <c r="H10" s="521">
        <f>'Valuation output'!J7</f>
      </c>
    </row>
    <row r="11" customFormat="1" s="330">
      <c r="A11" s="330" t="n">
        <v>9</v>
      </c>
      <c r="B11" s="521">
        <f>'Valuation output'!K3</f>
      </c>
      <c r="C11" s="332">
        <f>B11/B10-1</f>
      </c>
      <c r="D11" s="332">
        <f>'Valuation output'!K4</f>
      </c>
      <c r="E11" s="521">
        <f>B11*D11</f>
      </c>
      <c r="F11" s="521">
        <f>'Valuation output'!K10</f>
      </c>
      <c r="G11" s="521">
        <f>E11-H11</f>
      </c>
      <c r="H11" s="521">
        <f>'Valuation output'!K7</f>
      </c>
    </row>
    <row r="12" customFormat="1" s="330">
      <c r="A12" s="330" t="n">
        <v>10</v>
      </c>
      <c r="B12" s="521">
        <f>'Valuation output'!L3</f>
      </c>
      <c r="C12" s="332">
        <f>B12/B11-1</f>
      </c>
      <c r="D12" s="332">
        <f>'Valuation output'!L4</f>
      </c>
      <c r="E12" s="521">
        <f>B12*D12</f>
      </c>
      <c r="F12" s="521">
        <f>'Valuation output'!L10</f>
      </c>
      <c r="G12" s="521">
        <f>E12-H12</f>
      </c>
      <c r="H12" s="521">
        <f>'Valuation output'!L7</f>
      </c>
    </row>
    <row r="13" ht="13" customFormat="1" customHeight="1" s="330" thickBot="1"/>
    <row r="14" ht="46" customFormat="1" customHeight="1" s="330" thickBot="1">
      <c r="A14" s="329" t="inlineStr">
        <is>
          <t>Year</t>
        </is>
      </c>
      <c r="B14" s="329" t="inlineStr">
        <is>
          <t>After-Tax Operating Income</t>
        </is>
      </c>
      <c r="C14" s="329" t="inlineStr">
        <is>
          <t>Change in Revenues</t>
        </is>
      </c>
      <c r="D14" s="329" t="inlineStr">
        <is>
          <t>Sales to Capital</t>
        </is>
      </c>
      <c r="E14" s="329" t="inlineStr">
        <is>
          <t>Reinvestment</t>
        </is>
      </c>
      <c r="F14" s="329" t="inlineStr">
        <is>
          <t>FCFF</t>
        </is>
      </c>
      <c r="G14" s="329" t="inlineStr">
        <is>
          <t>Capital Invested</t>
        </is>
      </c>
      <c r="H14" s="329" t="inlineStr">
        <is>
          <t>Implied ROC</t>
        </is>
      </c>
    </row>
    <row r="15" customFormat="1" s="330">
      <c r="A15" s="330">
        <f>A2</f>
      </c>
      <c r="B15" s="521">
        <f>H2</f>
      </c>
      <c r="G15" s="523">
        <f>'Valuation output'!B39</f>
      </c>
      <c r="H15" s="337">
        <f>B15/G15</f>
      </c>
    </row>
    <row r="16" customFormat="1" s="330">
      <c r="A16" s="330">
        <f>A3</f>
      </c>
      <c r="B16" s="521">
        <f>H3</f>
      </c>
      <c r="C16" s="521">
        <f>B3-B2</f>
      </c>
      <c r="D16" s="335">
        <f>'Valuation output'!C38</f>
      </c>
      <c r="E16" s="521">
        <f>C16/D16</f>
      </c>
      <c r="F16" s="521">
        <f>B16-E16</f>
      </c>
      <c r="G16" s="521">
        <f>G15+E16</f>
      </c>
      <c r="H16" s="337">
        <f>B16/G16</f>
      </c>
    </row>
    <row r="17" customFormat="1" s="330">
      <c r="A17" s="330">
        <f>A4</f>
      </c>
      <c r="B17" s="521">
        <f>H4</f>
      </c>
      <c r="C17" s="521">
        <f>B4-B3</f>
      </c>
      <c r="D17" s="335">
        <f>'Valuation output'!D38</f>
      </c>
      <c r="E17" s="521">
        <f>C17/D17</f>
      </c>
      <c r="F17" s="521">
        <f>B17-E17</f>
      </c>
      <c r="G17" s="521">
        <f>G16+E17</f>
      </c>
      <c r="H17" s="337">
        <f>B17/G17</f>
      </c>
    </row>
    <row r="18" customFormat="1" s="330">
      <c r="A18" s="330">
        <f>A5</f>
      </c>
      <c r="B18" s="521">
        <f>H5</f>
      </c>
      <c r="C18" s="521">
        <f>B5-B4</f>
      </c>
      <c r="D18" s="335">
        <f>'Valuation output'!E38</f>
      </c>
      <c r="E18" s="521">
        <f>C18/D18</f>
      </c>
      <c r="F18" s="521">
        <f>B18-E18</f>
      </c>
      <c r="G18" s="521">
        <f>G17+E18</f>
      </c>
      <c r="H18" s="337">
        <f>B18/G18</f>
      </c>
    </row>
    <row r="19" customFormat="1" s="330">
      <c r="A19" s="330">
        <f>A6</f>
      </c>
      <c r="B19" s="521">
        <f>H6</f>
      </c>
      <c r="C19" s="521">
        <f>B6-B5</f>
      </c>
      <c r="D19" s="335">
        <f>'Valuation output'!F38</f>
      </c>
      <c r="E19" s="521">
        <f>C19/D19</f>
      </c>
      <c r="F19" s="521">
        <f>B19-E19</f>
      </c>
      <c r="G19" s="521">
        <f>G18+E19</f>
      </c>
      <c r="H19" s="337">
        <f>B19/G19</f>
      </c>
    </row>
    <row r="20" customFormat="1" s="330">
      <c r="A20" s="330">
        <f>A7</f>
      </c>
      <c r="B20" s="521">
        <f>H7</f>
      </c>
      <c r="C20" s="521">
        <f>B7-B6</f>
      </c>
      <c r="D20" s="335">
        <f>'Valuation output'!G38</f>
      </c>
      <c r="E20" s="521">
        <f>C20/D20</f>
      </c>
      <c r="F20" s="521">
        <f>B20-E20</f>
      </c>
      <c r="G20" s="521">
        <f>G19+E20</f>
      </c>
      <c r="H20" s="337">
        <f>B20/G20</f>
      </c>
    </row>
    <row r="21" customFormat="1" s="330">
      <c r="A21" s="330">
        <f>A8</f>
      </c>
      <c r="B21" s="521">
        <f>H8</f>
      </c>
      <c r="C21" s="521">
        <f>B8-B7</f>
      </c>
      <c r="D21" s="335">
        <f>'Valuation output'!H38</f>
      </c>
      <c r="E21" s="521">
        <f>C21/D21</f>
      </c>
      <c r="F21" s="521">
        <f>B21-E21</f>
      </c>
      <c r="G21" s="521">
        <f>G20+E21</f>
      </c>
      <c r="H21" s="337">
        <f>B21/G21</f>
      </c>
    </row>
    <row r="22" customFormat="1" s="330">
      <c r="A22" s="330">
        <f>A9</f>
      </c>
      <c r="B22" s="521">
        <f>H9</f>
      </c>
      <c r="C22" s="521">
        <f>B9-B8</f>
      </c>
      <c r="D22" s="335">
        <f>'Valuation output'!I38</f>
      </c>
      <c r="E22" s="521">
        <f>C22/D22</f>
      </c>
      <c r="F22" s="521">
        <f>B22-E22</f>
      </c>
      <c r="G22" s="521">
        <f>G21+E22</f>
      </c>
      <c r="H22" s="337">
        <f>B22/G22</f>
      </c>
    </row>
    <row r="23" customFormat="1" s="330">
      <c r="A23" s="330">
        <f>A10</f>
      </c>
      <c r="B23" s="521">
        <f>H10</f>
      </c>
      <c r="C23" s="521">
        <f>B10-B9</f>
      </c>
      <c r="D23" s="335">
        <f>'Valuation output'!J38</f>
      </c>
      <c r="E23" s="521">
        <f>C23/D23</f>
      </c>
      <c r="F23" s="521">
        <f>B23-E23</f>
      </c>
      <c r="G23" s="521">
        <f>G22+E23</f>
      </c>
      <c r="H23" s="337">
        <f>B23/G23</f>
      </c>
    </row>
    <row r="24" customFormat="1" s="330">
      <c r="A24" s="330">
        <f>A11</f>
      </c>
      <c r="B24" s="521">
        <f>H11</f>
      </c>
      <c r="C24" s="521">
        <f>B11-B10</f>
      </c>
      <c r="D24" s="335">
        <f>'Valuation output'!K38</f>
      </c>
      <c r="E24" s="521">
        <f>C24/D24</f>
      </c>
      <c r="F24" s="521">
        <f>B24-E24</f>
      </c>
      <c r="G24" s="521">
        <f>G23+E24</f>
      </c>
      <c r="H24" s="337">
        <f>B24/G24</f>
      </c>
    </row>
    <row r="25" customFormat="1" s="330">
      <c r="A25" s="330">
        <f>A12</f>
      </c>
      <c r="B25" s="521">
        <f>H12</f>
      </c>
      <c r="C25" s="521">
        <f>B12-B11</f>
      </c>
      <c r="D25" s="335">
        <f>'Valuation output'!L38</f>
      </c>
      <c r="E25" s="521">
        <f>C25/D25</f>
      </c>
      <c r="F25" s="521">
        <f>B25-E25</f>
      </c>
      <c r="G25" s="521">
        <f>G24+E25</f>
      </c>
      <c r="H25" s="337">
        <f>B25/G25</f>
      </c>
    </row>
    <row r="26" ht="13" customFormat="1" customHeight="1" s="330" thickBot="1"/>
    <row r="27" ht="31" customFormat="1" customHeight="1" s="330" thickBot="1">
      <c r="A27" s="329" t="inlineStr">
        <is>
          <t>Year</t>
        </is>
      </c>
      <c r="B27" s="329" t="inlineStr">
        <is>
          <t>Beta</t>
        </is>
      </c>
      <c r="C27" s="329" t="inlineStr">
        <is>
          <t>Cost of Equity</t>
        </is>
      </c>
      <c r="D27" s="329" t="inlineStr">
        <is>
          <t>Pre-Tax Cost of Debt</t>
        </is>
      </c>
      <c r="E27" s="329" t="inlineStr">
        <is>
          <t>Tax Savings</t>
        </is>
      </c>
      <c r="F27" s="329" t="inlineStr">
        <is>
          <t>After-Tax Cost of Debt</t>
        </is>
      </c>
      <c r="G27" s="329" t="inlineStr">
        <is>
          <t>Debt Ratio</t>
        </is>
      </c>
      <c r="H27" s="329" t="inlineStr">
        <is>
          <t>Cost of Capital</t>
        </is>
      </c>
    </row>
    <row r="28">
      <c r="A28">
        <f>A16</f>
      </c>
      <c r="H28" s="326">
        <f>'Valuation output'!C12</f>
      </c>
    </row>
    <row r="29">
      <c r="A29">
        <f>A17</f>
      </c>
      <c r="H29" s="326">
        <f>'Valuation output'!D12</f>
      </c>
    </row>
    <row r="30">
      <c r="A30">
        <f>A18</f>
      </c>
      <c r="H30" s="326">
        <f>'Valuation output'!E12</f>
      </c>
    </row>
    <row r="31">
      <c r="A31">
        <f>A19</f>
      </c>
      <c r="H31" s="326">
        <f>'Valuation output'!F12</f>
      </c>
    </row>
    <row r="32">
      <c r="A32">
        <f>A20</f>
      </c>
      <c r="H32" s="326">
        <f>'Valuation output'!G12</f>
      </c>
    </row>
    <row r="33">
      <c r="A33">
        <f>A21</f>
      </c>
      <c r="H33" s="326">
        <f>'Valuation output'!H12</f>
      </c>
    </row>
    <row r="34">
      <c r="A34">
        <f>A22</f>
      </c>
      <c r="H34" s="326">
        <f>'Valuation output'!I12</f>
      </c>
    </row>
    <row r="35">
      <c r="A35">
        <f>A23</f>
      </c>
      <c r="H35" s="326">
        <f>'Valuation output'!J12</f>
      </c>
    </row>
    <row r="36">
      <c r="A36">
        <f>A24</f>
      </c>
      <c r="H36" s="326">
        <f>'Valuation output'!K12</f>
      </c>
    </row>
    <row r="37">
      <c r="A37">
        <f>A25</f>
      </c>
      <c r="H37" s="326">
        <f>'Valuation output'!L12</f>
      </c>
    </row>
    <row r="38" ht="13" customHeight="1" thickBot="1"/>
    <row r="39" ht="31" customHeight="1" thickBot="1">
      <c r="A39" s="329" t="inlineStr">
        <is>
          <t>Year</t>
        </is>
      </c>
      <c r="B39" s="329" t="inlineStr">
        <is>
          <t>Cost of Capital</t>
        </is>
      </c>
      <c r="C39" s="329" t="inlineStr">
        <is>
          <t>Cumulated Cost of Capital</t>
        </is>
      </c>
      <c r="D39" s="329" t="inlineStr">
        <is>
          <t>FCFF</t>
        </is>
      </c>
      <c r="E39" s="329" t="inlineStr">
        <is>
          <t>Terminal Value</t>
        </is>
      </c>
      <c r="F39" s="329" t="inlineStr">
        <is>
          <t>Present Value</t>
        </is>
      </c>
    </row>
    <row r="40">
      <c r="A40">
        <f>A28</f>
      </c>
      <c r="B40" s="338">
        <f>H28</f>
      </c>
      <c r="C40" s="339">
        <f>(1+'Summary Sheet'!B40)</f>
      </c>
      <c r="D40" s="524">
        <f>F16</f>
      </c>
      <c r="F40" s="524">
        <f>D40/C40</f>
      </c>
    </row>
    <row r="41">
      <c r="A41">
        <f>A29</f>
      </c>
      <c r="B41" s="338">
        <f>H29</f>
      </c>
      <c r="C41" s="339">
        <f>C40*(1+B41)</f>
      </c>
      <c r="D41" s="524">
        <f>F17</f>
      </c>
      <c r="F41" s="524">
        <f>D41/C41</f>
      </c>
    </row>
    <row r="42">
      <c r="A42">
        <f>A30</f>
      </c>
      <c r="B42" s="338">
        <f>H30</f>
      </c>
      <c r="C42" s="339">
        <f>C41*(1+B42)</f>
      </c>
      <c r="D42" s="524">
        <f>F18</f>
      </c>
      <c r="F42" s="524">
        <f>D42/C42</f>
      </c>
    </row>
    <row r="43">
      <c r="A43">
        <f>A31</f>
      </c>
      <c r="B43" s="338">
        <f>H31</f>
      </c>
      <c r="C43" s="339">
        <f>C42*(1+B43)</f>
      </c>
      <c r="D43" s="524">
        <f>F19</f>
      </c>
      <c r="F43" s="524">
        <f>D43/C43</f>
      </c>
    </row>
    <row r="44">
      <c r="A44">
        <f>A32</f>
      </c>
      <c r="B44" s="338">
        <f>H32</f>
      </c>
      <c r="C44" s="339">
        <f>C43*(1+B44)</f>
      </c>
      <c r="D44" s="524">
        <f>F20</f>
      </c>
      <c r="F44" s="524">
        <f>D44/C44</f>
      </c>
    </row>
    <row r="45">
      <c r="A45">
        <f>A33</f>
      </c>
      <c r="B45" s="338">
        <f>H33</f>
      </c>
      <c r="C45" s="339">
        <f>C44*(1+B45)</f>
      </c>
      <c r="D45" s="524">
        <f>F21</f>
      </c>
      <c r="F45" s="524">
        <f>D45/C45</f>
      </c>
    </row>
    <row r="46">
      <c r="A46">
        <f>A34</f>
      </c>
      <c r="B46" s="338">
        <f>H34</f>
      </c>
      <c r="C46" s="339">
        <f>C45*(1+B46)</f>
      </c>
      <c r="D46" s="524">
        <f>F22</f>
      </c>
      <c r="F46" s="524">
        <f>D46/C46</f>
      </c>
    </row>
    <row r="47">
      <c r="A47">
        <f>A35</f>
      </c>
      <c r="B47" s="338">
        <f>H35</f>
      </c>
      <c r="C47" s="339">
        <f>C46*(1+B47)</f>
      </c>
      <c r="D47" s="524">
        <f>F23</f>
      </c>
      <c r="F47" s="524">
        <f>D47/C47</f>
      </c>
    </row>
    <row r="48">
      <c r="A48">
        <f>A36</f>
      </c>
      <c r="B48" s="338">
        <f>H36</f>
      </c>
      <c r="C48" s="339">
        <f>C47*(1+B48)</f>
      </c>
      <c r="D48" s="524">
        <f>F24</f>
      </c>
      <c r="F48" s="524">
        <f>D48/C48</f>
      </c>
    </row>
    <row r="49">
      <c r="A49">
        <f>A37</f>
      </c>
      <c r="B49" s="338">
        <f>H37</f>
      </c>
      <c r="C49" s="339">
        <f>C48*(1+B49)</f>
      </c>
      <c r="D49" s="524">
        <f>F25</f>
      </c>
      <c r="E49" s="524">
        <f>'Valuation output'!B18</f>
      </c>
      <c r="F49" s="524">
        <f>(D49+E49)/C49</f>
      </c>
    </row>
    <row r="50">
      <c r="A50" t="inlineStr">
        <is>
          <t>Value of operating assets =</t>
        </is>
      </c>
      <c r="F50" s="524">
        <f>SUM(F40:F49)</f>
      </c>
    </row>
  </sheetData>
  <pageMargins left="0.75" right="0.75" top="1" bottom="1" header="0.3" footer="0.3"/>
</worksheet>
</file>

<file path=xl/worksheets/sheet7.xml><?xml version="1.0" encoding="utf-8"?>
<worksheet xmlns="http://schemas.openxmlformats.org/spreadsheetml/2006/main">
  <sheetPr>
    <outlinePr summaryBelow="1" summaryRight="1"/>
    <pageSetUpPr/>
  </sheetPr>
  <dimension ref="A1:G27"/>
  <sheetViews>
    <sheetView workbookViewId="0">
      <selection activeCell="C15" sqref="C15"/>
    </sheetView>
  </sheetViews>
  <sheetFormatPr baseColWidth="10" defaultColWidth="11.5" defaultRowHeight="12"/>
  <sheetData>
    <row r="1" ht="19" customFormat="1" customHeight="1" s="7">
      <c r="A1" s="6" t="inlineStr">
        <is>
          <t>Valuing Options or Warrants</t>
        </is>
      </c>
      <c r="B1" s="6" t="n"/>
    </row>
    <row r="2" ht="14" customHeight="1">
      <c r="A2" s="116" t="inlineStr">
        <is>
          <t>Enter the current stock price =</t>
        </is>
      </c>
      <c r="B2" s="116" t="n"/>
      <c r="D2" s="525">
        <f>'Input sheet'!B19</f>
      </c>
    </row>
    <row r="3" ht="14" customHeight="1">
      <c r="A3" s="116" t="inlineStr">
        <is>
          <t>Enter the strike price on the option =</t>
        </is>
      </c>
      <c r="B3" s="116" t="n"/>
      <c r="D3" s="526">
        <f>'Input sheet'!B33</f>
      </c>
    </row>
    <row r="4" ht="14" customHeight="1">
      <c r="A4" s="116" t="inlineStr">
        <is>
          <t>Enter the expiration of the option =</t>
        </is>
      </c>
      <c r="B4" s="116" t="n"/>
      <c r="D4" s="12">
        <f>'Input sheet'!B34</f>
      </c>
    </row>
    <row r="5" ht="14" customHeight="1">
      <c r="A5" s="116" t="inlineStr">
        <is>
          <t>Enter the standard deviation in stock prices =</t>
        </is>
      </c>
      <c r="B5" s="116" t="n"/>
      <c r="D5" s="10">
        <f>'Input sheet'!B35</f>
      </c>
      <c r="E5" s="116" t="inlineStr">
        <is>
          <t>(volatility)</t>
        </is>
      </c>
    </row>
    <row r="6" ht="14" customHeight="1">
      <c r="A6" s="116" t="inlineStr">
        <is>
          <t>Enter the annualized dividend yield on stock =</t>
        </is>
      </c>
      <c r="B6" s="116" t="n"/>
      <c r="D6" s="11" t="n">
        <v>0</v>
      </c>
    </row>
    <row r="7" ht="14" customHeight="1">
      <c r="A7" s="116" t="inlineStr">
        <is>
          <t>Enter the treasury bond rate =</t>
        </is>
      </c>
      <c r="B7" s="116" t="n"/>
      <c r="D7" s="11">
        <f>'Input sheet'!B28</f>
      </c>
    </row>
    <row r="8" ht="14" customHeight="1">
      <c r="A8" s="116" t="inlineStr">
        <is>
          <t>Enter the number of warrants (options) outstanding =</t>
        </is>
      </c>
      <c r="B8" s="116" t="n"/>
      <c r="D8" s="12">
        <f>'Input sheet'!B32</f>
      </c>
    </row>
    <row r="9" ht="14" customHeight="1">
      <c r="A9" s="116" t="inlineStr">
        <is>
          <t>Enter the number of shares outstanding =</t>
        </is>
      </c>
      <c r="B9" s="116" t="n"/>
      <c r="D9" s="13">
        <f>'Input sheet'!B18</f>
      </c>
    </row>
    <row r="10" ht="14" customHeight="1">
      <c r="A10" s="116" t="n"/>
      <c r="B10" s="116" t="n"/>
    </row>
    <row r="11" ht="14" customFormat="1" customHeight="1" s="16">
      <c r="A11" s="14" t="inlineStr">
        <is>
          <t>Do not input any numbers below this line</t>
        </is>
      </c>
      <c r="B11" s="15" t="n"/>
    </row>
    <row r="12" ht="14" customFormat="1" customHeight="1" s="116">
      <c r="A12" s="112" t="inlineStr">
        <is>
          <t>VALUING WARRANTS WHEN THERE IS DILUTION</t>
        </is>
      </c>
    </row>
    <row r="13" ht="14" customFormat="1" customHeight="1" s="116">
      <c r="A13" s="116" t="inlineStr">
        <is>
          <t>Stock Price=</t>
        </is>
      </c>
      <c r="C13" s="18">
        <f>D2</f>
      </c>
      <c r="D13" s="116" t="inlineStr">
        <is>
          <t># Warrants issued=</t>
        </is>
      </c>
      <c r="F13" s="19">
        <f>D8</f>
      </c>
      <c r="G13" s="20" t="n"/>
    </row>
    <row r="14" ht="14" customFormat="1" customHeight="1" s="116">
      <c r="A14" s="116" t="inlineStr">
        <is>
          <t>Strike Price=</t>
        </is>
      </c>
      <c r="C14" s="18">
        <f>D3</f>
      </c>
      <c r="D14" s="116" t="inlineStr">
        <is>
          <t># Shares outstanding=</t>
        </is>
      </c>
      <c r="F14" s="21">
        <f>D9</f>
      </c>
      <c r="G14" s="20" t="n"/>
    </row>
    <row r="15" ht="14" customFormat="1" customHeight="1" s="116">
      <c r="A15" s="116" t="inlineStr">
        <is>
          <t>Adjusted S =</t>
        </is>
      </c>
      <c r="C15" s="18">
        <f>(C13*F14+C26*F13)/(F14+F13)</f>
      </c>
      <c r="D15" s="116" t="inlineStr">
        <is>
          <t>T.Bond rate=</t>
        </is>
      </c>
      <c r="F15" s="22">
        <f>D7</f>
      </c>
    </row>
    <row r="16" ht="14" customFormat="1" customHeight="1" s="116">
      <c r="A16" s="116" t="inlineStr">
        <is>
          <t>Adjusted K =</t>
        </is>
      </c>
      <c r="C16" s="18">
        <f>C14</f>
      </c>
      <c r="D16" s="116" t="inlineStr">
        <is>
          <t>Variance=</t>
        </is>
      </c>
      <c r="F16" s="23">
        <f>D5^2</f>
      </c>
    </row>
    <row r="17" ht="14" customFormat="1" customHeight="1" s="116">
      <c r="A17" s="116" t="inlineStr">
        <is>
          <t>Expiration (in years) =</t>
        </is>
      </c>
      <c r="C17" s="18">
        <f>D4</f>
      </c>
      <c r="D17" s="116" t="inlineStr">
        <is>
          <t>Annualized dividend yield=</t>
        </is>
      </c>
      <c r="F17" s="22">
        <f>D6</f>
      </c>
    </row>
    <row r="18" ht="14" customFormat="1" customHeight="1" s="116">
      <c r="C18" s="112" t="n"/>
      <c r="D18" s="116" t="inlineStr">
        <is>
          <t>Div. Adj. interest rate=</t>
        </is>
      </c>
      <c r="F18" s="24">
        <f>F15-F17</f>
      </c>
    </row>
    <row r="19" ht="14" customFormat="1" customHeight="1" s="116"/>
    <row r="20" ht="14" customFormat="1" customHeight="1" s="116">
      <c r="A20" s="116" t="inlineStr">
        <is>
          <t xml:space="preserve">d1 = </t>
        </is>
      </c>
      <c r="B20" s="19">
        <f>(LN(C15/C16)+(F18+(F16/2))*C17)/(((F16)^(0.5))*(C17^0.5))</f>
      </c>
    </row>
    <row r="21" ht="14" customFormat="1" customHeight="1" s="116">
      <c r="A21" s="116" t="inlineStr">
        <is>
          <t>N (d1) =</t>
        </is>
      </c>
      <c r="B21" s="19">
        <f>NORMSDIST(B20)</f>
      </c>
    </row>
    <row r="22" ht="14" customFormat="1" customHeight="1" s="116"/>
    <row r="23" ht="15.75" customFormat="1" customHeight="1" s="116">
      <c r="A23" s="116" t="inlineStr">
        <is>
          <t xml:space="preserve">d2 = </t>
        </is>
      </c>
      <c r="B23" s="19">
        <f>B20-((F16^0.5)*(C17^(0.5)))</f>
      </c>
    </row>
    <row r="24" ht="14" customFormat="1" customHeight="1" s="116">
      <c r="A24" s="116" t="inlineStr">
        <is>
          <t>N (d2) =</t>
        </is>
      </c>
      <c r="B24" s="19">
        <f>NORMSDIST(B23)</f>
      </c>
    </row>
    <row r="25" ht="15" customHeight="1" thickBot="1">
      <c r="A25" s="116" t="n"/>
      <c r="B25" s="116" t="n"/>
    </row>
    <row r="26" ht="15" customFormat="1" customHeight="1" s="116" thickBot="1">
      <c r="A26" s="116" t="inlineStr">
        <is>
          <t xml:space="preserve">Value per option = </t>
        </is>
      </c>
      <c r="C26" s="527">
        <f>((EXP((0-F17)*C17))*C15*B21-C16*(EXP((0-F15)*C17))*B24)</f>
      </c>
      <c r="G26" s="528" t="n"/>
    </row>
    <row r="27" ht="15" customFormat="1" customHeight="1" s="116" thickBot="1">
      <c r="A27" s="116" t="inlineStr">
        <is>
          <t>Value of all options outstanding =</t>
        </is>
      </c>
      <c r="D27" s="529">
        <f>C26*D8</f>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zoomScale="125" zoomScaleNormal="125" workbookViewId="0">
      <selection activeCell="B10" sqref="B10:C10"/>
    </sheetView>
  </sheetViews>
  <sheetFormatPr baseColWidth="10" defaultColWidth="10.83203125" defaultRowHeight="16"/>
  <cols>
    <col width="61.6640625" customWidth="1" style="5" min="1" max="1"/>
    <col width="43.83203125" customWidth="1" style="5" min="2" max="2"/>
    <col width="68" bestFit="1" customWidth="1" style="5" min="3" max="3"/>
    <col width="10.83203125" customWidth="1" style="5" min="4" max="16384"/>
  </cols>
  <sheetData>
    <row r="1" ht="13" customFormat="1" customHeight="1" s="387">
      <c r="A1" s="145" t="inlineStr">
        <is>
          <t>VALUATION DIAGNOSTICS</t>
        </is>
      </c>
      <c r="B1" s="146" t="n"/>
    </row>
    <row r="2" ht="13" customFormat="1" customHeight="1" s="387">
      <c r="A2" s="146" t="inlineStr">
        <is>
          <t>Invested capital at start of valuation</t>
        </is>
      </c>
      <c r="B2" s="530">
        <f>'Valuation output'!B39</f>
      </c>
    </row>
    <row r="3" ht="13" customFormat="1" customHeight="1" s="387">
      <c r="A3" s="146" t="inlineStr">
        <is>
          <t>Invested capital at end of valuation</t>
        </is>
      </c>
      <c r="B3" s="530">
        <f>'Valuation output'!L39</f>
      </c>
    </row>
    <row r="4" ht="13" customFormat="1" customHeight="1" s="387">
      <c r="A4" s="146" t="inlineStr">
        <is>
          <t>Change in invested capital over 10 years</t>
        </is>
      </c>
      <c r="B4" s="530">
        <f>B3-B2</f>
      </c>
    </row>
    <row r="5" ht="13" customFormat="1" customHeight="1" s="387">
      <c r="A5" s="146" t="inlineStr">
        <is>
          <t>Change in EBIT*(1–t) (after-tax operating income) over 10 years</t>
        </is>
      </c>
      <c r="B5" s="530">
        <f>'Valuation output'!L5-'Valuation output'!B5</f>
      </c>
    </row>
    <row r="6" ht="13" customFormat="1" customHeight="1" s="387">
      <c r="A6" s="146" t="inlineStr">
        <is>
          <t>Marginal ROIC over 10 years</t>
        </is>
      </c>
      <c r="B6" s="148">
        <f>B5/B4</f>
      </c>
    </row>
    <row r="7" ht="13" customFormat="1" customHeight="1" s="387">
      <c r="A7" s="146" t="inlineStr">
        <is>
          <t>ROIC at end of valuation</t>
        </is>
      </c>
      <c r="B7" s="148">
        <f>'Valuation output'!L40</f>
      </c>
    </row>
    <row r="8" ht="13" customFormat="1" customHeight="1" s="387">
      <c r="A8" s="146" t="inlineStr">
        <is>
          <t>Average WACC over the 10 years (compounded)</t>
        </is>
      </c>
      <c r="B8" s="148">
        <f>(1/'Valuation output'!L13)^(1/10)-1</f>
      </c>
    </row>
    <row r="9" ht="14" customFormat="1" customHeight="1" s="387" thickBot="1">
      <c r="A9" s="149" t="inlineStr">
        <is>
          <t>Your calculated value as a percent of current price</t>
        </is>
      </c>
      <c r="B9" s="150">
        <f>'Valuation output'!B33/'Valuation output'!B34</f>
      </c>
    </row>
    <row r="10" ht="14" customFormat="1" customHeight="1" s="387" thickBot="1">
      <c r="A10" s="151" t="n"/>
      <c r="B10" s="531">
        <f>IF(B9="NA","Value is negative. See below",IF(B9&gt;2,"Value seems high. See below",IF(B9&lt;0.5,"Value seems low. See below"," ")))</f>
      </c>
      <c r="C10" s="476" t="n"/>
    </row>
    <row r="11" ht="15" customFormat="1" customHeight="1" s="116">
      <c r="A11" s="210" t="inlineStr">
        <is>
          <t>Inputs</t>
        </is>
      </c>
      <c r="B11" s="211" t="inlineStr">
        <is>
          <t>If calculated value is negative or looks too low</t>
        </is>
      </c>
      <c r="C11" s="212" t="inlineStr">
        <is>
          <t>If calculated value looks too high</t>
        </is>
      </c>
    </row>
    <row r="12" ht="15" customFormat="1" customHeight="1" s="116">
      <c r="A12" s="221" t="inlineStr">
        <is>
          <t>Revenue growth rate (input cell B3)</t>
        </is>
      </c>
      <c r="B12" s="213" t="inlineStr">
        <is>
          <t>Increase revenue growth rate</t>
        </is>
      </c>
      <c r="C12" s="214" t="inlineStr">
        <is>
          <t>Decrease revenue growth rate</t>
        </is>
      </c>
    </row>
    <row r="13" ht="15" customFormat="1" customHeight="1" s="116">
      <c r="A13" s="221" t="inlineStr">
        <is>
          <t>Last period EBIT as % of revenue (Input cell B14)</t>
        </is>
      </c>
      <c r="B13" s="215" t="inlineStr">
        <is>
          <t>Increase the target pre-tax operating margin</t>
        </is>
      </c>
      <c r="C13" s="216" t="inlineStr">
        <is>
          <t>Decrease the target pre-tax operating margin</t>
        </is>
      </c>
      <c r="D13" s="116" t="inlineStr">
        <is>
          <t xml:space="preserve"> </t>
        </is>
      </c>
    </row>
    <row r="14" ht="14" customFormat="1" customHeight="1" s="116">
      <c r="A14" s="222" t="inlineStr">
        <is>
          <t>Sales to Capital Ratio or reinvestment (Input cell B15)</t>
        </is>
      </c>
      <c r="B14" s="217" t="inlineStr">
        <is>
          <t>Decrease the sales/capital ratio</t>
        </is>
      </c>
      <c r="C14" s="218" t="inlineStr">
        <is>
          <t>Increase the sales/capital ratio</t>
        </is>
      </c>
      <c r="D14" s="116" t="inlineStr">
        <is>
          <t xml:space="preserve"> </t>
        </is>
      </c>
    </row>
    <row r="15" ht="15" customFormat="1" customHeight="1" s="116" thickBot="1">
      <c r="A15" s="223" t="inlineStr">
        <is>
          <t>Return on capital in perpetuity (B30 &amp; B31)</t>
        </is>
      </c>
      <c r="B15" s="219" t="inlineStr">
        <is>
          <t>Increase relative to your cost of capital</t>
        </is>
      </c>
      <c r="C15" s="220" t="inlineStr">
        <is>
          <t>If higher than your cost of capital, lower towards your cost of capital</t>
        </is>
      </c>
      <c r="D15" s="116" t="inlineStr">
        <is>
          <t>T</t>
        </is>
      </c>
    </row>
    <row r="16">
      <c r="B16" s="79" t="n"/>
    </row>
  </sheetData>
  <mergeCells count="1">
    <mergeCell ref="B10:C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B12" sqref="B12"/>
    </sheetView>
  </sheetViews>
  <sheetFormatPr baseColWidth="10" defaultColWidth="11.5" defaultRowHeight="12"/>
  <sheetData>
    <row r="1" ht="19" customFormat="1" customHeight="1" s="6">
      <c r="A1" s="29" t="inlineStr">
        <is>
          <t>R &amp; D Converter</t>
        </is>
      </c>
      <c r="B1" s="29" t="n"/>
      <c r="C1" s="29" t="n"/>
      <c r="D1" s="29" t="n"/>
      <c r="E1" s="29" t="n"/>
      <c r="F1" s="29" t="n"/>
      <c r="G1" s="29" t="n"/>
      <c r="H1" s="29" t="n"/>
      <c r="I1" s="29" t="n"/>
      <c r="J1" s="29" t="n"/>
    </row>
    <row r="2" ht="14" customFormat="1" customHeight="1" s="116">
      <c r="A2" s="116" t="inlineStr">
        <is>
          <t>This spreadsheet converts R&amp;D expenses from operating to capital expenses. It makes the appropriate adjustments to operating income, net</t>
        </is>
      </c>
    </row>
    <row r="3" ht="14" customFormat="1" customHeight="1" s="116">
      <c r="A3" s="116" t="inlineStr">
        <is>
          <t>income, the book value of assets and the book value of equity.</t>
        </is>
      </c>
    </row>
    <row r="4" ht="14" customFormat="1" customHeight="1" s="116"/>
    <row r="5" ht="14" customFormat="1" customHeight="1" s="116">
      <c r="A5" s="112" t="inlineStr">
        <is>
          <t>Inputs</t>
        </is>
      </c>
    </row>
    <row r="6" ht="14" customFormat="1" customHeight="1" s="116">
      <c r="A6" s="116" t="inlineStr">
        <is>
          <t>Over how many years do you want to amortize R&amp;D expenses</t>
        </is>
      </c>
      <c r="F6" s="131" t="n">
        <v>2</v>
      </c>
      <c r="G6" s="116" t="inlineStr">
        <is>
          <t>! If in doubt, use the lookup table below</t>
        </is>
      </c>
    </row>
    <row r="7" ht="14" customFormat="1" customHeight="1" s="116">
      <c r="A7" s="116" t="inlineStr">
        <is>
          <t>Enter the current year's R&amp;D expense =</t>
        </is>
      </c>
      <c r="F7" s="532" t="n">
        <v>22620</v>
      </c>
      <c r="G7" s="116" t="inlineStr">
        <is>
          <t>The maximum allowed is ten years</t>
        </is>
      </c>
    </row>
    <row r="8" ht="14" customFormat="1" customHeight="1" s="116">
      <c r="A8" s="116" t="inlineStr">
        <is>
          <t>Enter R&amp; D expenses for past years: the number of years that you will need to enter will be determined by the amortization period</t>
        </is>
      </c>
    </row>
    <row r="9" ht="14" customFormat="1" customHeight="1" s="116">
      <c r="A9" s="116" t="inlineStr">
        <is>
          <t>Do not input numbers in the first column (Year). It will get automatically updated  based on the input above.</t>
        </is>
      </c>
    </row>
    <row r="10" ht="14" customFormat="1" customHeight="1" s="185">
      <c r="A10" s="183" t="inlineStr">
        <is>
          <t>Year</t>
        </is>
      </c>
      <c r="B10" s="183" t="inlineStr">
        <is>
          <t>R&amp; D Expenses</t>
        </is>
      </c>
      <c r="C10" s="184" t="n"/>
      <c r="D10" s="184" t="n"/>
      <c r="E10" s="184" t="n"/>
      <c r="F10" s="184" t="n"/>
      <c r="G10" s="184" t="n"/>
      <c r="H10" s="184" t="n"/>
      <c r="I10" s="184" t="n"/>
    </row>
    <row r="11" ht="14" customFormat="1" customHeight="1" s="185">
      <c r="A11" s="186" t="n">
        <v>-1</v>
      </c>
      <c r="B11" s="187" t="n">
        <v>16085</v>
      </c>
      <c r="C11" s="184" t="inlineStr">
        <is>
          <t>! Year -1 is the year prior to the current year</t>
        </is>
      </c>
      <c r="D11" s="184" t="n"/>
      <c r="E11" s="184" t="n"/>
      <c r="F11" s="184" t="n"/>
      <c r="G11" s="184" t="n"/>
      <c r="H11" s="184" t="n"/>
      <c r="I11" s="184" t="n"/>
    </row>
    <row r="12" ht="14" customFormat="1" customHeight="1" s="185">
      <c r="A12" s="186">
        <f>IF((0-A11)&lt;$F$6,IF(A11&gt;-1,,A11-1),)</f>
      </c>
      <c r="B12" s="187" t="n">
        <v>12540</v>
      </c>
      <c r="C12" s="184" t="inlineStr">
        <is>
          <t>! Year -2 is the two years prior to the current year</t>
        </is>
      </c>
      <c r="D12" s="184" t="n"/>
      <c r="E12" s="184" t="n"/>
      <c r="F12" s="184" t="n"/>
      <c r="G12" s="184" t="n"/>
      <c r="H12" s="184" t="n"/>
      <c r="I12" s="184" t="n"/>
    </row>
    <row r="13" ht="14" customFormat="1" customHeight="1" s="185">
      <c r="A13" s="186">
        <f>IF((0-A12)&lt;$F$6,IF(A12&gt;-1,,A12-1),)</f>
      </c>
      <c r="B13" s="187" t="n"/>
      <c r="C13" s="184" t="n"/>
      <c r="D13" s="184" t="n"/>
      <c r="E13" s="184" t="n"/>
      <c r="F13" s="184" t="n"/>
      <c r="G13" s="184" t="n"/>
      <c r="H13" s="184" t="n"/>
      <c r="I13" s="184" t="n"/>
    </row>
    <row r="14" ht="14" customFormat="1" customHeight="1" s="185">
      <c r="A14" s="186">
        <f>IF((0-A13)&lt;$F$6,IF(A13&gt;-1,,A13-1),)</f>
      </c>
      <c r="B14" s="187" t="n"/>
      <c r="C14" s="184" t="n"/>
      <c r="D14" s="184" t="n"/>
      <c r="E14" s="184" t="n"/>
      <c r="F14" s="184" t="n"/>
      <c r="G14" s="184" t="n"/>
      <c r="H14" s="184" t="n"/>
      <c r="I14" s="184" t="n"/>
    </row>
    <row r="15" ht="14" customFormat="1" customHeight="1" s="185">
      <c r="A15" s="186">
        <f>IF((0-A14)&lt;$F$6,IF(A14&gt;-1,,A14-1),)</f>
      </c>
      <c r="B15" s="187" t="n"/>
      <c r="C15" s="184" t="n"/>
      <c r="D15" s="184" t="n"/>
      <c r="E15" s="184" t="n"/>
      <c r="F15" s="184" t="n"/>
      <c r="G15" s="184" t="n"/>
      <c r="H15" s="184" t="n"/>
      <c r="I15" s="184" t="n"/>
    </row>
    <row r="16" ht="14" customFormat="1" customHeight="1" s="185">
      <c r="A16" s="186">
        <f>IF((0-A15)&lt;$F$6,IF(A15&gt;-1,,A15-1),)</f>
      </c>
      <c r="B16" s="187" t="n"/>
      <c r="C16" s="184" t="n"/>
      <c r="D16" s="184" t="n"/>
      <c r="E16" s="184" t="n"/>
      <c r="F16" s="184" t="n"/>
      <c r="G16" s="184" t="n"/>
      <c r="H16" s="184" t="n"/>
      <c r="I16" s="184" t="n"/>
    </row>
    <row r="17" ht="14" customFormat="1" customHeight="1" s="185">
      <c r="A17" s="186">
        <f>IF((0-A16)&lt;$F$6,IF(A16&gt;-1,,A16-1),)</f>
      </c>
      <c r="B17" s="187" t="n"/>
      <c r="C17" s="184" t="n"/>
      <c r="D17" s="184" t="n"/>
      <c r="E17" s="184" t="n"/>
      <c r="F17" s="184" t="n"/>
      <c r="G17" s="184" t="n"/>
      <c r="H17" s="184" t="n"/>
      <c r="I17" s="184" t="n"/>
    </row>
    <row r="18" ht="14" customFormat="1" customHeight="1" s="185">
      <c r="A18" s="186">
        <f>IF((0-A17)&lt;$F$6,IF(A17&gt;-1,,A17-1),)</f>
      </c>
      <c r="B18" s="187" t="n"/>
      <c r="C18" s="184" t="n"/>
      <c r="D18" s="184" t="n"/>
      <c r="E18" s="184" t="n"/>
      <c r="F18" s="184" t="n"/>
      <c r="G18" s="184" t="n"/>
      <c r="H18" s="184" t="n"/>
      <c r="I18" s="184" t="n"/>
    </row>
    <row r="19" ht="14" customFormat="1" customHeight="1" s="185">
      <c r="A19" s="186">
        <f>IF((0-A18)&lt;$F$6,IF(A18&gt;-1,,A18-1),)</f>
      </c>
      <c r="B19" s="187" t="n"/>
      <c r="C19" s="184" t="n"/>
      <c r="D19" s="184" t="n"/>
      <c r="E19" s="184" t="n"/>
      <c r="F19" s="184" t="n"/>
      <c r="G19" s="184" t="n"/>
      <c r="H19" s="184" t="n"/>
      <c r="I19" s="184" t="n"/>
    </row>
    <row r="20" ht="14" customFormat="1" customHeight="1" s="185">
      <c r="A20" s="186">
        <f>IF((0-A19)&lt;$F$6,IF(A19&gt;-1,,A19-1),)</f>
      </c>
      <c r="B20" s="187" t="n"/>
      <c r="C20" s="184" t="n"/>
      <c r="D20" s="184" t="n"/>
      <c r="E20" s="184" t="n"/>
      <c r="F20" s="184" t="n"/>
      <c r="G20" s="184" t="n"/>
      <c r="H20" s="184" t="n"/>
      <c r="I20" s="184" t="n"/>
    </row>
    <row r="21" ht="14" customFormat="1" customHeight="1" s="185">
      <c r="A21" s="184" t="n"/>
      <c r="B21" s="184" t="n"/>
      <c r="C21" s="184" t="n"/>
      <c r="D21" s="184" t="n"/>
      <c r="E21" s="184" t="n"/>
      <c r="F21" s="184" t="n"/>
      <c r="G21" s="184" t="n"/>
      <c r="H21" s="184" t="n"/>
      <c r="I21" s="184" t="n"/>
    </row>
    <row r="22" ht="14" customFormat="1" customHeight="1" s="185">
      <c r="A22" s="188" t="inlineStr">
        <is>
          <t>Output</t>
        </is>
      </c>
      <c r="B22" s="184" t="n"/>
      <c r="C22" s="184" t="n"/>
      <c r="D22" s="184" t="n"/>
      <c r="E22" s="184" t="n"/>
      <c r="F22" s="184" t="n"/>
      <c r="G22" s="184" t="n"/>
      <c r="H22" s="184" t="n"/>
      <c r="I22" s="184" t="n"/>
    </row>
    <row r="23" ht="14" customFormat="1" customHeight="1" s="185">
      <c r="A23" s="183" t="inlineStr">
        <is>
          <t>Year</t>
        </is>
      </c>
      <c r="B23" s="183" t="inlineStr">
        <is>
          <t>R&amp;D Expense</t>
        </is>
      </c>
      <c r="C23" s="189" t="inlineStr">
        <is>
          <t>Unamortized portion</t>
        </is>
      </c>
      <c r="D23" s="190" t="n"/>
      <c r="E23" s="184" t="inlineStr">
        <is>
          <t>Amortization this year</t>
        </is>
      </c>
      <c r="F23" s="184" t="n"/>
      <c r="G23" s="184" t="n"/>
      <c r="H23" s="184" t="n"/>
      <c r="I23" s="184" t="n"/>
    </row>
    <row r="24" ht="14" customFormat="1" customHeight="1" s="185">
      <c r="A24" s="183" t="inlineStr">
        <is>
          <t>Current</t>
        </is>
      </c>
      <c r="B24" s="183">
        <f>F7</f>
      </c>
      <c r="C24" s="183">
        <f>1</f>
      </c>
      <c r="D24" s="183">
        <f>B24*C24</f>
      </c>
      <c r="E24" s="184" t="n"/>
      <c r="F24" s="184" t="n"/>
      <c r="G24" s="184" t="n"/>
      <c r="H24" s="184" t="n"/>
      <c r="I24" s="184" t="n"/>
    </row>
    <row r="25" ht="14" customFormat="1" customHeight="1" s="185">
      <c r="A25" s="186">
        <f>A11</f>
      </c>
      <c r="B25" s="183">
        <f>B11</f>
      </c>
      <c r="C25" s="183">
        <f>IF(A25&lt;0,($F$6+A25)/$F$6,0)</f>
      </c>
      <c r="D25" s="183">
        <f>B25*C25</f>
      </c>
      <c r="E25" s="533">
        <f>IF(A25&lt;0,B25/$F$6,0)</f>
      </c>
      <c r="F25" s="184" t="n"/>
      <c r="G25" s="184" t="n"/>
      <c r="H25" s="184" t="n"/>
      <c r="I25" s="184" t="n"/>
    </row>
    <row r="26" ht="14" customFormat="1" customHeight="1" s="185">
      <c r="A26" s="186">
        <f>A12</f>
      </c>
      <c r="B26" s="183">
        <f>B12</f>
      </c>
      <c r="C26" s="183">
        <f>IF(A26&lt;0,($F$6+A26)/$F$6,0)</f>
      </c>
      <c r="D26" s="183">
        <f>B26*C26</f>
      </c>
      <c r="E26" s="533">
        <f>IF(A26&lt;0,B26/$F$6,0)</f>
      </c>
      <c r="F26" s="184" t="n"/>
      <c r="G26" s="184" t="n"/>
      <c r="H26" s="184" t="n"/>
      <c r="I26" s="184" t="n"/>
    </row>
    <row r="27" ht="14" customFormat="1" customHeight="1" s="185">
      <c r="A27" s="186">
        <f>A13</f>
      </c>
      <c r="B27" s="183">
        <f>B13</f>
      </c>
      <c r="C27" s="183">
        <f>IF(A27&lt;0,($F$6+A27)/$F$6,0)</f>
      </c>
      <c r="D27" s="183">
        <f>B27*C27</f>
      </c>
      <c r="E27" s="533">
        <f>IF(A27&lt;0,B27/$F$6,0)</f>
      </c>
      <c r="F27" s="184" t="n"/>
      <c r="G27" s="184" t="n"/>
      <c r="H27" s="184" t="n"/>
      <c r="I27" s="184" t="n"/>
    </row>
    <row r="28" ht="14" customFormat="1" customHeight="1" s="185">
      <c r="A28" s="186">
        <f>A14</f>
      </c>
      <c r="B28" s="183">
        <f>B14</f>
      </c>
      <c r="C28" s="183">
        <f>IF(A28&lt;0,($F$6+A28)/$F$6,0)</f>
      </c>
      <c r="D28" s="183">
        <f>B28*C28</f>
      </c>
      <c r="E28" s="533">
        <f>IF(A28&lt;0,B28/$F$6,0)</f>
      </c>
      <c r="F28" s="184" t="n"/>
      <c r="G28" s="184" t="n"/>
      <c r="H28" s="184" t="n"/>
      <c r="I28" s="184" t="n"/>
    </row>
    <row r="29" ht="14" customFormat="1" customHeight="1" s="185">
      <c r="A29" s="186">
        <f>A15</f>
      </c>
      <c r="B29" s="183">
        <f>B15</f>
      </c>
      <c r="C29" s="183">
        <f>IF(A29&lt;0,($F$6+A29)/$F$6,0)</f>
      </c>
      <c r="D29" s="183">
        <f>B29*C29</f>
      </c>
      <c r="E29" s="533">
        <f>IF(A29&lt;0,B29/$F$6,0)</f>
      </c>
      <c r="F29" s="184" t="n"/>
      <c r="G29" s="184" t="n"/>
      <c r="H29" s="184" t="n"/>
      <c r="I29" s="184" t="n"/>
    </row>
    <row r="30" ht="14" customFormat="1" customHeight="1" s="185">
      <c r="A30" s="186">
        <f>A16</f>
      </c>
      <c r="B30" s="183">
        <f>B16</f>
      </c>
      <c r="C30" s="183">
        <f>IF(A30&lt;0,($F$6+A30)/$F$6,0)</f>
      </c>
      <c r="D30" s="183">
        <f>B30*C30</f>
      </c>
      <c r="E30" s="533">
        <f>IF(A30&lt;0,B30/$F$6,0)</f>
      </c>
      <c r="F30" s="184" t="n"/>
      <c r="G30" s="184" t="n"/>
      <c r="H30" s="184" t="n"/>
      <c r="I30" s="184" t="n"/>
    </row>
    <row r="31" ht="14" customFormat="1" customHeight="1" s="185">
      <c r="A31" s="186">
        <f>A17</f>
      </c>
      <c r="B31" s="183">
        <f>B17</f>
      </c>
      <c r="C31" s="183">
        <f>IF(A31&lt;0,($F$6+A31)/$F$6,0)</f>
      </c>
      <c r="D31" s="183">
        <f>B31*C31</f>
      </c>
      <c r="E31" s="533">
        <f>IF(A31&lt;0,B31/$F$6,0)</f>
      </c>
      <c r="F31" s="184" t="n"/>
      <c r="G31" s="184" t="n"/>
      <c r="H31" s="184" t="n"/>
      <c r="I31" s="184" t="n"/>
    </row>
    <row r="32" ht="14" customFormat="1" customHeight="1" s="185">
      <c r="A32" s="186">
        <f>A18</f>
      </c>
      <c r="B32" s="183">
        <f>B18</f>
      </c>
      <c r="C32" s="183">
        <f>IF(A32&lt;0,($F$6+A32)/$F$6,0)</f>
      </c>
      <c r="D32" s="183">
        <f>B32*C32</f>
      </c>
      <c r="E32" s="533">
        <f>IF(A32&lt;0,B32/$F$6,0)</f>
      </c>
      <c r="F32" s="184" t="n"/>
      <c r="G32" s="184" t="n"/>
      <c r="H32" s="184" t="n"/>
      <c r="I32" s="184" t="n"/>
    </row>
    <row r="33" ht="14" customFormat="1" customHeight="1" s="185">
      <c r="A33" s="186">
        <f>A19</f>
      </c>
      <c r="B33" s="183">
        <f>B19</f>
      </c>
      <c r="C33" s="183">
        <f>IF(A33&lt;0,($F$6+A33)/$F$6,0)</f>
      </c>
      <c r="D33" s="183">
        <f>B33*C33</f>
      </c>
      <c r="E33" s="533">
        <f>IF(A33&lt;0,B33/$F$6,0)</f>
      </c>
      <c r="F33" s="184" t="n"/>
      <c r="G33" s="184" t="n"/>
      <c r="H33" s="184" t="n"/>
      <c r="I33" s="184" t="n"/>
    </row>
    <row r="34" ht="16" customFormat="1" customHeight="1" s="185" thickBot="1">
      <c r="A34" s="186">
        <f>A20</f>
      </c>
      <c r="B34" s="183">
        <f>B20</f>
      </c>
      <c r="C34" s="183">
        <f>IF(A34&lt;0,($F$6+A34)/$F$6,0)</f>
      </c>
      <c r="D34" s="192">
        <f>B34*C34</f>
      </c>
      <c r="E34" s="534">
        <f>IF(A34&lt;0,B34/$F$6,0)</f>
      </c>
      <c r="F34" s="184" t="n"/>
      <c r="G34" s="184" t="n"/>
      <c r="H34" s="184" t="n"/>
      <c r="I34" s="184" t="n"/>
    </row>
    <row r="35" ht="15" customFormat="1" customHeight="1" s="116" thickBot="1">
      <c r="A35" s="116" t="inlineStr">
        <is>
          <t>Value of Research Asset =</t>
        </is>
      </c>
      <c r="D35" s="535">
        <f>SUM(D24:D34)</f>
      </c>
      <c r="E35" s="527">
        <f>SUM(E25:E34)</f>
      </c>
    </row>
    <row r="36" ht="13" customHeight="1" thickBot="1"/>
    <row r="37" ht="15" customFormat="1" customHeight="1" s="116" thickBot="1">
      <c r="A37" s="116" t="inlineStr">
        <is>
          <t>Amortization of asset for current year =</t>
        </is>
      </c>
      <c r="D37" s="535">
        <f>E35</f>
      </c>
    </row>
    <row r="38" ht="15" customFormat="1" customHeight="1" s="116" thickBot="1"/>
    <row r="39" ht="14" customFormat="1" customHeight="1" s="116">
      <c r="A39" s="116" t="inlineStr">
        <is>
          <t>Adjustment to Operating Income =</t>
        </is>
      </c>
      <c r="D39" s="536">
        <f>F7-D37</f>
      </c>
      <c r="E39" s="116" t="inlineStr">
        <is>
          <t>! A positive number indicates an increase in operating income (add to reported EBIT)</t>
        </is>
      </c>
    </row>
    <row r="40" ht="14" customHeight="1">
      <c r="A40" t="inlineStr">
        <is>
          <t>Tax Effect of R&amp;D Expensing</t>
        </is>
      </c>
      <c r="D40" s="537">
        <f>D39*'Input sheet'!B21</f>
      </c>
      <c r="E40" s="116" t="n"/>
    </row>
  </sheetData>
  <conditionalFormatting sqref="B11:B20">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K34"/>
  <sheetViews>
    <sheetView zoomScale="125" zoomScaleNormal="125" workbookViewId="0">
      <selection activeCell="B8" sqref="B8"/>
    </sheetView>
  </sheetViews>
  <sheetFormatPr baseColWidth="10" defaultColWidth="11.5" defaultRowHeight="12"/>
  <sheetData>
    <row r="1" ht="19" customFormat="1" customHeight="1" s="6">
      <c r="A1" s="29" t="inlineStr">
        <is>
          <t>Operating Lease Converter</t>
        </is>
      </c>
      <c r="B1" s="29" t="n"/>
      <c r="C1" s="29" t="n"/>
      <c r="D1" s="29" t="n"/>
      <c r="E1" s="29" t="n"/>
      <c r="F1" s="29" t="n"/>
      <c r="G1" s="29" t="n"/>
      <c r="H1" s="29" t="n"/>
      <c r="I1" s="29" t="n"/>
      <c r="J1" s="29" t="n"/>
      <c r="K1" s="29" t="n"/>
    </row>
    <row r="2" ht="19" customFormat="1" customHeight="1" s="6">
      <c r="A2" s="29" t="inlineStr">
        <is>
          <t>The yellow cells are input cells. Please enter them.</t>
        </is>
      </c>
      <c r="B2" s="29" t="n"/>
      <c r="C2" s="29" t="n"/>
      <c r="D2" s="29" t="n"/>
      <c r="E2" s="29" t="n"/>
      <c r="F2" s="29" t="n"/>
      <c r="G2" s="29" t="n"/>
      <c r="H2" s="29" t="n"/>
      <c r="I2" s="29" t="n"/>
      <c r="J2" s="29" t="n"/>
      <c r="K2" s="29" t="n"/>
    </row>
    <row r="3" ht="14" customFormat="1" customHeight="1" s="112">
      <c r="A3" s="112" t="inlineStr">
        <is>
          <t>Inputs</t>
        </is>
      </c>
    </row>
    <row r="4" ht="14" customFormat="1" customHeight="1" s="116">
      <c r="A4" s="116" t="inlineStr">
        <is>
          <t>Operating lease expense in current year =</t>
        </is>
      </c>
      <c r="E4" s="532" t="n">
        <v>2200</v>
      </c>
    </row>
    <row r="5" ht="14" customFormat="1" customHeight="1" s="15">
      <c r="A5" s="15" t="inlineStr">
        <is>
          <t>Operating Lease Commitments (From footnote to financials)</t>
        </is>
      </c>
    </row>
    <row r="6" ht="14" customFormat="1" customHeight="1" s="116">
      <c r="A6" s="30" t="inlineStr">
        <is>
          <t>Year</t>
        </is>
      </c>
      <c r="B6" s="30" t="inlineStr">
        <is>
          <t>Commitment</t>
        </is>
      </c>
      <c r="C6" s="116" t="inlineStr">
        <is>
          <t>! Year 1 is next year, ….</t>
        </is>
      </c>
    </row>
    <row r="7" ht="14" customFormat="1" customHeight="1" s="116">
      <c r="A7" s="30" t="n">
        <v>1</v>
      </c>
      <c r="B7" s="538" t="n">
        <v>2427</v>
      </c>
    </row>
    <row r="8" ht="14" customFormat="1" customHeight="1" s="116">
      <c r="A8" s="30" t="n">
        <v>2</v>
      </c>
      <c r="B8" s="538" t="n">
        <v>2376</v>
      </c>
    </row>
    <row r="9" ht="14" customFormat="1" customHeight="1" s="116">
      <c r="A9" s="30" t="n">
        <v>3</v>
      </c>
      <c r="B9" s="538" t="n">
        <v>2258</v>
      </c>
    </row>
    <row r="10" ht="14" customFormat="1" customHeight="1" s="116">
      <c r="A10" s="30" t="n">
        <v>4</v>
      </c>
      <c r="B10" s="538" t="n">
        <v>2039</v>
      </c>
    </row>
    <row r="11" ht="14" customFormat="1" customHeight="1" s="116">
      <c r="A11" s="30" t="n">
        <v>5</v>
      </c>
      <c r="B11" s="538" t="n">
        <v>1813</v>
      </c>
    </row>
    <row r="12" ht="14" customFormat="1" customHeight="1" s="116">
      <c r="A12" s="30" t="inlineStr">
        <is>
          <t>6 and beyond</t>
        </is>
      </c>
      <c r="B12" s="328" t="n">
        <v>11935</v>
      </c>
    </row>
    <row r="13" ht="14" customFormat="1" customHeight="1" s="116"/>
    <row r="14" ht="17" customFormat="1" customHeight="1" s="31" thickBot="1">
      <c r="A14" s="31" t="inlineStr">
        <is>
          <t>Output</t>
        </is>
      </c>
    </row>
    <row r="15" ht="15" customFormat="1" customHeight="1" s="116" thickBot="1">
      <c r="A15" s="116" t="inlineStr">
        <is>
          <t>Pre-tax Cost of Debt =</t>
        </is>
      </c>
      <c r="C15" s="80" t="n">
        <v>0.0413</v>
      </c>
      <c r="D15" s="116" t="inlineStr">
        <is>
          <t>! If you do not have a cost of debt, use the synthetic rating estimator</t>
        </is>
      </c>
    </row>
    <row r="16" ht="14" customFormat="1" customHeight="1" s="116"/>
    <row r="17" ht="14" customFormat="1" customHeight="1" s="116">
      <c r="D17" s="528" t="n"/>
    </row>
    <row r="18" ht="14" customFormat="1" customHeight="1" s="116">
      <c r="A18" s="116" t="inlineStr">
        <is>
          <t>Number of years embedded in yr 6 estimate =</t>
        </is>
      </c>
      <c r="D18" s="35">
        <f>IF(B12&gt;0,ROUND(B12/AVERAGE(B7:B11),0),0)</f>
      </c>
      <c r="E18" s="116" t="inlineStr">
        <is>
          <t>! I use the average lease expense over the first five years</t>
        </is>
      </c>
    </row>
    <row r="19" ht="14" customFormat="1" customHeight="1" s="112">
      <c r="E19" s="116" t="inlineStr">
        <is>
          <t>to estimate the number of years of expenses in yr 6</t>
        </is>
      </c>
    </row>
    <row r="20" ht="14" customFormat="1" customHeight="1" s="15">
      <c r="A20" s="15" t="inlineStr">
        <is>
          <t>Converting Operating Leases into debt</t>
        </is>
      </c>
    </row>
    <row r="21" ht="14" customFormat="1" customHeight="1" s="116">
      <c r="A21" s="30" t="inlineStr">
        <is>
          <t>Year</t>
        </is>
      </c>
      <c r="B21" s="30" t="inlineStr">
        <is>
          <t>Commitment</t>
        </is>
      </c>
      <c r="C21" s="30" t="inlineStr">
        <is>
          <t>Present Value</t>
        </is>
      </c>
    </row>
    <row r="22" ht="14" customFormat="1" customHeight="1" s="116">
      <c r="A22" s="19">
        <f>A7</f>
      </c>
      <c r="B22" s="525">
        <f>B7</f>
      </c>
      <c r="C22" s="526">
        <f>B22/(1+$C$15)^A22</f>
      </c>
    </row>
    <row r="23" ht="14" customFormat="1" customHeight="1" s="116">
      <c r="A23" s="19">
        <f>A8</f>
      </c>
      <c r="B23" s="525">
        <f>B8</f>
      </c>
      <c r="C23" s="526">
        <f>B23/(1+$C$15)^A23</f>
      </c>
    </row>
    <row r="24" ht="14" customFormat="1" customHeight="1" s="116">
      <c r="A24" s="19">
        <f>A9</f>
      </c>
      <c r="B24" s="525">
        <f>B9</f>
      </c>
      <c r="C24" s="526">
        <f>B24/(1+$C$15)^A24</f>
      </c>
    </row>
    <row r="25" ht="14" customFormat="1" customHeight="1" s="116">
      <c r="A25" s="19">
        <f>A10</f>
      </c>
      <c r="B25" s="525">
        <f>B10</f>
      </c>
      <c r="C25" s="526">
        <f>B25/(1+$C$15)^A25</f>
      </c>
    </row>
    <row r="26" ht="14" customFormat="1" customHeight="1" s="116">
      <c r="A26" s="19">
        <f>A11</f>
      </c>
      <c r="B26" s="525">
        <f>B11</f>
      </c>
      <c r="C26" s="526">
        <f>B26/(1+$C$15)^A26</f>
      </c>
    </row>
    <row r="27" ht="15" customFormat="1" customHeight="1" s="116" thickBot="1">
      <c r="A27" s="36">
        <f>A12</f>
      </c>
      <c r="B27" s="539">
        <f>IF(B12&gt;0,IF(D18&gt;0,B12/D18,B12),0)</f>
      </c>
      <c r="C27" s="540">
        <f>IF(D18&gt;0,(B27*(1-(1+C15)^(-D18))/C15)/(1+$C$15)^5,B27/(1+C15)^6)</f>
      </c>
      <c r="D27" s="116" t="inlineStr">
        <is>
          <t>! Commitment beyond year 6 converted into an annuity for ten years</t>
        </is>
      </c>
    </row>
    <row r="28" ht="15" customFormat="1" customHeight="1" s="116" thickBot="1">
      <c r="A28" s="32" t="inlineStr">
        <is>
          <t>Debt Value of leases =</t>
        </is>
      </c>
      <c r="B28" s="39" t="n"/>
      <c r="C28" s="541">
        <f>SUM(C22:C27)</f>
      </c>
    </row>
    <row r="29" ht="14" customFormat="1" customHeight="1" s="116"/>
    <row r="30" ht="14" customFormat="1" customHeight="1" s="116">
      <c r="A30" s="15" t="inlineStr">
        <is>
          <t>Restated Financials</t>
        </is>
      </c>
    </row>
    <row r="31" ht="15" customFormat="1" customHeight="1" s="116" thickBot="1">
      <c r="A31" s="116" t="inlineStr">
        <is>
          <t>Depreciation on Operating Lease Asset =</t>
        </is>
      </c>
      <c r="F31" s="540">
        <f>C28/(5+D18)</f>
      </c>
      <c r="G31" s="116" t="inlineStr">
        <is>
          <t>! I use straight line depreciation</t>
        </is>
      </c>
    </row>
    <row r="32" ht="15" customFormat="1" customHeight="1" s="116" thickBot="1">
      <c r="A32" s="116" t="inlineStr">
        <is>
          <t>Adjustment to Operating Earnings =</t>
        </is>
      </c>
      <c r="F32" s="542">
        <f>E4-F31</f>
      </c>
      <c r="G32" s="116" t="inlineStr">
        <is>
          <t>! Add this amount to pre-tax operating income</t>
        </is>
      </c>
    </row>
    <row r="33" ht="15" customFormat="1" customHeight="1" s="116" thickBot="1">
      <c r="A33" s="116" t="inlineStr">
        <is>
          <t>Adjustment to Total Debt outstanding =</t>
        </is>
      </c>
      <c r="F33" s="543">
        <f>C28</f>
      </c>
      <c r="G33" s="116" t="inlineStr">
        <is>
          <t>! Add this amount to debt</t>
        </is>
      </c>
    </row>
    <row r="34" ht="14" customHeight="1">
      <c r="A34" s="116" t="inlineStr">
        <is>
          <t>Adjustment to Depreciation =</t>
        </is>
      </c>
      <c r="F34" s="544">
        <f>C28/(5+D18)</f>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62"/>
  <sheetViews>
    <sheetView topLeftCell="A2" workbookViewId="0">
      <selection activeCell="R61" sqref="R61"/>
    </sheetView>
  </sheetViews>
  <sheetFormatPr baseColWidth="10" defaultColWidth="11.5" defaultRowHeight="12"/>
  <cols>
    <col width="40.1640625" bestFit="1" customWidth="1" min="1" max="1"/>
    <col width="17.33203125" bestFit="1" customWidth="1" min="2" max="2"/>
    <col width="19.5" bestFit="1" customWidth="1" min="7" max="7"/>
    <col width="16.33203125" customWidth="1" min="8" max="8"/>
    <col width="18.1640625" bestFit="1" customWidth="1" min="11" max="11"/>
  </cols>
  <sheetData>
    <row r="1" ht="19" customFormat="1" customHeight="1" s="111">
      <c r="A1" s="111" t="inlineStr">
        <is>
          <t>Estimation of Current Cost of Capital</t>
        </is>
      </c>
      <c r="B1" s="245" t="n"/>
      <c r="C1" s="237" t="n"/>
      <c r="G1" s="128" t="inlineStr">
        <is>
          <t>Operating Countries ERP calculator</t>
        </is>
      </c>
    </row>
    <row r="2" ht="15" customFormat="1" customHeight="1" s="14">
      <c r="A2" s="14" t="inlineStr">
        <is>
          <t>Inputs</t>
        </is>
      </c>
      <c r="B2" s="244" t="n"/>
      <c r="C2" s="237" t="n"/>
      <c r="G2" s="163" t="inlineStr">
        <is>
          <t>Country</t>
        </is>
      </c>
      <c r="H2" s="163" t="inlineStr">
        <is>
          <t>Revenues</t>
        </is>
      </c>
      <c r="I2" s="163" t="inlineStr">
        <is>
          <t>ERP</t>
        </is>
      </c>
      <c r="J2" s="163" t="inlineStr">
        <is>
          <t>Weight</t>
        </is>
      </c>
      <c r="K2" s="163" t="inlineStr">
        <is>
          <t>Weighted ERP</t>
        </is>
      </c>
    </row>
    <row r="3" ht="15" customFormat="1" customHeight="1" s="116">
      <c r="A3" s="112" t="inlineStr">
        <is>
          <t>Equity</t>
        </is>
      </c>
      <c r="B3" s="116" t="n"/>
      <c r="G3" s="229" t="inlineStr">
        <is>
          <t>United States of America</t>
        </is>
      </c>
      <c r="H3" s="229" t="n">
        <v>120486</v>
      </c>
      <c r="I3" s="122">
        <f>IF(H3=0,0,VLOOKUP(G3,'Country equity risk premiums'!$A$2:$D$187,4))</f>
      </c>
      <c r="J3" s="122">
        <f>IF(H3&gt;0,H3/$H$16,)</f>
      </c>
      <c r="K3" s="122">
        <f>IF(J3=0,0,I3*J3)</f>
      </c>
      <c r="M3" s="466"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4" ht="15" customFormat="1" customHeight="1" s="116">
      <c r="A4" s="116" t="inlineStr">
        <is>
          <t>Number of Shares outstanding =</t>
        </is>
      </c>
      <c r="B4" s="119">
        <f>'Input sheet'!B18</f>
      </c>
      <c r="G4" s="229" t="inlineStr">
        <is>
          <t>Germany</t>
        </is>
      </c>
      <c r="H4" s="229" t="n">
        <v>16951</v>
      </c>
      <c r="I4" s="122">
        <f>IF(H4=0,0,VLOOKUP(G4,'Country equity risk premiums'!$A$2:$D$187,4))</f>
      </c>
      <c r="J4" s="122">
        <f>IF(H4&gt;0,H4/$H$16,)</f>
      </c>
      <c r="K4" s="122">
        <f>IF(J4=0,0,I4*J4)</f>
      </c>
    </row>
    <row r="5" ht="15" customFormat="1" customHeight="1" s="116">
      <c r="A5" s="116" t="inlineStr">
        <is>
          <t>Current Market Price per share =</t>
        </is>
      </c>
      <c r="B5" s="545">
        <f>'Input sheet'!B19</f>
      </c>
      <c r="G5" s="229" t="inlineStr">
        <is>
          <t>United Kingdom</t>
        </is>
      </c>
      <c r="H5" s="229" t="n">
        <v>11372</v>
      </c>
      <c r="I5" s="122">
        <f>IF(H5=0,0,VLOOKUP(G5,'Country equity risk premiums'!$A$2:$D$187,4))</f>
      </c>
      <c r="J5" s="122">
        <f>IF(H5&gt;0,H5/$H$16,)</f>
      </c>
      <c r="K5" s="122">
        <f>IF(J5=0,0,I5*J5)</f>
      </c>
    </row>
    <row r="6" ht="15" customFormat="1" customHeight="1" s="116">
      <c r="B6" s="116" t="n"/>
      <c r="G6" s="229" t="inlineStr">
        <is>
          <t>Japan</t>
        </is>
      </c>
      <c r="H6" s="229" t="n">
        <v>11907</v>
      </c>
      <c r="I6" s="122">
        <f>IF(H6=0,0,VLOOKUP(G6,'Country equity risk premiums'!$A$2:$D$187,4))</f>
      </c>
      <c r="J6" s="122">
        <f>IF(H6&gt;0,H6/$H$16,)</f>
      </c>
      <c r="K6" s="122">
        <f>IF(J6=0,0,I6*J6)</f>
      </c>
    </row>
    <row r="7" ht="15" customFormat="1" customHeight="1" s="116">
      <c r="A7" s="116" t="inlineStr">
        <is>
          <t>Approach for estimating beta</t>
        </is>
      </c>
      <c r="B7" s="229" t="inlineStr">
        <is>
          <t>Multibusiness(Global)</t>
        </is>
      </c>
      <c r="G7" s="229" t="n"/>
      <c r="H7" s="229" t="n"/>
      <c r="I7" s="122">
        <f>IF(H7=0,0,VLOOKUP(G7,'Country equity risk premiums'!$A$2:$D$187,4))</f>
      </c>
      <c r="J7" s="122">
        <f>IF(H7&gt;0,H7/$H$16,)</f>
      </c>
      <c r="K7" s="122">
        <f>IF(J7=0,0,I7*J7)</f>
      </c>
    </row>
    <row r="8" ht="15" customFormat="1" customHeight="1" s="116">
      <c r="A8" s="116" t="inlineStr">
        <is>
          <t>If direct input, enter levered beta (or regression beta)</t>
        </is>
      </c>
      <c r="B8" s="238" t="n">
        <v>1.2</v>
      </c>
      <c r="G8" s="229" t="n"/>
      <c r="H8" s="229" t="n"/>
      <c r="I8" s="122">
        <f>IF(H8=0,0,VLOOKUP(G8,'Country equity risk premiums'!$A$2:$D$187,4))</f>
      </c>
      <c r="J8" s="122">
        <f>IF(H8&gt;0,H8/$H$16,)</f>
      </c>
      <c r="K8" s="122">
        <f>IF(J8=0,0,I8*J8)</f>
      </c>
    </row>
    <row r="9" ht="15" customFormat="1" customHeight="1" s="116">
      <c r="A9" s="116" t="inlineStr">
        <is>
          <t>Unlevered beta =</t>
        </is>
      </c>
      <c r="B9" s="166">
        <f>IF(B7="Single Business(US)",VLOOKUP('Input sheet'!B6,'Industry Averages(US)'!A2:G95,7),IF(B7="Multibusiness(US)",K46,IF(B7="Single Business(Global)",VLOOKUP('Input sheet'!B7,'Global industry averages'!A2:G95,7),'Cost of capital worksheet'!K62)))</f>
      </c>
      <c r="G9" s="229" t="n"/>
      <c r="H9" s="229" t="n"/>
      <c r="I9" s="122">
        <f>IF(H9=0,0,VLOOKUP(G9,'Country equity risk premiums'!$A$2:$D$187,4))</f>
      </c>
      <c r="J9" s="122">
        <f>IF(H9&gt;0,H9/$H$16,)</f>
      </c>
      <c r="K9" s="122">
        <f>IF(J9=0,0,I9*J9)</f>
      </c>
    </row>
    <row r="10" ht="15" customFormat="1" customHeight="1" s="116">
      <c r="A10" s="116" t="inlineStr">
        <is>
          <t>Riskfree Rate =</t>
        </is>
      </c>
      <c r="B10" s="124">
        <f>'Input sheet'!B28</f>
      </c>
      <c r="G10" s="229" t="n"/>
      <c r="H10" s="229" t="n"/>
      <c r="I10" s="122">
        <f>IF(H10=0,0,VLOOKUP(G10,'Country equity risk premiums'!$A$2:$D$187,4))</f>
      </c>
      <c r="J10" s="122">
        <f>IF(H10&gt;0,H10/$H$16,)</f>
      </c>
      <c r="K10" s="122">
        <f>IF(J10=0,0,I10*J10)</f>
      </c>
    </row>
    <row r="11" ht="15" customFormat="1" customHeight="1" s="116">
      <c r="A11" s="116" t="inlineStr">
        <is>
          <t>What approach do you want to use to input ERP?</t>
        </is>
      </c>
      <c r="B11" s="230" t="inlineStr">
        <is>
          <t>Operating countries</t>
        </is>
      </c>
      <c r="G11" s="229" t="n"/>
      <c r="H11" s="229" t="n"/>
      <c r="I11" s="122">
        <f>IF(H11=0,0,VLOOKUP(G11,'Country equity risk premiums'!$A$2:$D$187,4))</f>
      </c>
      <c r="J11" s="122">
        <f>IF(H11&gt;0,H11/$H$16,)</f>
      </c>
      <c r="K11" s="122">
        <f>IF(J11=0,0,I11*J11)</f>
      </c>
    </row>
    <row r="12" ht="15" customFormat="1" customHeight="1" s="116">
      <c r="A12" s="116" t="inlineStr">
        <is>
          <t>Direct input for ERP (if you choose "will input"</t>
        </is>
      </c>
      <c r="B12" s="230" t="n">
        <v>0.05</v>
      </c>
      <c r="G12" s="229" t="n"/>
      <c r="H12" s="229" t="n"/>
      <c r="I12" s="122">
        <f>IF(H12=0,0,VLOOKUP(G12,'Country equity risk premiums'!$A$2:$D$187,4))</f>
      </c>
      <c r="J12" s="122">
        <f>IF(H12&gt;0,H12/$H$16,)</f>
      </c>
      <c r="K12" s="122">
        <f>IF(J12=0,0,I12*J12)</f>
      </c>
    </row>
    <row r="13" ht="15" customFormat="1" customHeight="1" s="116">
      <c r="A13" s="116" t="inlineStr">
        <is>
          <t>Equity Risk Premium used in cost of equity =</t>
        </is>
      </c>
      <c r="B13" s="232">
        <f>IF(B11="Will Input",B12,IF(B11="Country of Incorporation",VLOOKUP('Input sheet'!B5,'Country equity risk premiums'!A2:E187,4),IF(B11="Operating regions",'Cost of capital worksheet'!K30,'Cost of capital worksheet'!K16)))</f>
      </c>
      <c r="G13" s="229" t="n"/>
      <c r="H13" s="229" t="n"/>
      <c r="I13" s="122">
        <f>IF(H13=0,0,VLOOKUP(G13,'Country equity risk premiums'!$A$2:$D$187,4))</f>
      </c>
      <c r="J13" s="122">
        <f>IF(H13&gt;0,H13/$H$16,)</f>
      </c>
      <c r="K13" s="122">
        <f>IF(J13=0,0,I13*J13)</f>
      </c>
    </row>
    <row r="14" ht="15" customFormat="1" customHeight="1" s="116">
      <c r="B14" s="116" t="n"/>
      <c r="G14" s="323" t="n"/>
      <c r="H14" s="229" t="n"/>
      <c r="I14" s="323" t="n"/>
      <c r="J14" s="122">
        <f>IF(H14&gt;0,H14/$H$16,)</f>
      </c>
      <c r="K14" s="122">
        <f>IF(J14=0,0,I14*J14)</f>
      </c>
    </row>
    <row r="15" ht="15" customFormat="1" customHeight="1" s="116">
      <c r="A15" s="112" t="inlineStr">
        <is>
          <t>Debt</t>
        </is>
      </c>
      <c r="B15" s="116" t="n"/>
      <c r="G15" s="323" t="inlineStr">
        <is>
          <t>Rest of the World</t>
        </is>
      </c>
      <c r="H15" s="229" t="n">
        <v>17150</v>
      </c>
      <c r="I15" s="390" t="n">
        <v>0.0621</v>
      </c>
      <c r="J15" s="122">
        <f>IF(H15&gt;0,H15/$H$16,)</f>
      </c>
      <c r="K15" s="122">
        <f>IF(J15=0,0,I15*J15)</f>
      </c>
    </row>
    <row r="16" ht="15" customFormat="1" customHeight="1" s="116">
      <c r="A16" s="116" t="inlineStr">
        <is>
          <t>Book Value of Straight Debt =</t>
        </is>
      </c>
      <c r="B16" s="545">
        <f>'Input sheet'!B12</f>
      </c>
      <c r="G16" s="162" t="inlineStr">
        <is>
          <t>Total</t>
        </is>
      </c>
      <c r="H16" s="162">
        <f>SUM(H3:H15)</f>
      </c>
      <c r="I16" s="162" t="n"/>
      <c r="J16" s="122">
        <f>SUM(J3:J15)</f>
      </c>
      <c r="K16" s="122">
        <f>SUM(K3:K15)</f>
      </c>
    </row>
    <row r="17" ht="15" customFormat="1" customHeight="1" s="116">
      <c r="A17" s="116" t="inlineStr">
        <is>
          <t>Interest Expense on Debt =</t>
        </is>
      </c>
      <c r="B17" s="545">
        <f>'Input sheet'!B10</f>
      </c>
      <c r="G17" s="128" t="inlineStr">
        <is>
          <t>Operating Regions ERP calculator</t>
        </is>
      </c>
    </row>
    <row r="18" ht="15" customFormat="1" customHeight="1" s="116">
      <c r="A18" s="116" t="inlineStr">
        <is>
          <t>Average Maturity =</t>
        </is>
      </c>
      <c r="B18" s="114" t="n">
        <v>3</v>
      </c>
      <c r="G18" s="19" t="inlineStr">
        <is>
          <t>Region</t>
        </is>
      </c>
      <c r="H18" s="19" t="inlineStr">
        <is>
          <t>Revenues</t>
        </is>
      </c>
      <c r="I18" s="19" t="inlineStr">
        <is>
          <t>ERP</t>
        </is>
      </c>
      <c r="J18" s="19" t="inlineStr">
        <is>
          <t>Weight</t>
        </is>
      </c>
      <c r="K18" s="19" t="inlineStr">
        <is>
          <t>Weighted ERP</t>
        </is>
      </c>
    </row>
    <row r="19" ht="15" customFormat="1" customHeight="1" s="116">
      <c r="A19" s="116" t="inlineStr">
        <is>
          <t>Approach for estimating pre-tax cost of debt</t>
        </is>
      </c>
      <c r="B19" s="131" t="inlineStr">
        <is>
          <t>Synthetic rating</t>
        </is>
      </c>
      <c r="G19" s="19">
        <f>'Country equity risk premiums'!A191</f>
      </c>
      <c r="H19" s="229" t="n">
        <v>0</v>
      </c>
      <c r="I19" s="24">
        <f>'Country equity risk premiums'!B191</f>
      </c>
      <c r="J19" s="122">
        <f>H19/$H$30</f>
      </c>
      <c r="K19" s="546">
        <f>I19*J19</f>
      </c>
    </row>
    <row r="20" ht="15" customFormat="1" customHeight="1" s="116">
      <c r="A20" s="116" t="inlineStr">
        <is>
          <t>If direct input, input the pre-tax cost of debt</t>
        </is>
      </c>
      <c r="B20" s="547" t="n">
        <v>0.035</v>
      </c>
      <c r="G20" s="19">
        <f>'Country equity risk premiums'!A192</f>
      </c>
      <c r="H20" s="229">
        <f>3159+4281</f>
      </c>
      <c r="I20" s="24">
        <f>'Country equity risk premiums'!B192</f>
      </c>
      <c r="J20" s="122">
        <f>H20/$H$30</f>
      </c>
      <c r="K20" s="546">
        <f>I20*J20</f>
      </c>
    </row>
    <row r="21" ht="15" customFormat="1" customHeight="1" s="116">
      <c r="A21" s="116" t="inlineStr">
        <is>
          <t>If actual rating, input the rating</t>
        </is>
      </c>
      <c r="B21" s="131" t="inlineStr">
        <is>
          <t>Aa2/AA</t>
        </is>
      </c>
      <c r="G21" s="19">
        <f>'Country equity risk premiums'!A193</f>
      </c>
      <c r="H21" s="229" t="n"/>
      <c r="I21" s="24">
        <f>'Country equity risk premiums'!B193</f>
      </c>
      <c r="J21" s="122">
        <f>H21/$H$30</f>
      </c>
      <c r="K21" s="546">
        <f>I21*J21</f>
      </c>
    </row>
    <row r="22" ht="15" customFormat="1" customHeight="1" s="116">
      <c r="A22" s="116" t="inlineStr">
        <is>
          <t>If synethetic rating, input the type of company</t>
        </is>
      </c>
      <c r="B22" s="131" t="n">
        <v>1</v>
      </c>
      <c r="G22" s="19">
        <f>'Country equity risk premiums'!A194</f>
      </c>
      <c r="H22" s="229" t="n">
        <v>0</v>
      </c>
      <c r="I22" s="24">
        <f>'Country equity risk premiums'!B194</f>
      </c>
      <c r="J22" s="122">
        <f>H22/$H$30</f>
      </c>
      <c r="K22" s="546">
        <f>I22*J22</f>
      </c>
    </row>
    <row r="23" ht="15" customFormat="1" customHeight="1" s="116">
      <c r="A23" s="116" t="inlineStr">
        <is>
          <t>Pre-tax Cost of Debt =</t>
        </is>
      </c>
      <c r="B23" s="232">
        <f>IF(B19="Direct Input",B20,IF(B19="Synthetic Rating",'Synthetic rating'!D13,B10+VLOOKUP('Cost of capital worksheet'!B21,'Synthetic rating'!G39:H53,2)))</f>
      </c>
      <c r="G23" s="19">
        <f>'Country equity risk premiums'!A195</f>
      </c>
      <c r="H23" s="229" t="n">
        <v>0</v>
      </c>
      <c r="I23" s="24">
        <f>'Country equity risk premiums'!B195</f>
      </c>
      <c r="J23" s="122">
        <f>H23/$H$30</f>
      </c>
      <c r="K23" s="546">
        <f>I23*J23</f>
      </c>
    </row>
    <row r="24" ht="15" customFormat="1" customHeight="1" s="116">
      <c r="A24" s="116" t="inlineStr">
        <is>
          <t>Tax Rate =</t>
        </is>
      </c>
      <c r="B24" s="235">
        <f>'Input sheet'!B21</f>
      </c>
      <c r="G24" s="19">
        <f>'Country equity risk premiums'!A196</f>
      </c>
      <c r="H24" s="229" t="n"/>
      <c r="I24" s="24">
        <f>'Country equity risk premiums'!B196</f>
      </c>
      <c r="J24" s="122">
        <f>H24/$H$30</f>
      </c>
      <c r="K24" s="546">
        <f>I24*J24</f>
      </c>
    </row>
    <row r="25" ht="15" customFormat="1" customHeight="1" s="116">
      <c r="B25" s="116" t="n"/>
      <c r="G25" s="19">
        <f>'Country equity risk premiums'!A197</f>
      </c>
      <c r="H25" s="229" t="n">
        <v>0</v>
      </c>
      <c r="I25" s="24">
        <f>'Country equity risk premiums'!B197</f>
      </c>
      <c r="J25" s="122">
        <f>H25/$H$30</f>
      </c>
      <c r="K25" s="546">
        <f>I25*J25</f>
      </c>
    </row>
    <row r="26" ht="15" customFormat="1" customHeight="1" s="116">
      <c r="A26" s="116" t="inlineStr">
        <is>
          <t>Book Value of Convertible Debt =</t>
        </is>
      </c>
      <c r="B26" s="114" t="n">
        <v>0</v>
      </c>
      <c r="G26" s="19">
        <f>'Country equity risk premiums'!A198</f>
      </c>
      <c r="H26" s="229" t="n">
        <v>93864</v>
      </c>
      <c r="I26" s="24">
        <f>'Country equity risk premiums'!B198</f>
      </c>
      <c r="J26" s="122">
        <f>H26/$H$30</f>
      </c>
      <c r="K26" s="546">
        <f>I26*J26</f>
      </c>
    </row>
    <row r="27" ht="15" customFormat="1" customHeight="1" s="116">
      <c r="A27" s="116" t="inlineStr">
        <is>
          <t>Interest Expense on Convertible =</t>
        </is>
      </c>
      <c r="B27" s="114" t="n">
        <v>0</v>
      </c>
      <c r="G27" s="19">
        <f>'Country equity risk premiums'!A199</f>
      </c>
      <c r="H27" s="229" t="n"/>
      <c r="I27" s="24">
        <f>'Country equity risk premiums'!B199</f>
      </c>
      <c r="J27" s="122">
        <f>H27/$H$30</f>
      </c>
      <c r="K27" s="546">
        <f>I27*J27</f>
      </c>
    </row>
    <row r="28" ht="15" customFormat="1" customHeight="1" s="116">
      <c r="A28" s="116" t="inlineStr">
        <is>
          <t>Maturity of Convertible Bond =</t>
        </is>
      </c>
      <c r="B28" s="114" t="n">
        <v>0</v>
      </c>
      <c r="G28" s="229" t="n"/>
      <c r="H28" s="229" t="n"/>
      <c r="I28" s="324" t="n"/>
      <c r="J28" s="122">
        <f>H28/$H$30</f>
      </c>
      <c r="K28" s="546">
        <f>I28*J28</f>
      </c>
    </row>
    <row r="29" ht="15" customFormat="1" customHeight="1" s="116">
      <c r="A29" s="116" t="inlineStr">
        <is>
          <t>Market Value of Convertible =</t>
        </is>
      </c>
      <c r="B29" s="114" t="n">
        <v>0</v>
      </c>
      <c r="G29" s="229" t="n"/>
      <c r="H29" s="229" t="n"/>
      <c r="I29" s="324" t="n"/>
      <c r="J29" s="122">
        <f>H29/$H$30</f>
      </c>
      <c r="K29" s="546">
        <f>I29*J29</f>
      </c>
    </row>
    <row r="30" ht="15" customFormat="1" customHeight="1" s="116">
      <c r="B30" s="116" t="n"/>
      <c r="G30" s="162" t="inlineStr">
        <is>
          <t>Total</t>
        </is>
      </c>
      <c r="H30" s="162">
        <f>SUM(H19:H29)</f>
      </c>
      <c r="I30" s="124" t="n"/>
      <c r="J30" s="122">
        <f>SUM(J19:J29)</f>
      </c>
      <c r="K30" s="548">
        <f>SUM(K19:K29)</f>
      </c>
    </row>
    <row r="31" ht="15" customFormat="1" customHeight="1" s="116">
      <c r="A31" s="116" t="inlineStr">
        <is>
          <t>Debt value of operating leases =</t>
        </is>
      </c>
      <c r="B31" s="545">
        <f>IF('Input sheet'!B14="Yes",'Operating lease converter'!F33,0)</f>
      </c>
    </row>
    <row r="32" ht="15" customFormat="1" customHeight="1" s="116">
      <c r="B32" s="116" t="n"/>
      <c r="G32" s="111" t="inlineStr">
        <is>
          <t>Multi Business (US Industry Averages)</t>
        </is>
      </c>
    </row>
    <row r="33" ht="15" customFormat="1" customHeight="1" s="116">
      <c r="A33" s="112" t="inlineStr">
        <is>
          <t>Preferred Stock</t>
        </is>
      </c>
      <c r="B33" s="116" t="n"/>
      <c r="G33" s="19" t="inlineStr">
        <is>
          <t>Business</t>
        </is>
      </c>
      <c r="H33" s="19" t="inlineStr">
        <is>
          <t>Revenues</t>
        </is>
      </c>
      <c r="I33" s="19" t="inlineStr">
        <is>
          <t>EV/Sales</t>
        </is>
      </c>
      <c r="J33" s="19" t="inlineStr">
        <is>
          <t>Estimated Value</t>
        </is>
      </c>
      <c r="K33" s="19" t="inlineStr">
        <is>
          <t>Unlevered Beta</t>
        </is>
      </c>
    </row>
    <row r="34" ht="15" customFormat="1" customHeight="1" s="116">
      <c r="A34" s="116" t="inlineStr">
        <is>
          <t>Number of Preferred Shares =</t>
        </is>
      </c>
      <c r="B34" s="114" t="n">
        <v>0</v>
      </c>
      <c r="G34" s="229" t="inlineStr">
        <is>
          <t>Advertising</t>
        </is>
      </c>
      <c r="H34" s="174" t="n">
        <v>70</v>
      </c>
      <c r="I34" s="175">
        <f>IF(G34=0,,VLOOKUP(G34,'Industry Averages(US)'!$A$2:$S$95,15))</f>
      </c>
      <c r="J34" s="176">
        <f>H34*I34</f>
      </c>
      <c r="K34" s="175">
        <f>IF(I34=0,0,VLOOKUP(G34,'Industry Averages(US)'!$A$2:$S$95,7))</f>
      </c>
    </row>
    <row r="35" ht="15" customFormat="1" customHeight="1" s="116">
      <c r="A35" s="116" t="inlineStr">
        <is>
          <t>Current Market Price per Share=</t>
        </is>
      </c>
      <c r="B35" s="114" t="n">
        <v>70</v>
      </c>
      <c r="G35" s="229" t="inlineStr">
        <is>
          <t>Computer Services</t>
        </is>
      </c>
      <c r="H35" s="174" t="n">
        <v>30</v>
      </c>
      <c r="I35" s="175">
        <f>IF(G35=0,,VLOOKUP(G35,'Industry Averages(US)'!$A$2:$S$95,15))</f>
      </c>
      <c r="J35" s="176">
        <f>H35*I35</f>
      </c>
      <c r="K35" s="175">
        <f>IF(I35=0,0,VLOOKUP(G35,'Industry Averages(US)'!$A$2:$S$95,7))</f>
      </c>
    </row>
    <row r="36" ht="15" customFormat="1" customHeight="1" s="116">
      <c r="A36" s="116" t="inlineStr">
        <is>
          <t>Annual Dividend per Share =</t>
        </is>
      </c>
      <c r="B36" s="114" t="n">
        <v>5</v>
      </c>
      <c r="G36" s="229" t="n"/>
      <c r="H36" s="174" t="n"/>
      <c r="I36" s="175">
        <f>IF(G36=0,,VLOOKUP(G36,'Industry Averages(US)'!$A$2:$S$95,15))</f>
      </c>
      <c r="J36" s="176">
        <f>H36*I36</f>
      </c>
      <c r="K36" s="175">
        <f>IF(I36=0,0,VLOOKUP(G36,'Industry Averages(US)'!$A$2:$S$95,7))</f>
      </c>
    </row>
    <row r="37" ht="15" customFormat="1" customHeight="1" s="116">
      <c r="G37" s="229" t="n"/>
      <c r="H37" s="174" t="n"/>
      <c r="I37" s="175">
        <f>IF(G37=0,,VLOOKUP(G37,'Industry Averages(US)'!$A$2:$S$95,15))</f>
      </c>
      <c r="J37" s="176">
        <f>H37*I37</f>
      </c>
      <c r="K37" s="175">
        <f>IF(I37=0,0,VLOOKUP(G37,'Industry Averages(US)'!$A$2:$S$95,7))</f>
      </c>
    </row>
    <row r="38" ht="15" customFormat="1" customHeight="1" s="117">
      <c r="A38" s="14" t="inlineStr">
        <is>
          <t>Output</t>
        </is>
      </c>
      <c r="B38" s="116" t="n"/>
      <c r="C38" s="116" t="n"/>
      <c r="D38" s="116" t="n"/>
      <c r="E38" s="116" t="n"/>
      <c r="F38" s="116" t="n"/>
      <c r="G38" s="229" t="n"/>
      <c r="H38" s="174" t="n"/>
      <c r="I38" s="175">
        <f>IF(G38=0,,VLOOKUP(G38,'Industry Averages(US)'!$A$2:$S$95,15))</f>
      </c>
      <c r="J38" s="176">
        <f>H38*I38</f>
      </c>
      <c r="K38" s="175">
        <f>IF(I38=0,0,VLOOKUP(G38,'Industry Averages(US)'!$A$2:$S$95,7))</f>
      </c>
    </row>
    <row r="39" ht="15" customFormat="1" customHeight="1" s="116">
      <c r="A39" s="19" t="inlineStr">
        <is>
          <t>Estimating Market Value of Straight Debt =</t>
        </is>
      </c>
      <c r="B39" s="19" t="n"/>
      <c r="C39" s="549">
        <f>B17*(1-(1+B23)^(-B18))/B23+B16/(1+B23)^B18</f>
      </c>
      <c r="G39" s="229" t="n"/>
      <c r="H39" s="174" t="n"/>
      <c r="I39" s="175">
        <f>IF(G39=0,,VLOOKUP(G39,'Industry Averages(US)'!$A$2:$S$95,15))</f>
      </c>
      <c r="J39" s="176">
        <f>H39*I39</f>
      </c>
      <c r="K39" s="175">
        <f>IF(I39=0,0,VLOOKUP(G39,'Industry Averages(US)'!$A$2:$S$95,7))</f>
      </c>
    </row>
    <row r="40" ht="15" customFormat="1" customHeight="1" s="116">
      <c r="A40" s="19" t="inlineStr">
        <is>
          <t>Estimated Value of Straight Debt in Convertible =</t>
        </is>
      </c>
      <c r="B40" s="19" t="n"/>
      <c r="C40" s="549">
        <f>B27*(1-(1+B23)^(-B28))/B23+B26/(1+B23)^B28</f>
      </c>
      <c r="G40" s="229" t="n"/>
      <c r="H40" s="174" t="n"/>
      <c r="I40" s="175">
        <f>IF(G40=0,,VLOOKUP(G40,'Industry Averages(US)'!$A$2:$S$95,15))</f>
      </c>
      <c r="J40" s="176">
        <f>H40*I40</f>
      </c>
      <c r="K40" s="175">
        <f>IF(I40=0,0,VLOOKUP(G40,'Industry Averages(US)'!$A$2:$S$95,7))</f>
      </c>
    </row>
    <row r="41" ht="15" customFormat="1" customHeight="1" s="116">
      <c r="A41" s="19" t="inlineStr">
        <is>
          <t>Value of Debt in Operating leases =</t>
        </is>
      </c>
      <c r="B41" s="19" t="n"/>
      <c r="C41" s="549">
        <f>B31</f>
      </c>
      <c r="G41" s="229" t="n"/>
      <c r="H41" s="174" t="n"/>
      <c r="I41" s="175">
        <f>IF(G41=0,,VLOOKUP(G41,'Industry Averages(US)'!$A$2:$S$95,15))</f>
      </c>
      <c r="J41" s="176">
        <f>H41*I41</f>
      </c>
      <c r="K41" s="175">
        <f>IF(I41=0,0,VLOOKUP(G41,'Industry Averages(US)'!$A$2:$S$95,7))</f>
      </c>
    </row>
    <row r="42" ht="14" customHeight="1">
      <c r="A42" s="19" t="inlineStr">
        <is>
          <t>Estimated Value of Equity in Convertible =</t>
        </is>
      </c>
      <c r="B42" s="19" t="n"/>
      <c r="C42" s="549">
        <f>B29-C40</f>
      </c>
      <c r="D42" s="116" t="n"/>
      <c r="E42" s="116" t="n"/>
      <c r="F42" s="116" t="n"/>
      <c r="G42" s="229" t="n"/>
      <c r="H42" s="174" t="n"/>
      <c r="I42" s="175">
        <f>IF(G42=0,,VLOOKUP(G42,'Industry Averages(US)'!$A$2:$S$95,15))</f>
      </c>
      <c r="J42" s="176">
        <f>H42*I42</f>
      </c>
      <c r="K42" s="175">
        <f>IF(I42=0,0,VLOOKUP(G42,'Industry Averages(US)'!$A$2:$S$95,7))</f>
      </c>
    </row>
    <row r="43" ht="14" customHeight="1">
      <c r="A43" s="19" t="inlineStr">
        <is>
          <t>Levered Beta for equity =</t>
        </is>
      </c>
      <c r="B43" s="19" t="n"/>
      <c r="C43" s="127">
        <f>IF(B7="Direct Input",B8,B9*(1+(1-B24)*(C46/B46)))</f>
      </c>
      <c r="D43" s="116" t="n"/>
      <c r="E43" s="116" t="n"/>
      <c r="F43" s="116" t="n"/>
      <c r="G43" s="229" t="n"/>
      <c r="H43" s="174" t="n"/>
      <c r="I43" s="175">
        <f>IF(G43=0,,VLOOKUP(G43,'Industry Averages(US)'!$A$2:$S$95,15))</f>
      </c>
      <c r="J43" s="176">
        <f>H43*I43</f>
      </c>
      <c r="K43" s="175">
        <f>IF(I43=0,0,VLOOKUP(G43,'Industry Averages(US)'!$A$2:$S$95,7))</f>
      </c>
    </row>
    <row r="44" ht="14" customHeight="1">
      <c r="A44" s="116" t="n"/>
      <c r="B44" s="116" t="n"/>
      <c r="C44" s="127" t="n"/>
      <c r="D44" s="116" t="n"/>
      <c r="E44" s="116" t="n"/>
      <c r="F44" s="116" t="n"/>
      <c r="G44" s="229" t="n"/>
      <c r="H44" s="174" t="n"/>
      <c r="I44" s="175">
        <f>IF(G44=0,,VLOOKUP(G44,'Industry Averages(US)'!$A$2:$S$95,15))</f>
      </c>
      <c r="J44" s="176">
        <f>H44*I44</f>
      </c>
      <c r="K44" s="175">
        <f>IF(I44=0,0,VLOOKUP(G44,'Industry Averages(US)'!$A$2:$S$95,7))</f>
      </c>
    </row>
    <row r="45" ht="14" customHeight="1">
      <c r="A45" s="117" t="n"/>
      <c r="B45" s="118" t="inlineStr">
        <is>
          <t>Equity</t>
        </is>
      </c>
      <c r="C45" s="118" t="inlineStr">
        <is>
          <t xml:space="preserve">Debt </t>
        </is>
      </c>
      <c r="D45" s="118" t="inlineStr">
        <is>
          <t>Preferred Stock</t>
        </is>
      </c>
      <c r="E45" s="118" t="inlineStr">
        <is>
          <t>Capital</t>
        </is>
      </c>
      <c r="F45" s="117" t="n"/>
      <c r="G45" s="229" t="n"/>
      <c r="H45" s="174" t="n"/>
      <c r="I45" s="175">
        <f>IF(G45=0,,VLOOKUP(G45,'Industry Averages(US)'!$A$2:$S$95,15))</f>
      </c>
      <c r="J45" s="176">
        <f>H45*I45</f>
      </c>
      <c r="K45" s="175">
        <f>IF(I45=0,0,VLOOKUP(G45,'Industry Averages(US)'!$A$2:$S$95,7))</f>
      </c>
    </row>
    <row r="46" ht="14" customHeight="1">
      <c r="A46" s="19" t="inlineStr">
        <is>
          <t>Market Value</t>
        </is>
      </c>
      <c r="B46" s="549">
        <f>B4*B5</f>
      </c>
      <c r="C46" s="549">
        <f>C39+C40+C41</f>
      </c>
      <c r="D46" s="549">
        <f>B34*B35</f>
      </c>
      <c r="E46" s="545">
        <f>SUM(B46:D46)</f>
      </c>
      <c r="F46" s="116" t="n"/>
      <c r="G46" s="177" t="inlineStr">
        <is>
          <t>Company</t>
        </is>
      </c>
      <c r="H46" s="178">
        <f>SUM(H34:H45)</f>
      </c>
      <c r="I46" s="179" t="n"/>
      <c r="J46" s="176">
        <f>SUM(J34:J45)</f>
      </c>
      <c r="K46" s="179">
        <f>K34*(J34/J46)+K35*J35/J46+K36*J36/J46+K37*J37/J46+K38*J38/J46+K39*J39/J46+K40*J40/J46+K41*J41/J46+K42*J42/J46+K43*J43/J46+K44*J44/J46+K45*J45/J46</f>
      </c>
    </row>
    <row r="47" ht="15" customHeight="1" thickBot="1">
      <c r="A47" s="19" t="inlineStr">
        <is>
          <t>Weight in Cost of Capital</t>
        </is>
      </c>
      <c r="B47" s="122">
        <f>B46/$E$46</f>
      </c>
      <c r="C47" s="122">
        <f>C46/$E$46</f>
      </c>
      <c r="D47" s="122">
        <f>D46/$E$46</f>
      </c>
      <c r="E47" s="123">
        <f>SUM(B47:D47)</f>
      </c>
      <c r="F47" s="116" t="n"/>
    </row>
    <row r="48" ht="20" customHeight="1" thickBot="1">
      <c r="A48" s="19" t="inlineStr">
        <is>
          <t>Cost of Component</t>
        </is>
      </c>
      <c r="B48" s="124">
        <f>B10+C43*B13</f>
      </c>
      <c r="C48" s="122">
        <f>B23*(1-B24)</f>
      </c>
      <c r="D48" s="125">
        <f>B36/B35</f>
      </c>
      <c r="E48" s="126">
        <f>B47*B48+C47*C48+D47*D48</f>
      </c>
      <c r="F48" s="116" t="n"/>
      <c r="G48" s="239" t="inlineStr">
        <is>
          <t>Multi Business (Global Industry Averages)</t>
        </is>
      </c>
    </row>
    <row r="49" ht="14" customHeight="1">
      <c r="G49" s="19" t="inlineStr">
        <is>
          <t>Business</t>
        </is>
      </c>
      <c r="H49" s="19" t="inlineStr">
        <is>
          <t>Revenues</t>
        </is>
      </c>
      <c r="I49" s="19" t="inlineStr">
        <is>
          <t>EV/Sales</t>
        </is>
      </c>
      <c r="J49" s="19" t="inlineStr">
        <is>
          <t>Estimated Value</t>
        </is>
      </c>
      <c r="K49" s="19" t="inlineStr">
        <is>
          <t>Unlevered Beta</t>
        </is>
      </c>
    </row>
    <row r="50" ht="14" customHeight="1">
      <c r="G50" s="229" t="inlineStr">
        <is>
          <t>Retail (General)</t>
        </is>
      </c>
      <c r="H50" s="174">
        <f>108354+5798+31881</f>
      </c>
      <c r="I50" s="175">
        <f>IF(G50=0,,VLOOKUP(G50,'Global industry averages'!$A$2:$O$95,15))</f>
      </c>
      <c r="J50" s="176">
        <f>H50*I50</f>
      </c>
      <c r="K50" s="175">
        <f>IF(G50=0,,VLOOKUP(G50,'Global industry averages'!$A$2:$O$95,7))</f>
      </c>
    </row>
    <row r="51" ht="14" customHeight="1">
      <c r="G51" s="229" t="inlineStr">
        <is>
          <t>Entertainment</t>
        </is>
      </c>
      <c r="H51" s="174">
        <f>9721</f>
      </c>
      <c r="I51" s="175">
        <f>IF(G51=0,,VLOOKUP(G51,'Global industry averages'!$A$2:$O$95,15))</f>
      </c>
      <c r="J51" s="176">
        <f>H51*I51</f>
      </c>
      <c r="K51" s="175">
        <f>IF(G51=0,,VLOOKUP(G51,'Global industry averages'!$A$2:$O$95,7))</f>
      </c>
    </row>
    <row r="52" ht="14" customHeight="1">
      <c r="G52" s="229" t="inlineStr">
        <is>
          <t>Computer Services</t>
        </is>
      </c>
      <c r="H52" s="174" t="n">
        <v>17459</v>
      </c>
      <c r="I52" s="175">
        <f>IF(G52=0,,VLOOKUP(G52,'Global industry averages'!$A$2:$O$95,15))</f>
      </c>
      <c r="J52" s="176">
        <f>H52*I52</f>
      </c>
      <c r="K52" s="175">
        <f>IF(G52=0,,VLOOKUP(G52,'Global industry averages'!$A$2:$O$95,7))</f>
      </c>
    </row>
    <row r="53" ht="14" customHeight="1">
      <c r="G53" s="229" t="n"/>
      <c r="H53" s="174" t="n"/>
      <c r="I53" s="175">
        <f>IF(G53=0,,VLOOKUP(G53,'Global industry averages'!$A$2:$O$95,15))</f>
      </c>
      <c r="J53" s="176">
        <f>H53*I53</f>
      </c>
      <c r="K53" s="175">
        <f>IF(G53=0,,VLOOKUP(G53,'Global industry averages'!$A$2:$O$95,7))</f>
      </c>
    </row>
    <row r="54" ht="14" customHeight="1">
      <c r="G54" s="229" t="n"/>
      <c r="H54" s="174" t="n"/>
      <c r="I54" s="175">
        <f>IF(G54=0,,VLOOKUP(G54,'Global industry averages'!$A$2:$O$95,15))</f>
      </c>
      <c r="J54" s="176">
        <f>H54*I54</f>
      </c>
      <c r="K54" s="175">
        <f>IF(G54=0,,VLOOKUP(G54,'Global industry averages'!$A$2:$O$95,7))</f>
      </c>
    </row>
    <row r="55" ht="14" customHeight="1">
      <c r="G55" s="229" t="n"/>
      <c r="H55" s="174" t="n"/>
      <c r="I55" s="175">
        <f>IF(G55=0,,VLOOKUP(G55,'Global industry averages'!$A$2:$O$95,15))</f>
      </c>
      <c r="J55" s="176">
        <f>H55*I55</f>
      </c>
      <c r="K55" s="175">
        <f>IF(G55=0,,VLOOKUP(G55,'Global industry averages'!$A$2:$O$95,7))</f>
      </c>
    </row>
    <row r="56" ht="14" customHeight="1">
      <c r="G56" s="229" t="n"/>
      <c r="H56" s="174" t="n"/>
      <c r="I56" s="175">
        <f>IF(G56=0,,VLOOKUP(G56,'Global industry averages'!$A$2:$O$95,15))</f>
      </c>
      <c r="J56" s="176">
        <f>H56*I56</f>
      </c>
      <c r="K56" s="175">
        <f>IF(G56=0,,VLOOKUP(G56,'Global industry averages'!$A$2:$O$95,7))</f>
      </c>
    </row>
    <row r="57" ht="14" customHeight="1">
      <c r="G57" s="229" t="n"/>
      <c r="H57" s="174" t="n"/>
      <c r="I57" s="175">
        <f>IF(G57=0,,VLOOKUP(G57,'Global industry averages'!$A$2:$O$95,15))</f>
      </c>
      <c r="J57" s="176">
        <f>H57*I57</f>
      </c>
      <c r="K57" s="175">
        <f>IF(G57=0,,VLOOKUP(G57,'Global industry averages'!$A$2:$O$95,7))</f>
      </c>
    </row>
    <row r="58" ht="14" customHeight="1">
      <c r="G58" s="229" t="n"/>
      <c r="H58" s="174" t="n"/>
      <c r="I58" s="175">
        <f>IF(G58=0,,VLOOKUP(G58,'Global industry averages'!$A$2:$O$95,15))</f>
      </c>
      <c r="J58" s="176">
        <f>H58*I58</f>
      </c>
      <c r="K58" s="175">
        <f>IF(G58=0,,VLOOKUP(G58,'Global industry averages'!$A$2:$O$95,7))</f>
      </c>
    </row>
    <row r="59" ht="14" customHeight="1">
      <c r="G59" s="229" t="n"/>
      <c r="H59" s="174" t="n"/>
      <c r="I59" s="175">
        <f>IF(G59=0,,VLOOKUP(G59,'Global industry averages'!$A$2:$O$95,15))</f>
      </c>
      <c r="J59" s="176">
        <f>H59*I59</f>
      </c>
      <c r="K59" s="175">
        <f>IF(G59=0,,VLOOKUP(G59,'Global industry averages'!$A$2:$O$95,7))</f>
      </c>
    </row>
    <row r="60" ht="14" customHeight="1">
      <c r="G60" s="229" t="n"/>
      <c r="H60" s="174" t="n"/>
      <c r="I60" s="175">
        <f>IF(G60=0,,VLOOKUP(G60,'Global industry averages'!$A$2:$O$95,15))</f>
      </c>
      <c r="J60" s="176">
        <f>H60*I60</f>
      </c>
      <c r="K60" s="175">
        <f>IF(G60=0,,VLOOKUP(G60,'Global industry averages'!$A$2:$O$95,7))</f>
      </c>
    </row>
    <row r="61" ht="14" customHeight="1">
      <c r="G61" s="229" t="n"/>
      <c r="H61" s="174" t="n"/>
      <c r="I61" s="175">
        <f>IF(G61=0,,VLOOKUP(G61,'Global industry averages'!$A$2:$O$95,15))</f>
      </c>
      <c r="J61" s="176">
        <f>H61*I61</f>
      </c>
      <c r="K61" s="175">
        <f>IF(G61=0,,VLOOKUP(G61,'Global industry averages'!$A$2:$O$95,7))</f>
      </c>
    </row>
    <row r="62" ht="14" customHeight="1">
      <c r="G62" s="177" t="inlineStr">
        <is>
          <t>Company</t>
        </is>
      </c>
      <c r="H62" s="178">
        <f>SUM(H50:H61)</f>
      </c>
      <c r="I62" s="179" t="n"/>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53"/>
  <sheetViews>
    <sheetView workbookViewId="0">
      <selection activeCell="D10" sqref="D10"/>
    </sheetView>
  </sheetViews>
  <sheetFormatPr baseColWidth="10" defaultColWidth="11.5" defaultRowHeight="12"/>
  <sheetData>
    <row r="1" ht="19" customHeight="1">
      <c r="A1" s="6" t="inlineStr">
        <is>
          <t>Inputs for synthetic rating estimation</t>
        </is>
      </c>
    </row>
    <row r="2" ht="19" customHeight="1">
      <c r="A2" s="6" t="inlineStr">
        <is>
          <t>Please read the special cases worksheet (see below) before you use this spreadsheet.</t>
        </is>
      </c>
    </row>
    <row r="3" ht="17" customFormat="1" customHeight="1" s="129" thickBot="1">
      <c r="A3" s="128" t="inlineStr">
        <is>
          <t>Before you use this spreadsheet, make sure that the iteration box (under calculation options in excel) is checked.</t>
        </is>
      </c>
    </row>
    <row r="4" ht="15" customFormat="1" customHeight="1" s="130" thickBot="1">
      <c r="A4" s="116" t="inlineStr">
        <is>
          <t>Enter the type of firm =</t>
        </is>
      </c>
      <c r="B4" s="116" t="n"/>
      <c r="C4" s="236">
        <f>'Cost of capital worksheet'!B22</f>
      </c>
      <c r="D4" s="116" t="n"/>
      <c r="E4" s="116" t="n"/>
      <c r="F4" s="116" t="n"/>
      <c r="G4" s="116" t="n"/>
      <c r="H4" s="116" t="n"/>
      <c r="I4" s="116" t="n"/>
      <c r="J4" s="116" t="n"/>
    </row>
    <row r="5" ht="15" customFormat="1" customHeight="1" s="130" thickBot="1">
      <c r="A5" s="116" t="inlineStr">
        <is>
          <t>Enter current Earnings before interest and taxes (EBIT) =</t>
        </is>
      </c>
      <c r="B5" s="116" t="n"/>
      <c r="C5" s="116" t="n"/>
      <c r="D5" s="116" t="n"/>
      <c r="E5" s="116" t="n"/>
      <c r="F5" s="545">
        <f>IF('Input sheet'!B14="Yes",'Input sheet'!B9+'Operating lease converter'!F32,'Input sheet'!B9)</f>
      </c>
      <c r="G5" s="116" t="inlineStr">
        <is>
          <t>(Add back only long term interest expense for financial firms)</t>
        </is>
      </c>
      <c r="H5" s="116" t="n"/>
      <c r="I5" s="116" t="n"/>
      <c r="J5" s="116" t="n"/>
    </row>
    <row r="6" ht="15" customFormat="1" customHeight="1" s="130" thickBot="1">
      <c r="A6" s="116" t="inlineStr">
        <is>
          <t>Enter current interest expenses =</t>
        </is>
      </c>
      <c r="B6" s="116" t="n"/>
      <c r="C6" s="116" t="n"/>
      <c r="D6" s="116" t="n"/>
      <c r="E6" s="116" t="n"/>
      <c r="F6" s="550">
        <f>IF('Input sheet'!B14="Yes",'Cost of capital worksheet'!B17+'Operating lease converter'!C28*'Operating lease converter'!C15,'Cost of capital worksheet'!B17)</f>
      </c>
      <c r="G6" s="116" t="inlineStr">
        <is>
          <t>(Use only long term interest expense for financial firms)</t>
        </is>
      </c>
      <c r="H6" s="116" t="n"/>
      <c r="I6" s="116" t="n"/>
      <c r="J6" s="116" t="n"/>
    </row>
    <row r="7" ht="15" customFormat="1" customHeight="1" s="130" thickBot="1">
      <c r="A7" s="116" t="inlineStr">
        <is>
          <t>Enter long term risk free rate  =</t>
        </is>
      </c>
      <c r="B7" s="116" t="n"/>
      <c r="C7" s="116" t="n"/>
      <c r="D7" s="116" t="n"/>
      <c r="E7" s="116" t="n"/>
      <c r="F7" s="138">
        <f>'Input sheet'!B28</f>
      </c>
      <c r="G7" s="116" t="n"/>
      <c r="H7" s="116" t="n"/>
      <c r="I7" s="116" t="n"/>
      <c r="J7" s="116" t="n"/>
    </row>
    <row r="8" ht="15" customFormat="1" customHeight="1" s="130" thickBot="1">
      <c r="A8" s="112" t="inlineStr">
        <is>
          <t>Output</t>
        </is>
      </c>
      <c r="B8" s="116" t="n"/>
      <c r="C8" s="116" t="n"/>
      <c r="D8" s="116" t="n"/>
      <c r="E8" s="116" t="n"/>
      <c r="F8" s="116" t="n"/>
      <c r="G8" s="116" t="n"/>
      <c r="H8" s="116" t="n"/>
      <c r="I8" s="116" t="n"/>
      <c r="J8" s="116" t="n"/>
    </row>
    <row r="9" ht="15" customFormat="1" customHeight="1" s="130" thickBot="1">
      <c r="A9" s="116" t="inlineStr">
        <is>
          <t>Interest  coverage ratio =</t>
        </is>
      </c>
      <c r="B9" s="116" t="n"/>
      <c r="C9" s="116" t="n"/>
      <c r="D9" s="139">
        <f>IF(F6=0,1000000,IF(F5&lt;0,-100000,F5/F6))</f>
      </c>
      <c r="E9" s="116" t="n"/>
      <c r="F9" s="116" t="n"/>
      <c r="G9" s="116" t="n"/>
      <c r="H9" s="116" t="n"/>
      <c r="I9" s="116" t="n"/>
      <c r="J9" s="116" t="n"/>
    </row>
    <row r="10" ht="15" customFormat="1" customHeight="1" s="130" thickBot="1">
      <c r="A10" s="116" t="inlineStr">
        <is>
          <t>Estimated Bond Rating =</t>
        </is>
      </c>
      <c r="D10" s="140">
        <f>IF(C4=1,VLOOKUP(D9,A19:D33,3),(IF(C4=2,VLOOKUP(D9,A38:D52,3),VLOOKUP(D9,F19:I33,3))))</f>
      </c>
      <c r="F10" s="16" t="inlineStr">
        <is>
          <t>Note: If you get REF! All over the place, set the operating lease commitment question in cell F5</t>
        </is>
      </c>
    </row>
    <row r="11" ht="15" customFormat="1" customHeight="1" s="130" thickBot="1">
      <c r="A11" s="116" t="inlineStr">
        <is>
          <t>Estimated Company Default Spread =</t>
        </is>
      </c>
      <c r="D11" s="141">
        <f>IF(C4=1,VLOOKUP(D9,A19:D33,4),(IF(C4=2,VLOOKUP(D9,A38:D52,4),VLOOKUP(D9,F19:I33,4))))</f>
      </c>
      <c r="F11" s="16" t="inlineStr">
        <is>
          <t>to No, and then reset it to Yes. It should work.</t>
        </is>
      </c>
    </row>
    <row r="12" ht="15" customFormat="1" customHeight="1" s="130" thickBot="1">
      <c r="A12" s="116" t="inlineStr">
        <is>
          <t>Estimated County Default Spread (if any) =</t>
        </is>
      </c>
      <c r="D12" s="141">
        <f>VLOOKUP('Input sheet'!B5,'Country equity risk premiums'!A2:C187,3)</f>
      </c>
      <c r="F12" s="16" t="n"/>
    </row>
    <row r="13" ht="15" customFormat="1" customHeight="1" s="116" thickBot="1">
      <c r="A13" s="116" t="inlineStr">
        <is>
          <t>Estimated Cost of Debt =</t>
        </is>
      </c>
      <c r="D13" s="142">
        <f>F7+D11+D12</f>
      </c>
    </row>
    <row r="14" ht="14" customFormat="1" customHeight="1" s="116">
      <c r="D14" s="132" t="n"/>
    </row>
    <row r="15" ht="14" customFormat="1" customHeight="1" s="15">
      <c r="A15" s="15" t="inlineStr">
        <is>
          <t xml:space="preserve"> If you want to update the spreads listed below, please visit http://www.bondsonline.com</t>
        </is>
      </c>
      <c r="D15" s="133" t="n"/>
    </row>
    <row r="16" ht="14" customFormat="1" customHeight="1" s="130">
      <c r="A16" s="112" t="inlineStr">
        <is>
          <t>For large manufacturing firms</t>
        </is>
      </c>
    </row>
    <row r="17" ht="14" customFormat="1" customHeight="1" s="130">
      <c r="A17" s="134" t="inlineStr">
        <is>
          <t>If interest coverage ratio is</t>
        </is>
      </c>
      <c r="B17" s="134" t="n"/>
      <c r="C17" s="135" t="n"/>
      <c r="D17" s="135" t="n"/>
      <c r="J17" s="116" t="n"/>
    </row>
    <row r="18" ht="14" customFormat="1" customHeight="1" s="130">
      <c r="A18" s="118" t="inlineStr">
        <is>
          <t>&gt;</t>
        </is>
      </c>
      <c r="B18" s="118" t="inlineStr">
        <is>
          <t>≤ to</t>
        </is>
      </c>
      <c r="C18" s="118" t="inlineStr">
        <is>
          <t>Rating is</t>
        </is>
      </c>
      <c r="D18" s="118" t="inlineStr">
        <is>
          <t>Spread is</t>
        </is>
      </c>
    </row>
    <row r="19" ht="14" customFormat="1" customHeight="1" s="130">
      <c r="A19" s="30" t="n">
        <v>-100000</v>
      </c>
      <c r="B19" s="30" t="n">
        <v>0.199999</v>
      </c>
      <c r="C19" s="234" t="inlineStr">
        <is>
          <t>D2/D</t>
        </is>
      </c>
      <c r="D19" s="325" t="n">
        <v>0.186</v>
      </c>
    </row>
    <row r="20" ht="14" customFormat="1" customHeight="1" s="130">
      <c r="A20" s="30" t="n">
        <v>0.2</v>
      </c>
      <c r="B20" s="30" t="n">
        <v>0.649999</v>
      </c>
      <c r="C20" s="234" t="inlineStr">
        <is>
          <t>Caa/CCC</t>
        </is>
      </c>
      <c r="D20" s="325" t="n">
        <v>0.1395</v>
      </c>
    </row>
    <row r="21" ht="14" customFormat="1" customHeight="1" s="130">
      <c r="A21" s="30" t="n">
        <v>0.65</v>
      </c>
      <c r="B21" s="30" t="n">
        <v>0.799999</v>
      </c>
      <c r="C21" s="234" t="inlineStr">
        <is>
          <t>Ca2/CC</t>
        </is>
      </c>
      <c r="D21" s="325" t="n">
        <v>0.1063</v>
      </c>
    </row>
    <row r="22" ht="14" customFormat="1" customHeight="1" s="130">
      <c r="A22" s="30" t="n">
        <v>0.8</v>
      </c>
      <c r="B22" s="30" t="n">
        <v>1.249999</v>
      </c>
      <c r="C22" s="234" t="inlineStr">
        <is>
          <t>C2/C</t>
        </is>
      </c>
      <c r="D22" s="325" t="n">
        <v>0.0864</v>
      </c>
    </row>
    <row r="23" ht="14" customFormat="1" customHeight="1" s="130">
      <c r="A23" s="30" t="n">
        <v>1.25</v>
      </c>
      <c r="B23" s="30" t="n">
        <v>1.499999</v>
      </c>
      <c r="C23" s="234" t="inlineStr">
        <is>
          <t>B3/B-</t>
        </is>
      </c>
      <c r="D23" s="325" t="n">
        <v>0.0437</v>
      </c>
    </row>
    <row r="24" ht="14" customFormat="1" customHeight="1" s="130">
      <c r="A24" s="30" t="n">
        <v>1.5</v>
      </c>
      <c r="B24" s="30" t="n">
        <v>1.749999</v>
      </c>
      <c r="C24" s="234" t="inlineStr">
        <is>
          <t>B2/B</t>
        </is>
      </c>
      <c r="D24" s="325" t="n">
        <v>0.0357</v>
      </c>
    </row>
    <row r="25" ht="14" customFormat="1" customHeight="1" s="130">
      <c r="A25" s="30" t="n">
        <v>1.75</v>
      </c>
      <c r="B25" s="30" t="n">
        <v>1.999999</v>
      </c>
      <c r="C25" s="234" t="inlineStr">
        <is>
          <t>B1/B+</t>
        </is>
      </c>
      <c r="D25" s="325" t="n">
        <v>0.0298</v>
      </c>
    </row>
    <row r="26" ht="14" customFormat="1" customHeight="1" s="130">
      <c r="A26" s="30" t="n">
        <v>2</v>
      </c>
      <c r="B26" s="30" t="n">
        <v>2.2499999</v>
      </c>
      <c r="C26" s="234" t="inlineStr">
        <is>
          <t>Ba2/BB</t>
        </is>
      </c>
      <c r="D26" s="325" t="n">
        <v>0.0238</v>
      </c>
    </row>
    <row r="27" ht="14" customFormat="1" customHeight="1" s="130">
      <c r="A27" s="30" t="n">
        <v>2.25</v>
      </c>
      <c r="B27" s="30" t="n">
        <v>2.49999</v>
      </c>
      <c r="C27" s="234" t="inlineStr">
        <is>
          <t>Ba1/BB+</t>
        </is>
      </c>
      <c r="D27" s="325" t="n">
        <v>0.0198</v>
      </c>
    </row>
    <row r="28" ht="14" customFormat="1" customHeight="1" s="130">
      <c r="A28" s="30" t="n">
        <v>2.5</v>
      </c>
      <c r="B28" s="30" t="n">
        <v>2.999999</v>
      </c>
      <c r="C28" s="234" t="inlineStr">
        <is>
          <t>Baa2/BBB</t>
        </is>
      </c>
      <c r="D28" s="325" t="n">
        <v>0.0127</v>
      </c>
    </row>
    <row r="29" ht="14" customFormat="1" customHeight="1" s="130">
      <c r="A29" s="30" t="n">
        <v>3</v>
      </c>
      <c r="B29" s="30" t="n">
        <v>4.249999</v>
      </c>
      <c r="C29" s="234" t="inlineStr">
        <is>
          <t>A3/A-</t>
        </is>
      </c>
      <c r="D29" s="325" t="n">
        <v>0.0113</v>
      </c>
    </row>
    <row r="30" ht="14" customFormat="1" customHeight="1" s="130">
      <c r="A30" s="30" t="n">
        <v>4.25</v>
      </c>
      <c r="B30" s="30" t="n">
        <v>5.499999</v>
      </c>
      <c r="C30" s="234" t="inlineStr">
        <is>
          <t>A2/A</t>
        </is>
      </c>
      <c r="D30" s="325" t="n">
        <v>0.009900000000000001</v>
      </c>
    </row>
    <row r="31" ht="14" customFormat="1" customHeight="1" s="130">
      <c r="A31" s="30" t="n">
        <v>5.5</v>
      </c>
      <c r="B31" s="30" t="n">
        <v>6.499999</v>
      </c>
      <c r="C31" s="234" t="inlineStr">
        <is>
          <t>A1/A+</t>
        </is>
      </c>
      <c r="D31" s="325" t="n">
        <v>0.008999999999999999</v>
      </c>
    </row>
    <row r="32" ht="14" customFormat="1" customHeight="1" s="130">
      <c r="A32" s="30" t="n">
        <v>6.5</v>
      </c>
      <c r="B32" s="30" t="n">
        <v>8.499999000000001</v>
      </c>
      <c r="C32" s="234" t="inlineStr">
        <is>
          <t>Aa2/AA</t>
        </is>
      </c>
      <c r="D32" s="325" t="n">
        <v>0.0072</v>
      </c>
    </row>
    <row r="33" ht="14" customFormat="1" customHeight="1" s="130">
      <c r="A33" s="136" t="n">
        <v>8.5</v>
      </c>
      <c r="B33" s="30" t="n">
        <v>100000</v>
      </c>
      <c r="C33" s="234" t="inlineStr">
        <is>
          <t>Aaa/AAA</t>
        </is>
      </c>
      <c r="D33" s="255" t="n">
        <v>0.0054</v>
      </c>
    </row>
    <row r="34" ht="14" customFormat="1" customHeight="1" s="130"/>
    <row r="35" ht="14" customFormat="1" customHeight="1" s="130">
      <c r="A35" s="112" t="inlineStr">
        <is>
          <t>For smaller and riskier firms</t>
        </is>
      </c>
    </row>
    <row r="36" ht="14" customFormat="1" customHeight="1" s="130">
      <c r="A36" s="134" t="inlineStr">
        <is>
          <t>If interest coverage ratio is</t>
        </is>
      </c>
      <c r="B36" s="137" t="n"/>
      <c r="C36" s="30" t="n"/>
      <c r="D36" s="30" t="n"/>
    </row>
    <row r="37" ht="14" customFormat="1" customHeight="1" s="130">
      <c r="A37" s="30" t="inlineStr">
        <is>
          <t>greater than</t>
        </is>
      </c>
      <c r="B37" s="30" t="inlineStr">
        <is>
          <t>≤ to</t>
        </is>
      </c>
      <c r="C37" s="30" t="inlineStr">
        <is>
          <t>Rating is</t>
        </is>
      </c>
      <c r="D37" s="30" t="inlineStr">
        <is>
          <t>Spread is</t>
        </is>
      </c>
    </row>
    <row r="38" ht="14" customFormat="1" customHeight="1" s="130">
      <c r="A38" s="30" t="n">
        <v>-100000</v>
      </c>
      <c r="B38" s="30" t="n">
        <v>0.499999</v>
      </c>
      <c r="C38" s="234" t="inlineStr">
        <is>
          <t>D2/D</t>
        </is>
      </c>
      <c r="D38" s="325" t="n">
        <v>0.186</v>
      </c>
      <c r="G38" t="inlineStr">
        <is>
          <t>Rating is</t>
        </is>
      </c>
      <c r="H38" t="inlineStr">
        <is>
          <t>Spread is</t>
        </is>
      </c>
    </row>
    <row r="39" ht="14" customFormat="1" customHeight="1" s="130">
      <c r="A39" s="30" t="n">
        <v>0.5</v>
      </c>
      <c r="B39" s="30" t="n">
        <v>0.799999</v>
      </c>
      <c r="C39" s="234" t="inlineStr">
        <is>
          <t>Caa/CCC</t>
        </is>
      </c>
      <c r="D39" s="325" t="n">
        <v>0.1395</v>
      </c>
      <c r="G39" t="inlineStr">
        <is>
          <t>A1/A+</t>
        </is>
      </c>
      <c r="H39" s="326" t="n">
        <v>0.01</v>
      </c>
    </row>
    <row r="40" ht="14" customFormat="1" customHeight="1" s="130">
      <c r="A40" s="30" t="n">
        <v>0.8</v>
      </c>
      <c r="B40" s="30" t="n">
        <v>1.249999</v>
      </c>
      <c r="C40" s="234" t="inlineStr">
        <is>
          <t>Ca2/CC</t>
        </is>
      </c>
      <c r="D40" s="325" t="n">
        <v>0.1063</v>
      </c>
      <c r="G40" t="inlineStr">
        <is>
          <t>A2/A</t>
        </is>
      </c>
      <c r="H40" s="326" t="n">
        <v>0.011</v>
      </c>
    </row>
    <row r="41" ht="14" customFormat="1" customHeight="1" s="130">
      <c r="A41" s="30" t="n">
        <v>1.25</v>
      </c>
      <c r="B41" s="30" t="n">
        <v>1.499999</v>
      </c>
      <c r="C41" s="234" t="inlineStr">
        <is>
          <t>C2/C</t>
        </is>
      </c>
      <c r="D41" s="325" t="n">
        <v>0.0864</v>
      </c>
      <c r="G41" t="inlineStr">
        <is>
          <t>A3/A-</t>
        </is>
      </c>
      <c r="H41" s="326" t="n">
        <v>0.0125</v>
      </c>
    </row>
    <row r="42" ht="14" customFormat="1" customHeight="1" s="130">
      <c r="A42" s="30" t="n">
        <v>1.5</v>
      </c>
      <c r="B42" s="30" t="n">
        <v>1.999999</v>
      </c>
      <c r="C42" s="234" t="inlineStr">
        <is>
          <t>B3/B-</t>
        </is>
      </c>
      <c r="D42" s="325" t="n">
        <v>0.0437</v>
      </c>
      <c r="G42" t="inlineStr">
        <is>
          <t>Aa2/AA</t>
        </is>
      </c>
      <c r="H42" s="326" t="n">
        <v>0.008</v>
      </c>
    </row>
    <row r="43" ht="14" customFormat="1" customHeight="1" s="130">
      <c r="A43" s="30" t="n">
        <v>2</v>
      </c>
      <c r="B43" s="30" t="n">
        <v>2.499999</v>
      </c>
      <c r="C43" s="234" t="inlineStr">
        <is>
          <t>B2/B</t>
        </is>
      </c>
      <c r="D43" s="325" t="n">
        <v>0.0357</v>
      </c>
      <c r="G43" t="inlineStr">
        <is>
          <t>Aaa/AAA</t>
        </is>
      </c>
      <c r="H43" s="326" t="n">
        <v>0.006</v>
      </c>
    </row>
    <row r="44" ht="14" customFormat="1" customHeight="1" s="130">
      <c r="A44" s="30" t="n">
        <v>2.5</v>
      </c>
      <c r="B44" s="30" t="n">
        <v>2.999999</v>
      </c>
      <c r="C44" s="234" t="inlineStr">
        <is>
          <t>B1/B+</t>
        </is>
      </c>
      <c r="D44" s="325" t="n">
        <v>0.0298</v>
      </c>
      <c r="G44" t="inlineStr">
        <is>
          <t>B1/B+</t>
        </is>
      </c>
      <c r="H44" s="326" t="n">
        <v>0.0375</v>
      </c>
    </row>
    <row r="45" ht="14" customFormat="1" customHeight="1" s="130">
      <c r="A45" s="30" t="n">
        <v>3</v>
      </c>
      <c r="B45" s="30" t="n">
        <v>3.499999</v>
      </c>
      <c r="C45" s="234" t="inlineStr">
        <is>
          <t>Ba2/BB</t>
        </is>
      </c>
      <c r="D45" s="325" t="n">
        <v>0.0238</v>
      </c>
      <c r="G45" t="inlineStr">
        <is>
          <t>B2/B</t>
        </is>
      </c>
      <c r="H45" s="326" t="n">
        <v>0.045</v>
      </c>
    </row>
    <row r="46" ht="14" customFormat="1" customHeight="1" s="130">
      <c r="A46" s="30" t="n">
        <v>3.5</v>
      </c>
      <c r="B46" s="30" t="n">
        <v>3.9999999</v>
      </c>
      <c r="C46" s="234" t="inlineStr">
        <is>
          <t>Ba1/BB+</t>
        </is>
      </c>
      <c r="D46" s="325" t="n">
        <v>0.0198</v>
      </c>
      <c r="G46" t="inlineStr">
        <is>
          <t>B3/B-</t>
        </is>
      </c>
      <c r="H46" s="326" t="n">
        <v>0.055</v>
      </c>
    </row>
    <row r="47" ht="14" customFormat="1" customHeight="1" s="130">
      <c r="A47" s="30" t="n">
        <v>4</v>
      </c>
      <c r="B47" s="30" t="n">
        <v>4.499999</v>
      </c>
      <c r="C47" s="234" t="inlineStr">
        <is>
          <t>Baa2/BBB</t>
        </is>
      </c>
      <c r="D47" s="325" t="n">
        <v>0.0127</v>
      </c>
      <c r="G47" t="inlineStr">
        <is>
          <t>Ba1/BB+</t>
        </is>
      </c>
      <c r="H47" s="326" t="n">
        <v>0.025</v>
      </c>
    </row>
    <row r="48" ht="14" customFormat="1" customHeight="1" s="130">
      <c r="A48" s="30" t="n">
        <v>4.5</v>
      </c>
      <c r="B48" s="30" t="n">
        <v>5.999999</v>
      </c>
      <c r="C48" s="234" t="inlineStr">
        <is>
          <t>A3/A-</t>
        </is>
      </c>
      <c r="D48" s="325" t="n">
        <v>0.0113</v>
      </c>
      <c r="G48" t="inlineStr">
        <is>
          <t>Ba2/BB</t>
        </is>
      </c>
      <c r="H48" s="326" t="n">
        <v>0.03</v>
      </c>
    </row>
    <row r="49" ht="14" customFormat="1" customHeight="1" s="130">
      <c r="A49" s="30" t="n">
        <v>6</v>
      </c>
      <c r="B49" s="30" t="n">
        <v>7.499999</v>
      </c>
      <c r="C49" s="234" t="inlineStr">
        <is>
          <t>A2/A</t>
        </is>
      </c>
      <c r="D49" s="325" t="n">
        <v>0.009900000000000001</v>
      </c>
      <c r="G49" t="inlineStr">
        <is>
          <t>Baa2/BBB</t>
        </is>
      </c>
      <c r="H49" s="326" t="n">
        <v>0.016</v>
      </c>
    </row>
    <row r="50" ht="14" customFormat="1" customHeight="1" s="130">
      <c r="A50" s="30" t="n">
        <v>7.5</v>
      </c>
      <c r="B50" s="30" t="n">
        <v>9.499999000000001</v>
      </c>
      <c r="C50" s="234" t="inlineStr">
        <is>
          <t>A1/A+</t>
        </is>
      </c>
      <c r="D50" s="325" t="n">
        <v>0.008999999999999999</v>
      </c>
      <c r="G50" t="inlineStr">
        <is>
          <t>C2/C</t>
        </is>
      </c>
      <c r="H50" s="326" t="n">
        <v>0.105</v>
      </c>
    </row>
    <row r="51" ht="14" customHeight="1">
      <c r="A51" s="30" t="n">
        <v>9.5</v>
      </c>
      <c r="B51" s="30" t="n">
        <v>12.499999</v>
      </c>
      <c r="C51" s="234" t="inlineStr">
        <is>
          <t>Aa2/AA</t>
        </is>
      </c>
      <c r="D51" s="325" t="n">
        <v>0.0072</v>
      </c>
      <c r="F51" s="130" t="n"/>
      <c r="G51" t="inlineStr">
        <is>
          <t>Ca2/CC</t>
        </is>
      </c>
      <c r="H51" s="326" t="n">
        <v>0.08</v>
      </c>
      <c r="I51" s="130" t="n"/>
      <c r="J51" s="130" t="n"/>
    </row>
    <row r="52" ht="14" customHeight="1">
      <c r="A52" s="30" t="n">
        <v>12.5</v>
      </c>
      <c r="B52" s="30" t="n">
        <v>100000</v>
      </c>
      <c r="C52" s="234" t="inlineStr">
        <is>
          <t>Aaa/AAA</t>
        </is>
      </c>
      <c r="D52" s="255" t="n">
        <v>0.0054</v>
      </c>
      <c r="G52" t="inlineStr">
        <is>
          <t>Caa/CCC</t>
        </is>
      </c>
      <c r="H52" s="326" t="n">
        <v>0.065</v>
      </c>
    </row>
    <row r="53">
      <c r="G53" t="inlineStr">
        <is>
          <t>D2/D</t>
        </is>
      </c>
      <c r="H53" s="326" t="n">
        <v>0.14</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Z95"/>
  <sheetViews>
    <sheetView workbookViewId="0">
      <pane xSplit="1" ySplit="1" topLeftCell="B2" activePane="bottomRight" state="frozen"/>
      <selection pane="topRight" activeCell="B1" sqref="B1"/>
      <selection pane="bottomLeft" activeCell="A2" sqref="A2"/>
      <selection pane="bottomRight" activeCell="A1" sqref="A1:IV95"/>
    </sheetView>
  </sheetViews>
  <sheetFormatPr baseColWidth="10" defaultColWidth="11.5" defaultRowHeight="12"/>
  <cols>
    <col width="29.1640625" bestFit="1" customWidth="1" min="1" max="1"/>
    <col width="10.83203125" customWidth="1" min="2" max="23"/>
  </cols>
  <sheetData>
    <row r="1" ht="78" customFormat="1" customHeight="1" s="384">
      <c r="A1" s="381" t="inlineStr">
        <is>
          <t>Industry Name</t>
        </is>
      </c>
      <c r="B1" s="381" t="inlineStr">
        <is>
          <t>Number of firms</t>
        </is>
      </c>
      <c r="C1" s="382" t="inlineStr">
        <is>
          <t>Annual Average Revenue growth - Last 5 years</t>
        </is>
      </c>
      <c r="D1" s="381" t="inlineStr">
        <is>
          <t>Pre-tax Operating Margin (Lease &amp; R&amp;D adjusted)</t>
        </is>
      </c>
      <c r="E1" s="382" t="inlineStr">
        <is>
          <t>After-tax ROC</t>
        </is>
      </c>
      <c r="F1" s="381" t="inlineStr">
        <is>
          <t>Average effective tax rate</t>
        </is>
      </c>
      <c r="G1" s="381" t="inlineStr">
        <is>
          <t>Unlevered Beta</t>
        </is>
      </c>
      <c r="H1" s="381" t="inlineStr">
        <is>
          <t>Equity (Levered) Beta</t>
        </is>
      </c>
      <c r="I1" s="381" t="inlineStr">
        <is>
          <t>Cost of equity</t>
        </is>
      </c>
      <c r="J1" s="381" t="inlineStr">
        <is>
          <t>Std deviation in stock prices</t>
        </is>
      </c>
      <c r="K1" s="381" t="inlineStr">
        <is>
          <t>Pre-tax cost of debt</t>
        </is>
      </c>
      <c r="L1" s="381" t="inlineStr">
        <is>
          <t>Market Debt/Capital</t>
        </is>
      </c>
      <c r="M1" s="381" t="inlineStr">
        <is>
          <t>Cost of capital</t>
        </is>
      </c>
      <c r="N1" s="383" t="inlineStr">
        <is>
          <t>Sales/Capital</t>
        </is>
      </c>
      <c r="O1" s="381" t="inlineStr">
        <is>
          <t>EV/Sales</t>
        </is>
      </c>
      <c r="P1" s="381" t="inlineStr">
        <is>
          <t>EV/EBITDA</t>
        </is>
      </c>
      <c r="Q1" s="381" t="inlineStr">
        <is>
          <t>EV/EBIT</t>
        </is>
      </c>
      <c r="R1" s="381" t="inlineStr">
        <is>
          <t>Price/Book</t>
        </is>
      </c>
      <c r="S1" s="381" t="inlineStr">
        <is>
          <t>Trailing PE</t>
        </is>
      </c>
      <c r="T1" s="381" t="inlineStr">
        <is>
          <t>Non-cash WC as % of Revenues</t>
        </is>
      </c>
      <c r="U1" s="381" t="inlineStr">
        <is>
          <t>Cap Ex as % of Revenues</t>
        </is>
      </c>
      <c r="V1" s="381" t="inlineStr">
        <is>
          <t>Net Cap Ex as % of Revenues</t>
        </is>
      </c>
      <c r="W1" s="381" t="inlineStr">
        <is>
          <t>Reinvestment Rate</t>
        </is>
      </c>
      <c r="X1" s="381" t="inlineStr">
        <is>
          <t>ROE</t>
        </is>
      </c>
      <c r="Y1" s="381" t="inlineStr">
        <is>
          <t>Dividend Payout Ratio</t>
        </is>
      </c>
      <c r="Z1" s="381" t="inlineStr">
        <is>
          <t>Equity Reinvestment Rate</t>
        </is>
      </c>
    </row>
    <row r="2">
      <c r="A2" t="inlineStr">
        <is>
          <t>Advertising</t>
        </is>
      </c>
      <c r="B2" t="n">
        <v>40</v>
      </c>
      <c r="C2" s="326" t="n">
        <v>0.1176635294117647</v>
      </c>
      <c r="D2" s="326" t="n">
        <v>0.1240851498458051</v>
      </c>
      <c r="E2" s="326" t="n">
        <v>0.7756505118287118</v>
      </c>
      <c r="F2" s="326" t="n">
        <v>0.3039251417577108</v>
      </c>
      <c r="G2" s="380" t="n">
        <v>0.7842789705942915</v>
      </c>
      <c r="H2" s="380" t="n">
        <v>1.153556129032258</v>
      </c>
      <c r="I2" s="326" t="n">
        <v>0.08270065135483871</v>
      </c>
      <c r="J2" s="326" t="n">
        <v>0.8095093222945416</v>
      </c>
      <c r="K2" s="326" t="n">
        <v>0.06909999999999999</v>
      </c>
      <c r="L2" s="326" t="n">
        <v>0.4248614483609748</v>
      </c>
      <c r="M2" s="326" t="n">
        <v>0.06987635666195088</v>
      </c>
      <c r="N2" s="380" t="n">
        <v>6.67650685331492</v>
      </c>
      <c r="O2" s="380" t="n">
        <v>1.663869660001539</v>
      </c>
      <c r="P2" s="380" t="n">
        <v>8.350537265221732</v>
      </c>
      <c r="Q2" s="380" t="n">
        <v>13.14947608479733</v>
      </c>
      <c r="R2" s="380" t="n">
        <v>9.158762347052583</v>
      </c>
      <c r="S2" s="380" t="n">
        <v>57.18066098477416</v>
      </c>
      <c r="T2" s="326" t="n">
        <v>-0.01653885552702343</v>
      </c>
      <c r="U2" s="326" t="n">
        <v>0.02322901493913142</v>
      </c>
      <c r="V2" s="326" t="n">
        <v>-0.002633273358972126</v>
      </c>
      <c r="W2" s="326" t="n">
        <v>0.2151905642261993</v>
      </c>
      <c r="X2" s="326" t="n">
        <v>-0.008798645204105827</v>
      </c>
      <c r="Y2" s="326" t="n">
        <v>0.5284590433054126</v>
      </c>
      <c r="Z2" s="326" t="n">
        <v>0.5284590433054126</v>
      </c>
    </row>
    <row r="3">
      <c r="A3" t="inlineStr">
        <is>
          <t>Aerospace/Defense</t>
        </is>
      </c>
      <c r="B3" t="n">
        <v>87</v>
      </c>
      <c r="C3" s="326" t="n">
        <v>0.03353708333333333</v>
      </c>
      <c r="D3" s="326" t="n">
        <v>0.1162611754338747</v>
      </c>
      <c r="E3" s="326" t="n">
        <v>0.3705112427670117</v>
      </c>
      <c r="F3" s="326" t="n">
        <v>0.2915038244064727</v>
      </c>
      <c r="G3" s="380" t="n">
        <v>0.9923323212910212</v>
      </c>
      <c r="H3" s="380" t="n">
        <v>1.082606</v>
      </c>
      <c r="I3" s="326" t="n">
        <v>0.0790963848</v>
      </c>
      <c r="J3" s="326" t="n">
        <v>0.49061635030186</v>
      </c>
      <c r="K3" s="326" t="n">
        <v>0.0391</v>
      </c>
      <c r="L3" s="326" t="n">
        <v>0.1558359476159339</v>
      </c>
      <c r="M3" s="326" t="n">
        <v>0.07140114574105255</v>
      </c>
      <c r="N3" s="380" t="n">
        <v>3.612352243435179</v>
      </c>
      <c r="O3" s="380" t="n">
        <v>2.088553190360602</v>
      </c>
      <c r="P3" s="380" t="n">
        <v>13.9622570022055</v>
      </c>
      <c r="Q3" s="380" t="n">
        <v>17.67482948718596</v>
      </c>
      <c r="R3" s="380" t="n">
        <v>6.426314599241297</v>
      </c>
      <c r="S3" s="380" t="n">
        <v>29.34197101413082</v>
      </c>
      <c r="T3" s="326" t="n">
        <v>0.2771040358848225</v>
      </c>
      <c r="U3" s="326" t="n">
        <v>0.02712493339136551</v>
      </c>
      <c r="V3" s="326" t="n">
        <v>0.02082722757728436</v>
      </c>
      <c r="W3" s="326" t="n">
        <v>0.4016893032005001</v>
      </c>
      <c r="X3" s="326" t="n">
        <v>0.2902858510980881</v>
      </c>
      <c r="Y3" s="326" t="n">
        <v>0.3951682299187489</v>
      </c>
      <c r="Z3" s="326" t="n">
        <v>0.3951682299187489</v>
      </c>
    </row>
    <row r="4">
      <c r="A4" t="inlineStr">
        <is>
          <t>Air Transport</t>
        </is>
      </c>
      <c r="B4" t="n">
        <v>17</v>
      </c>
      <c r="C4" s="326" t="n">
        <v>0.0619875</v>
      </c>
      <c r="D4" s="326" t="n">
        <v>0.128403311780767</v>
      </c>
      <c r="E4" s="326" t="n">
        <v>0.1350106506991871</v>
      </c>
      <c r="F4" s="326" t="n">
        <v>0.3714994456201865</v>
      </c>
      <c r="G4" s="380" t="n">
        <v>0.6732804223588614</v>
      </c>
      <c r="H4" s="380" t="n">
        <v>1.0088835</v>
      </c>
      <c r="I4" s="326" t="n">
        <v>0.0753512818</v>
      </c>
      <c r="J4" s="326" t="n">
        <v>0.4020079332774941</v>
      </c>
      <c r="K4" s="326" t="n">
        <v>0.0391</v>
      </c>
      <c r="L4" s="326" t="n">
        <v>0.4152014630414382</v>
      </c>
      <c r="M4" s="326" t="n">
        <v>0.05640344603033168</v>
      </c>
      <c r="N4" s="380" t="n">
        <v>1.393910522053803</v>
      </c>
      <c r="O4" s="380" t="n">
        <v>1.558020808257711</v>
      </c>
      <c r="P4" s="380" t="n">
        <v>6.564638597192633</v>
      </c>
      <c r="Q4" s="380" t="n">
        <v>12.13567065197127</v>
      </c>
      <c r="R4" s="380" t="n">
        <v>3.061841323472772</v>
      </c>
      <c r="S4" s="380" t="n">
        <v>14.10119801077288</v>
      </c>
      <c r="T4" s="326" t="n">
        <v>0.01186860478480185</v>
      </c>
      <c r="U4" s="326" t="n">
        <v>0.125579753617424</v>
      </c>
      <c r="V4" s="326" t="n">
        <v>0.08566833966448985</v>
      </c>
      <c r="W4" s="326" t="n">
        <v>1.016724380174523</v>
      </c>
      <c r="X4" s="326" t="n">
        <v>0.2478168210330705</v>
      </c>
      <c r="Y4" s="326" t="n">
        <v>0.1527474287872908</v>
      </c>
      <c r="Z4" s="326" t="n">
        <v>0.1527474287872908</v>
      </c>
    </row>
    <row r="5">
      <c r="A5" t="inlineStr">
        <is>
          <t>Apparel</t>
        </is>
      </c>
      <c r="B5" t="n">
        <v>51</v>
      </c>
      <c r="C5" s="326" t="n">
        <v>0.2066573333333333</v>
      </c>
      <c r="D5" s="326" t="n">
        <v>0.109755831913041</v>
      </c>
      <c r="E5" s="326" t="n">
        <v>0.1418098164130926</v>
      </c>
      <c r="F5" s="326" t="n">
        <v>0.1858458853465174</v>
      </c>
      <c r="G5" s="380" t="n">
        <v>0.8509572703612303</v>
      </c>
      <c r="H5" s="380" t="n">
        <v>1.016773688888889</v>
      </c>
      <c r="I5" s="326" t="n">
        <v>0.07575210339555556</v>
      </c>
      <c r="J5" s="326" t="n">
        <v>0.5971082438546478</v>
      </c>
      <c r="K5" s="326" t="n">
        <v>0.0391</v>
      </c>
      <c r="L5" s="326" t="n">
        <v>0.254759456525287</v>
      </c>
      <c r="M5" s="326" t="n">
        <v>0.0640239707139619</v>
      </c>
      <c r="N5" s="380" t="n">
        <v>1.440743450051931</v>
      </c>
      <c r="O5" s="380" t="n">
        <v>1.988282207787617</v>
      </c>
      <c r="P5" s="380" t="n">
        <v>10.97331271637315</v>
      </c>
      <c r="Q5" s="380" t="n">
        <v>17.9035333545199</v>
      </c>
      <c r="R5" s="380" t="n">
        <v>3.581411809748738</v>
      </c>
      <c r="S5" s="380" t="n">
        <v>34.87599585704809</v>
      </c>
      <c r="T5" s="326" t="n">
        <v>0.2575636976460464</v>
      </c>
      <c r="U5" s="326" t="n">
        <v>0.02704389752359976</v>
      </c>
      <c r="V5" s="326" t="n">
        <v>0.0593985719771928</v>
      </c>
      <c r="W5" s="326" t="n">
        <v>0.6179336102718715</v>
      </c>
      <c r="X5" s="326" t="n">
        <v>0.07623416136444561</v>
      </c>
      <c r="Y5" s="326" t="n">
        <v>0.7753249906584722</v>
      </c>
      <c r="Z5" s="326" t="n">
        <v>0.7753249906584722</v>
      </c>
    </row>
    <row r="6">
      <c r="A6" t="inlineStr">
        <is>
          <t>Auto &amp; Truck</t>
        </is>
      </c>
      <c r="B6" t="n">
        <v>18</v>
      </c>
      <c r="C6" s="326" t="n">
        <v>0.2260542857142857</v>
      </c>
      <c r="D6" s="326" t="n">
        <v>0.04208038205400091</v>
      </c>
      <c r="E6" s="326" t="n">
        <v>0.03969131080440939</v>
      </c>
      <c r="F6" s="326" t="n">
        <v>0.2771558314388625</v>
      </c>
      <c r="G6" s="380" t="n">
        <v>0.5922619969125784</v>
      </c>
      <c r="H6" s="380" t="n">
        <v>1.197417066666667</v>
      </c>
      <c r="I6" s="326" t="n">
        <v>0.08492878698666666</v>
      </c>
      <c r="J6" s="326" t="n">
        <v>0.3859028349627461</v>
      </c>
      <c r="K6" s="326" t="n">
        <v>0.0361</v>
      </c>
      <c r="L6" s="326" t="n">
        <v>0.5969174640323911</v>
      </c>
      <c r="M6" s="326" t="n">
        <v>0.05061033837843114</v>
      </c>
      <c r="N6" s="380" t="n">
        <v>1.021564079523043</v>
      </c>
      <c r="O6" s="380" t="n">
        <v>1.221636902259505</v>
      </c>
      <c r="P6" s="380" t="n">
        <v>10.6157683009343</v>
      </c>
      <c r="Q6" s="380" t="n">
        <v>30.81888306491124</v>
      </c>
      <c r="R6" s="380" t="n">
        <v>2.054040671320691</v>
      </c>
      <c r="S6" s="380" t="n">
        <v>17.29346566450663</v>
      </c>
      <c r="T6" s="326" t="n">
        <v>-0.02062180355551435</v>
      </c>
      <c r="U6" s="326" t="n">
        <v>0.1169275971893544</v>
      </c>
      <c r="V6" s="326" t="n">
        <v>0.04639462029832078</v>
      </c>
      <c r="W6" s="326" t="n">
        <v>1.473271919337449</v>
      </c>
      <c r="X6" s="326" t="n">
        <v>0.08635825853728488</v>
      </c>
      <c r="Y6" s="326" t="n">
        <v>0.6948854333133631</v>
      </c>
      <c r="Z6" s="326" t="n">
        <v>0.6948854333133631</v>
      </c>
    </row>
    <row r="7">
      <c r="A7" t="inlineStr">
        <is>
          <t>Auto Parts</t>
        </is>
      </c>
      <c r="B7" t="n">
        <v>62</v>
      </c>
      <c r="C7" s="326" t="n">
        <v>0.07642482758620692</v>
      </c>
      <c r="D7" s="326" t="n">
        <v>0.09548248028782237</v>
      </c>
      <c r="E7" s="326" t="n">
        <v>0.237855159391706</v>
      </c>
      <c r="F7" s="326" t="n">
        <v>0.2011039945567209</v>
      </c>
      <c r="G7" s="380" t="n">
        <v>0.9200445636859333</v>
      </c>
      <c r="H7" s="380" t="n">
        <v>1.037535438596492</v>
      </c>
      <c r="I7" s="326" t="n">
        <v>0.07680680028070178</v>
      </c>
      <c r="J7" s="326" t="n">
        <v>0.5673690382463366</v>
      </c>
      <c r="K7" s="326" t="n">
        <v>0.0391</v>
      </c>
      <c r="L7" s="326" t="n">
        <v>0.2205866027690198</v>
      </c>
      <c r="M7" s="326" t="n">
        <v>0.06641920062510737</v>
      </c>
      <c r="N7" s="380" t="n">
        <v>2.688089758422541</v>
      </c>
      <c r="O7" s="380" t="n">
        <v>0.9788000229156884</v>
      </c>
      <c r="P7" s="380" t="n">
        <v>7.587508756577846</v>
      </c>
      <c r="Q7" s="380" t="n">
        <v>10.69039315602547</v>
      </c>
      <c r="R7" s="380" t="n">
        <v>2.918420149059723</v>
      </c>
      <c r="S7" s="380" t="n">
        <v>20.02919375434948</v>
      </c>
      <c r="T7" s="326" t="n">
        <v>0.1120240418274785</v>
      </c>
      <c r="U7" s="326" t="n">
        <v>0.04538081695786012</v>
      </c>
      <c r="V7" s="326" t="n">
        <v>0.07386642816365988</v>
      </c>
      <c r="W7" s="326" t="n">
        <v>1.037920040737606</v>
      </c>
      <c r="X7" s="326" t="n">
        <v>0.2413902683524773</v>
      </c>
      <c r="Y7" s="326" t="n">
        <v>0.1385370284916323</v>
      </c>
      <c r="Z7" s="326" t="n">
        <v>0.1385370284916323</v>
      </c>
    </row>
    <row r="8">
      <c r="A8" t="inlineStr">
        <is>
          <t>Bank (Money Center)</t>
        </is>
      </c>
      <c r="B8" t="n">
        <v>11</v>
      </c>
      <c r="C8" s="326" t="n">
        <v>0.05218888888888888</v>
      </c>
      <c r="D8" s="326" t="n">
        <v>-0.000686634561966771</v>
      </c>
      <c r="E8" s="326" t="n">
        <v>-6.782739554684404e-05</v>
      </c>
      <c r="F8" s="326" t="n">
        <v>0.2835369877144433</v>
      </c>
      <c r="G8" s="380" t="n">
        <v>0.3225041591078712</v>
      </c>
      <c r="H8" s="380" t="n">
        <v>0.6375454545454545</v>
      </c>
      <c r="I8" s="326" t="n">
        <v>0.05648730909090909</v>
      </c>
      <c r="J8" s="326" t="n">
        <v>0.3337467046353595</v>
      </c>
      <c r="K8" s="326" t="n">
        <v>0.0361</v>
      </c>
      <c r="L8" s="326" t="n">
        <v>0.6112839793320842</v>
      </c>
      <c r="M8" s="326" t="n">
        <v>0.03872870926501183</v>
      </c>
      <c r="N8" s="380" t="n">
        <v>0.1358998199776772</v>
      </c>
      <c r="O8" s="380" t="n">
        <v>8.450210871948702</v>
      </c>
      <c r="P8" s="380" t="inlineStr">
        <is>
          <t>NA</t>
        </is>
      </c>
      <c r="Q8" s="380" t="inlineStr">
        <is>
          <t>NA</t>
        </is>
      </c>
      <c r="R8" s="380" t="n">
        <v>1.24382993372551</v>
      </c>
      <c r="S8" s="380" t="n">
        <v>15.75590080154555</v>
      </c>
      <c r="T8" s="326" t="inlineStr">
        <is>
          <t>NA</t>
        </is>
      </c>
      <c r="U8" s="326" t="n">
        <v>0.009147247017977502</v>
      </c>
      <c r="V8" s="326" t="n">
        <v>0.0114848659089857</v>
      </c>
      <c r="W8" s="326" t="inlineStr">
        <is>
          <t>NA</t>
        </is>
      </c>
      <c r="X8" s="326" t="n">
        <v>0.09932969208274116</v>
      </c>
      <c r="Y8" s="326" t="n">
        <v>0.2457280153424876</v>
      </c>
      <c r="Z8" s="326" t="n">
        <v>0.2457280153424877</v>
      </c>
    </row>
    <row r="9">
      <c r="A9" t="inlineStr">
        <is>
          <t>Banks (Regional)</t>
        </is>
      </c>
      <c r="B9" t="n">
        <v>612</v>
      </c>
      <c r="C9" s="326" t="n">
        <v>0.0896419775280899</v>
      </c>
      <c r="D9" s="326" t="n">
        <v>-0.001613543200476222</v>
      </c>
      <c r="E9" s="326" t="n">
        <v>-0.0003142651084062304</v>
      </c>
      <c r="F9" s="326" t="n">
        <v>0.2930678029422108</v>
      </c>
      <c r="G9" s="380" t="n">
        <v>0.385726414640555</v>
      </c>
      <c r="H9" s="380" t="n">
        <v>0.5017112663139327</v>
      </c>
      <c r="I9" s="326" t="n">
        <v>0.04958693232874778</v>
      </c>
      <c r="J9" s="326" t="n">
        <v>0.3207565683648063</v>
      </c>
      <c r="K9" s="326" t="n">
        <v>0.0361</v>
      </c>
      <c r="L9" s="326" t="n">
        <v>0.3697825233335559</v>
      </c>
      <c r="M9" s="326" t="n">
        <v>0.04139590467803259</v>
      </c>
      <c r="N9" s="380" t="n">
        <v>0.2616627603721545</v>
      </c>
      <c r="O9" s="380" t="n">
        <v>6.270083711081238</v>
      </c>
      <c r="P9" s="380" t="inlineStr">
        <is>
          <t>NA</t>
        </is>
      </c>
      <c r="Q9" s="380" t="inlineStr">
        <is>
          <t>NA</t>
        </is>
      </c>
      <c r="R9" s="380" t="n">
        <v>1.500573320853747</v>
      </c>
      <c r="S9" s="380" t="n">
        <v>23.14689027298322</v>
      </c>
      <c r="T9" s="326" t="inlineStr">
        <is>
          <t>NA</t>
        </is>
      </c>
      <c r="U9" s="326" t="n">
        <v>0.04440669434850612</v>
      </c>
      <c r="V9" s="326" t="n">
        <v>0.0475799901455418</v>
      </c>
      <c r="W9" s="326" t="inlineStr">
        <is>
          <t>NA</t>
        </is>
      </c>
      <c r="X9" s="326" t="n">
        <v>0.09028278522605311</v>
      </c>
      <c r="Y9" s="326" t="n">
        <v>0.3091184970491713</v>
      </c>
      <c r="Z9" s="326" t="n">
        <v>0.3091184970491713</v>
      </c>
    </row>
    <row r="10">
      <c r="A10" t="inlineStr">
        <is>
          <t>Beverage (Alcoholic)</t>
        </is>
      </c>
      <c r="B10" t="n">
        <v>28</v>
      </c>
      <c r="C10" s="326" t="n">
        <v>0.1132727272727273</v>
      </c>
      <c r="D10" s="326" t="n">
        <v>0.2341412338417882</v>
      </c>
      <c r="E10" s="326" t="n">
        <v>0.2432223548239073</v>
      </c>
      <c r="F10" s="326" t="n">
        <v>0.3001570399359601</v>
      </c>
      <c r="G10" s="380" t="n">
        <v>1.119814727375525</v>
      </c>
      <c r="H10" s="380" t="n">
        <v>1.326196173913044</v>
      </c>
      <c r="I10" s="326" t="n">
        <v>0.09147076563478261</v>
      </c>
      <c r="J10" s="326" t="n">
        <v>0.5013699483153967</v>
      </c>
      <c r="K10" s="326" t="n">
        <v>0.0391</v>
      </c>
      <c r="L10" s="326" t="n">
        <v>0.2072607274623545</v>
      </c>
      <c r="M10" s="326" t="n">
        <v>0.07867142798505035</v>
      </c>
      <c r="N10" s="380" t="n">
        <v>1.155714735654879</v>
      </c>
      <c r="O10" s="380" t="n">
        <v>5.048083333650133</v>
      </c>
      <c r="P10" s="380" t="n">
        <v>17.26149162186935</v>
      </c>
      <c r="Q10" s="380" t="n">
        <v>21.5460719333071</v>
      </c>
      <c r="R10" s="380" t="n">
        <v>4.005064105187112</v>
      </c>
      <c r="S10" s="380" t="n">
        <v>49.28894460040033</v>
      </c>
      <c r="T10" s="326" t="n">
        <v>0.1650967386439549</v>
      </c>
      <c r="U10" s="326" t="n">
        <v>0.08272079087962339</v>
      </c>
      <c r="V10" s="326" t="n">
        <v>0.6731678932585151</v>
      </c>
      <c r="W10" s="326" t="n">
        <v>3.984282993569344</v>
      </c>
      <c r="X10" s="326" t="n">
        <v>0.2515641106899494</v>
      </c>
      <c r="Y10" s="326" t="n">
        <v>0.2037475680699304</v>
      </c>
      <c r="Z10" s="326" t="n">
        <v>0.2037475680699304</v>
      </c>
    </row>
    <row r="11">
      <c r="A11" t="inlineStr">
        <is>
          <t>Beverage (Soft)</t>
        </is>
      </c>
      <c r="B11" t="n">
        <v>35</v>
      </c>
      <c r="C11" s="326" t="n">
        <v>0.09481214285714286</v>
      </c>
      <c r="D11" s="326" t="n">
        <v>0.193268071399617</v>
      </c>
      <c r="E11" s="326" t="n">
        <v>0.2491536546593859</v>
      </c>
      <c r="F11" s="326" t="n">
        <v>0.2619401057360876</v>
      </c>
      <c r="G11" s="380" t="n">
        <v>0.6268055812355047</v>
      </c>
      <c r="H11" s="380" t="n">
        <v>0.7037961481481483</v>
      </c>
      <c r="I11" s="326" t="n">
        <v>0.05985284432592593</v>
      </c>
      <c r="J11" s="326" t="n">
        <v>0.4533416830393546</v>
      </c>
      <c r="K11" s="326" t="n">
        <v>0.0391</v>
      </c>
      <c r="L11" s="326" t="n">
        <v>0.1873952304055842</v>
      </c>
      <c r="M11" s="326" t="n">
        <v>0.05420534343977182</v>
      </c>
      <c r="N11" s="380" t="n">
        <v>1.377455079747515</v>
      </c>
      <c r="O11" s="380" t="n">
        <v>4.202112906739315</v>
      </c>
      <c r="P11" s="380" t="n">
        <v>17.92487736667037</v>
      </c>
      <c r="Q11" s="380" t="n">
        <v>21.72784523208104</v>
      </c>
      <c r="R11" s="380" t="n">
        <v>9.950938403958684</v>
      </c>
      <c r="S11" s="380" t="n">
        <v>39.43773034680914</v>
      </c>
      <c r="T11" s="326" t="n">
        <v>-0.03445449258509741</v>
      </c>
      <c r="U11" s="326" t="n">
        <v>0.0460236505774756</v>
      </c>
      <c r="V11" s="326" t="n">
        <v>0.05110869653279018</v>
      </c>
      <c r="W11" s="326" t="n">
        <v>0.4126811083252859</v>
      </c>
      <c r="X11" s="326" t="n">
        <v>0.2838887281971491</v>
      </c>
      <c r="Y11" s="326" t="n">
        <v>0.8489931189396592</v>
      </c>
      <c r="Z11" s="326" t="n">
        <v>0.8489931189396592</v>
      </c>
    </row>
    <row r="12">
      <c r="A12" t="inlineStr">
        <is>
          <t>Broadcasting</t>
        </is>
      </c>
      <c r="B12" t="n">
        <v>27</v>
      </c>
      <c r="C12" s="326" t="n">
        <v>0.08116428571428567</v>
      </c>
      <c r="D12" s="326" t="n">
        <v>0.2345427326018681</v>
      </c>
      <c r="E12" s="326" t="n">
        <v>0.2137865536630639</v>
      </c>
      <c r="F12" s="326" t="n">
        <v>0.2858274969296643</v>
      </c>
      <c r="G12" s="380" t="n">
        <v>0.6509782097672407</v>
      </c>
      <c r="H12" s="380" t="n">
        <v>1.11964448</v>
      </c>
      <c r="I12" s="326" t="n">
        <v>0.080977939584</v>
      </c>
      <c r="J12" s="326" t="n">
        <v>0.5230083177690437</v>
      </c>
      <c r="K12" s="326" t="n">
        <v>0.0391</v>
      </c>
      <c r="L12" s="326" t="n">
        <v>0.5286882853400201</v>
      </c>
      <c r="M12" s="326" t="n">
        <v>0.05387635264213134</v>
      </c>
      <c r="N12" s="380" t="n">
        <v>1.100504599534208</v>
      </c>
      <c r="O12" s="380" t="n">
        <v>2.833646114530685</v>
      </c>
      <c r="P12" s="380" t="n">
        <v>9.185399093365838</v>
      </c>
      <c r="Q12" s="380" t="n">
        <v>12.0818612104888</v>
      </c>
      <c r="R12" s="380" t="n">
        <v>7.337890244107458</v>
      </c>
      <c r="S12" s="380" t="n">
        <v>27.84039365177174</v>
      </c>
      <c r="T12" s="326" t="n">
        <v>0.229561838483987</v>
      </c>
      <c r="U12" s="326" t="n">
        <v>0.02678546177545183</v>
      </c>
      <c r="V12" s="326" t="n">
        <v>0.05493811217333754</v>
      </c>
      <c r="W12" s="326" t="n">
        <v>0.435741850997513</v>
      </c>
      <c r="X12" s="326" t="n">
        <v>0.1810535452328759</v>
      </c>
      <c r="Y12" s="326" t="n">
        <v>0.405842880029018</v>
      </c>
      <c r="Z12" s="326" t="n">
        <v>0.4058428800290179</v>
      </c>
    </row>
    <row r="13">
      <c r="A13" t="inlineStr">
        <is>
          <t>Brokerage &amp; Investment Banking</t>
        </is>
      </c>
      <c r="B13" t="n">
        <v>42</v>
      </c>
      <c r="C13" s="326" t="n">
        <v>0.07821260869565216</v>
      </c>
      <c r="D13" s="326" t="n">
        <v>0.001098643641117188</v>
      </c>
      <c r="E13" s="326" t="n">
        <v>0.0001822157266687138</v>
      </c>
      <c r="F13" s="326" t="n">
        <v>0.285407713157922</v>
      </c>
      <c r="G13" s="380" t="n">
        <v>0.5441746682636267</v>
      </c>
      <c r="H13" s="380" t="n">
        <v>1.237953297297297</v>
      </c>
      <c r="I13" s="326" t="n">
        <v>0.08698802750270269</v>
      </c>
      <c r="J13" s="326" t="n">
        <v>0.4248067051095304</v>
      </c>
      <c r="K13" s="326" t="n">
        <v>0.0391</v>
      </c>
      <c r="L13" s="326" t="n">
        <v>0.6874254885150358</v>
      </c>
      <c r="M13" s="326" t="n">
        <v>0.04761777601841072</v>
      </c>
      <c r="N13" s="380" t="n">
        <v>0.1933246492057958</v>
      </c>
      <c r="O13" s="380" t="n">
        <v>6.745772832788358</v>
      </c>
      <c r="P13" s="380" t="inlineStr">
        <is>
          <t>NA</t>
        </is>
      </c>
      <c r="Q13" s="380" t="inlineStr">
        <is>
          <t>NA</t>
        </is>
      </c>
      <c r="R13" s="380" t="n">
        <v>1.558371653214785</v>
      </c>
      <c r="S13" s="380" t="n">
        <v>47.56208938892495</v>
      </c>
      <c r="T13" s="326" t="inlineStr">
        <is>
          <t>NA</t>
        </is>
      </c>
      <c r="U13" s="326" t="n">
        <v>0.04081499001650186</v>
      </c>
      <c r="V13" s="326" t="n">
        <v>0.0625767863076962</v>
      </c>
      <c r="W13" s="326" t="n">
        <v>453.970625258699</v>
      </c>
      <c r="X13" s="326" t="n">
        <v>0.1141266456413107</v>
      </c>
      <c r="Y13" s="326" t="n">
        <v>0.2062538159500706</v>
      </c>
      <c r="Z13" s="326" t="n">
        <v>0.2062538159500706</v>
      </c>
    </row>
    <row r="14">
      <c r="A14" t="inlineStr">
        <is>
          <t>Building Materials</t>
        </is>
      </c>
      <c r="B14" t="n">
        <v>39</v>
      </c>
      <c r="C14" s="326" t="n">
        <v>0.1273410714285714</v>
      </c>
      <c r="D14" s="326" t="n">
        <v>0.1032616788263367</v>
      </c>
      <c r="E14" s="326" t="n">
        <v>0.1827434053081691</v>
      </c>
      <c r="F14" s="326" t="n">
        <v>0.3003200118761788</v>
      </c>
      <c r="G14" s="380" t="n">
        <v>0.98593416861193</v>
      </c>
      <c r="H14" s="380" t="n">
        <v>1.108911529411765</v>
      </c>
      <c r="I14" s="326" t="n">
        <v>0.08043270569411765</v>
      </c>
      <c r="J14" s="326" t="n">
        <v>0.4101473581481804</v>
      </c>
      <c r="K14" s="326" t="n">
        <v>0.0391</v>
      </c>
      <c r="L14" s="326" t="n">
        <v>0.176668556430431</v>
      </c>
      <c r="M14" s="326" t="n">
        <v>0.07147265851223086</v>
      </c>
      <c r="N14" s="380" t="n">
        <v>2.307689562224244</v>
      </c>
      <c r="O14" s="380" t="n">
        <v>1.778123817738309</v>
      </c>
      <c r="P14" s="380" t="n">
        <v>12.79771459498943</v>
      </c>
      <c r="Q14" s="380" t="n">
        <v>17.22467754175357</v>
      </c>
      <c r="R14" s="380" t="n">
        <v>4.767048495070687</v>
      </c>
      <c r="S14" s="380" t="n">
        <v>26.55231177749399</v>
      </c>
      <c r="T14" s="326" t="n">
        <v>0.1559888407516962</v>
      </c>
      <c r="U14" s="326" t="n">
        <v>0.02903245578788522</v>
      </c>
      <c r="V14" s="326" t="n">
        <v>0.03057052162780103</v>
      </c>
      <c r="W14" s="326" t="n">
        <v>0.5448579569886419</v>
      </c>
      <c r="X14" s="326" t="n">
        <v>0.2381224239221281</v>
      </c>
      <c r="Y14" s="326" t="n">
        <v>0.1529133883305477</v>
      </c>
      <c r="Z14" s="326" t="n">
        <v>0.1529133883305478</v>
      </c>
    </row>
    <row r="15">
      <c r="A15" t="inlineStr">
        <is>
          <t>Business &amp; Consumer Services</t>
        </is>
      </c>
      <c r="B15" t="n">
        <v>169</v>
      </c>
      <c r="C15" s="326" t="n">
        <v>0.0514568493150685</v>
      </c>
      <c r="D15" s="326" t="n">
        <v>0.1052527498432222</v>
      </c>
      <c r="E15" s="326" t="n">
        <v>0.2636613562564103</v>
      </c>
      <c r="F15" s="326" t="n">
        <v>0.309621818822984</v>
      </c>
      <c r="G15" s="380" t="n">
        <v>1.006730363855615</v>
      </c>
      <c r="H15" s="380" t="n">
        <v>1.16872115942029</v>
      </c>
      <c r="I15" s="326" t="n">
        <v>0.08347103489855073</v>
      </c>
      <c r="J15" s="326" t="n">
        <v>0.4944937495160607</v>
      </c>
      <c r="K15" s="326" t="n">
        <v>0.0391</v>
      </c>
      <c r="L15" s="326" t="n">
        <v>0.2152971765091071</v>
      </c>
      <c r="M15" s="326" t="n">
        <v>0.07189772766174424</v>
      </c>
      <c r="N15" s="380" t="n">
        <v>2.816325695518978</v>
      </c>
      <c r="O15" s="380" t="n">
        <v>1.943173848969611</v>
      </c>
      <c r="P15" s="380" t="n">
        <v>12.40048075515342</v>
      </c>
      <c r="Q15" s="380" t="n">
        <v>18.29223626005948</v>
      </c>
      <c r="R15" s="380" t="n">
        <v>4.949119161407146</v>
      </c>
      <c r="S15" s="380" t="n">
        <v>51.59593244914504</v>
      </c>
      <c r="T15" s="326" t="n">
        <v>0.1632211411178161</v>
      </c>
      <c r="U15" s="326" t="n">
        <v>0.02486781506376431</v>
      </c>
      <c r="V15" s="326" t="n">
        <v>0.03479892492053058</v>
      </c>
      <c r="W15" s="326" t="n">
        <v>0.6408675415527036</v>
      </c>
      <c r="X15" s="326" t="n">
        <v>0.1831592988279621</v>
      </c>
      <c r="Y15" s="326" t="n">
        <v>0.263330297088362</v>
      </c>
      <c r="Z15" s="326" t="n">
        <v>0.263330297088362</v>
      </c>
    </row>
    <row r="16">
      <c r="A16" t="inlineStr">
        <is>
          <t>Cable TV</t>
        </is>
      </c>
      <c r="B16" t="n">
        <v>14</v>
      </c>
      <c r="C16" s="326" t="n">
        <v>0.11788125</v>
      </c>
      <c r="D16" s="326" t="n">
        <v>0.1824676195158766</v>
      </c>
      <c r="E16" s="326" t="n">
        <v>0.127220642646932</v>
      </c>
      <c r="F16" s="326" t="n">
        <v>0.3356387221454974</v>
      </c>
      <c r="G16" s="380" t="n">
        <v>0.6674683447821269</v>
      </c>
      <c r="H16" s="380" t="n">
        <v>0.9209032</v>
      </c>
      <c r="I16" s="326" t="n">
        <v>0.07088188256</v>
      </c>
      <c r="J16" s="326" t="n">
        <v>0.3632575504034887</v>
      </c>
      <c r="K16" s="326" t="n">
        <v>0.0361</v>
      </c>
      <c r="L16" s="326" t="n">
        <v>0.3466215443630913</v>
      </c>
      <c r="M16" s="326" t="n">
        <v>0.05582260365083531</v>
      </c>
      <c r="N16" s="380" t="n">
        <v>0.8965164473050233</v>
      </c>
      <c r="O16" s="380" t="n">
        <v>3.437353841513053</v>
      </c>
      <c r="P16" s="380" t="n">
        <v>9.680859657573492</v>
      </c>
      <c r="Q16" s="380" t="n">
        <v>18.2624566366957</v>
      </c>
      <c r="R16" s="380" t="n">
        <v>2.804266485472565</v>
      </c>
      <c r="S16" s="380" t="n">
        <v>111.3145136742261</v>
      </c>
      <c r="T16" s="326" t="n">
        <v>-0.01122208582834775</v>
      </c>
      <c r="U16" s="326" t="n">
        <v>0.1230537494748409</v>
      </c>
      <c r="V16" s="326" t="n">
        <v>-0.02398804463890967</v>
      </c>
      <c r="W16" s="326" t="n">
        <v>-0.2132826274038349</v>
      </c>
      <c r="X16" s="326" t="n">
        <v>0.1105478715216463</v>
      </c>
      <c r="Y16" s="326" t="n">
        <v>0.3321202295480538</v>
      </c>
      <c r="Z16" s="326" t="n">
        <v>0.3321202295480538</v>
      </c>
    </row>
    <row r="17">
      <c r="A17" t="inlineStr">
        <is>
          <t>Chemical (Basic)</t>
        </is>
      </c>
      <c r="B17" t="n">
        <v>38</v>
      </c>
      <c r="C17" s="326" t="n">
        <v>0.01625333333333333</v>
      </c>
      <c r="D17" s="326" t="n">
        <v>0.1093600101707231</v>
      </c>
      <c r="E17" s="326" t="n">
        <v>0.1443125548481778</v>
      </c>
      <c r="F17" s="326" t="n">
        <v>0.2355683925987765</v>
      </c>
      <c r="G17" s="380" t="n">
        <v>0.9648998854705882</v>
      </c>
      <c r="H17" s="380" t="n">
        <v>1.197621052631578</v>
      </c>
      <c r="I17" s="326" t="n">
        <v>0.08493914947368418</v>
      </c>
      <c r="J17" s="326" t="n">
        <v>0.5939018407872767</v>
      </c>
      <c r="K17" s="326" t="n">
        <v>0.0391</v>
      </c>
      <c r="L17" s="326" t="n">
        <v>0.2921626986864827</v>
      </c>
      <c r="M17" s="326" t="n">
        <v>0.0688050050934856</v>
      </c>
      <c r="N17" s="380" t="n">
        <v>1.461956624119216</v>
      </c>
      <c r="O17" s="380" t="n">
        <v>1.759393787900549</v>
      </c>
      <c r="P17" s="380" t="n">
        <v>9.66699820653111</v>
      </c>
      <c r="Q17" s="380" t="n">
        <v>16.06296540391411</v>
      </c>
      <c r="R17" s="380" t="n">
        <v>3.467633239118888</v>
      </c>
      <c r="S17" s="380" t="n">
        <v>38.30454772790085</v>
      </c>
      <c r="T17" s="326" t="n">
        <v>0.202696144874592</v>
      </c>
      <c r="U17" s="326" t="n">
        <v>0.0549374222179014</v>
      </c>
      <c r="V17" s="326" t="n">
        <v>0.03125840451739106</v>
      </c>
      <c r="W17" s="326" t="n">
        <v>0.4781661329290868</v>
      </c>
      <c r="X17" s="326" t="n">
        <v>0.1860209571972347</v>
      </c>
      <c r="Y17" s="326" t="n">
        <v>0.2728781235104773</v>
      </c>
      <c r="Z17" s="326" t="n">
        <v>0.2728781235104774</v>
      </c>
    </row>
    <row r="18">
      <c r="A18" t="inlineStr">
        <is>
          <t>Chemical (Diversified)</t>
        </is>
      </c>
      <c r="B18" t="n">
        <v>7</v>
      </c>
      <c r="C18" s="326" t="n">
        <v>-0.02543</v>
      </c>
      <c r="D18" s="326" t="n">
        <v>0.1224286825596979</v>
      </c>
      <c r="E18" s="326" t="n">
        <v>0.165906001975324</v>
      </c>
      <c r="F18" s="326" t="n">
        <v>0.222571570412047</v>
      </c>
      <c r="G18" s="380" t="n">
        <v>1.794686030597522</v>
      </c>
      <c r="H18" s="380" t="n">
        <v>2.033952</v>
      </c>
      <c r="I18" s="326" t="n">
        <v>0.1274247616</v>
      </c>
      <c r="J18" s="326" t="n">
        <v>0.6862283819289022</v>
      </c>
      <c r="K18" s="326" t="n">
        <v>0.0466</v>
      </c>
      <c r="L18" s="326" t="n">
        <v>0.2137472062439985</v>
      </c>
      <c r="M18" s="326" t="n">
        <v>0.1077581458580299</v>
      </c>
      <c r="N18" s="380" t="n">
        <v>1.530458332346654</v>
      </c>
      <c r="O18" s="380" t="n">
        <v>2.899391043048619</v>
      </c>
      <c r="P18" s="380" t="n">
        <v>15.83228827532488</v>
      </c>
      <c r="Q18" s="380" t="n">
        <v>24.09280223151096</v>
      </c>
      <c r="R18" s="380" t="n">
        <v>1.73774015455635</v>
      </c>
      <c r="S18" s="380" t="n">
        <v>30.21548672340133</v>
      </c>
      <c r="T18" s="326" t="n">
        <v>0.3435439070853561</v>
      </c>
      <c r="U18" s="326" t="n">
        <v>0.05995821299084373</v>
      </c>
      <c r="V18" s="326" t="n">
        <v>-0.01210845695323545</v>
      </c>
      <c r="W18" s="326" t="n">
        <v>-0.01446180511231775</v>
      </c>
      <c r="X18" s="326" t="n">
        <v>0.1420111670099263</v>
      </c>
      <c r="Y18" s="326" t="n">
        <v>0.5806138862569684</v>
      </c>
      <c r="Z18" s="326" t="n">
        <v>0.5806138862569684</v>
      </c>
    </row>
    <row r="19">
      <c r="A19" t="inlineStr">
        <is>
          <t>Chemical (Specialty)</t>
        </is>
      </c>
      <c r="B19" t="n">
        <v>99</v>
      </c>
      <c r="C19" s="326" t="n">
        <v>0.01468705882352941</v>
      </c>
      <c r="D19" s="326" t="n">
        <v>0.1355674495726489</v>
      </c>
      <c r="E19" s="326" t="n">
        <v>0.1674005962944126</v>
      </c>
      <c r="F19" s="326" t="n">
        <v>0.228668095171126</v>
      </c>
      <c r="G19" s="380" t="n">
        <v>0.9484995643581249</v>
      </c>
      <c r="H19" s="380" t="n">
        <v>1.114586298850575</v>
      </c>
      <c r="I19" s="326" t="n">
        <v>0.08072098398160919</v>
      </c>
      <c r="J19" s="326" t="n">
        <v>0.5968677315069185</v>
      </c>
      <c r="K19" s="326" t="n">
        <v>0.0391</v>
      </c>
      <c r="L19" s="326" t="n">
        <v>0.2248299885539219</v>
      </c>
      <c r="M19" s="326" t="n">
        <v>0.06925353401683103</v>
      </c>
      <c r="N19" s="380" t="n">
        <v>1.365976909512307</v>
      </c>
      <c r="O19" s="380" t="n">
        <v>2.790559396873897</v>
      </c>
      <c r="P19" s="380" t="n">
        <v>13.89347127306124</v>
      </c>
      <c r="Q19" s="380" t="n">
        <v>20.59583032946696</v>
      </c>
      <c r="R19" s="380" t="n">
        <v>4.153692329595396</v>
      </c>
      <c r="S19" s="380" t="n">
        <v>165.877706834765</v>
      </c>
      <c r="T19" s="326" t="n">
        <v>0.2148586800557311</v>
      </c>
      <c r="U19" s="326" t="n">
        <v>0.05042811051612969</v>
      </c>
      <c r="V19" s="326" t="n">
        <v>0.1043977053397388</v>
      </c>
      <c r="W19" s="326" t="n">
        <v>1.058396998596702</v>
      </c>
      <c r="X19" s="326" t="n">
        <v>0.1699562379824117</v>
      </c>
      <c r="Y19" s="326" t="n">
        <v>0.3978527444703579</v>
      </c>
      <c r="Z19" s="326" t="n">
        <v>0.3978527444703579</v>
      </c>
    </row>
    <row r="20">
      <c r="A20" t="inlineStr">
        <is>
          <t>Coal &amp; Related Energy</t>
        </is>
      </c>
      <c r="B20" t="n">
        <v>30</v>
      </c>
      <c r="C20" s="326" t="n">
        <v>-0.04090571428571429</v>
      </c>
      <c r="D20" s="326" t="n">
        <v>0.08711476596641546</v>
      </c>
      <c r="E20" s="326" t="n">
        <v>0.08531437593673216</v>
      </c>
      <c r="F20" s="326" t="n">
        <v>0.04834583413466677</v>
      </c>
      <c r="G20" s="380" t="n">
        <v>1.04239112149112</v>
      </c>
      <c r="H20" s="380" t="n">
        <v>1.248786</v>
      </c>
      <c r="I20" s="326" t="n">
        <v>0.08753832880000001</v>
      </c>
      <c r="J20" s="326" t="n">
        <v>0.9061473537657826</v>
      </c>
      <c r="K20" s="326" t="n">
        <v>0.08160000000000001</v>
      </c>
      <c r="L20" s="326" t="n">
        <v>0.3123119486432459</v>
      </c>
      <c r="M20" s="326" t="n">
        <v>0.07956740055855838</v>
      </c>
      <c r="N20" s="380" t="n">
        <v>1.031208527748361</v>
      </c>
      <c r="O20" s="380" t="n">
        <v>1.012423159944593</v>
      </c>
      <c r="P20" s="380" t="n">
        <v>3.928290855496589</v>
      </c>
      <c r="Q20" s="380" t="n">
        <v>9.236647552182111</v>
      </c>
      <c r="R20" s="380" t="n">
        <v>2.026233546710371</v>
      </c>
      <c r="S20" s="380" t="n">
        <v>1276.021900457142</v>
      </c>
      <c r="T20" s="326" t="n">
        <v>0.04344611044117312</v>
      </c>
      <c r="U20" s="326" t="n">
        <v>0.03259754652776639</v>
      </c>
      <c r="V20" s="326" t="n">
        <v>-0.06457455527905548</v>
      </c>
      <c r="W20" s="326" t="n">
        <v>-0.4988354088882599</v>
      </c>
      <c r="X20" s="326" t="n">
        <v>-6.463868650242301</v>
      </c>
      <c r="Y20" s="326" t="n">
        <v>0.1572855103456338</v>
      </c>
      <c r="Z20" s="326" t="n">
        <v>0.1572855103456339</v>
      </c>
    </row>
    <row r="21">
      <c r="A21" t="inlineStr">
        <is>
          <t>Computer Services</t>
        </is>
      </c>
      <c r="B21" t="n">
        <v>111</v>
      </c>
      <c r="C21" s="326" t="n">
        <v>0.153050925925926</v>
      </c>
      <c r="D21" s="326" t="n">
        <v>0.08348073741398804</v>
      </c>
      <c r="E21" s="326" t="n">
        <v>0.2796073759031171</v>
      </c>
      <c r="F21" s="326" t="n">
        <v>0.1434658755336815</v>
      </c>
      <c r="G21" s="380" t="n">
        <v>0.9440317653237997</v>
      </c>
      <c r="H21" s="380" t="n">
        <v>1.101309247311828</v>
      </c>
      <c r="I21" s="326" t="n">
        <v>0.08004650976344088</v>
      </c>
      <c r="J21" s="326" t="n">
        <v>0.48530569398663</v>
      </c>
      <c r="K21" s="326" t="n">
        <v>0.0391</v>
      </c>
      <c r="L21" s="326" t="n">
        <v>0.2356521210128674</v>
      </c>
      <c r="M21" s="326" t="n">
        <v>0.0681860183860272</v>
      </c>
      <c r="N21" s="380" t="n">
        <v>3.69460391301022</v>
      </c>
      <c r="O21" s="380" t="n">
        <v>1.337780916949706</v>
      </c>
      <c r="P21" s="380" t="n">
        <v>11.09966560398497</v>
      </c>
      <c r="Q21" s="380" t="n">
        <v>16.09262085137406</v>
      </c>
      <c r="R21" s="380" t="n">
        <v>4.037256851348861</v>
      </c>
      <c r="S21" s="380" t="n">
        <v>40.32945652488119</v>
      </c>
      <c r="T21" s="326" t="n">
        <v>0.1264866333898946</v>
      </c>
      <c r="U21" s="326" t="n">
        <v>0.01968781468636582</v>
      </c>
      <c r="V21" s="326" t="n">
        <v>0.01440333957590709</v>
      </c>
      <c r="W21" s="326" t="n">
        <v>0.2299624833563052</v>
      </c>
      <c r="X21" s="326" t="n">
        <v>0.2866224063837328</v>
      </c>
      <c r="Y21" s="326" t="n">
        <v>0.3855217325561981</v>
      </c>
      <c r="Z21" s="326" t="n">
        <v>0.3855217325561981</v>
      </c>
    </row>
    <row r="22">
      <c r="A22" t="inlineStr">
        <is>
          <t>Computers/Peripherals</t>
        </is>
      </c>
      <c r="B22" t="n">
        <v>58</v>
      </c>
      <c r="C22" s="326" t="n">
        <v>-0.02673333333333334</v>
      </c>
      <c r="D22" s="326" t="n">
        <v>0.2000908062831264</v>
      </c>
      <c r="E22" s="326" t="n">
        <v>0.2385978528544861</v>
      </c>
      <c r="F22" s="326" t="n">
        <v>0.2400920977325614</v>
      </c>
      <c r="G22" s="380" t="n">
        <v>0.9283256274404466</v>
      </c>
      <c r="H22" s="380" t="n">
        <v>1.009655076923077</v>
      </c>
      <c r="I22" s="326" t="n">
        <v>0.07539047790769232</v>
      </c>
      <c r="J22" s="326" t="n">
        <v>0.6137848254681815</v>
      </c>
      <c r="K22" s="326" t="n">
        <v>0.0391</v>
      </c>
      <c r="L22" s="326" t="n">
        <v>0.1537545135973965</v>
      </c>
      <c r="M22" s="326" t="n">
        <v>0.06836782077318006</v>
      </c>
      <c r="N22" s="380" t="n">
        <v>1.254832791483321</v>
      </c>
      <c r="O22" s="380" t="n">
        <v>3.033297126383725</v>
      </c>
      <c r="P22" s="380" t="n">
        <v>12.01141539749969</v>
      </c>
      <c r="Q22" s="380" t="n">
        <v>15.23265170445624</v>
      </c>
      <c r="R22" s="380" t="n">
        <v>5.420530144163998</v>
      </c>
      <c r="S22" s="380" t="n">
        <v>108.6144794816364</v>
      </c>
      <c r="T22" s="326" t="n">
        <v>-0.02620713763435273</v>
      </c>
      <c r="U22" s="326" t="n">
        <v>0.0468838506177016</v>
      </c>
      <c r="V22" s="326" t="n">
        <v>0.01992609819126669</v>
      </c>
      <c r="W22" s="326" t="n">
        <v>0.03042457688491264</v>
      </c>
      <c r="X22" s="326" t="n">
        <v>0.2854948133529273</v>
      </c>
      <c r="Y22" s="326" t="n">
        <v>0.289439530689422</v>
      </c>
      <c r="Z22" s="326" t="n">
        <v>0.289439530689422</v>
      </c>
    </row>
    <row r="23">
      <c r="A23" t="inlineStr">
        <is>
          <t>Construction Supplies</t>
        </is>
      </c>
      <c r="B23" t="n">
        <v>49</v>
      </c>
      <c r="C23" s="326" t="n">
        <v>0.06945029411764707</v>
      </c>
      <c r="D23" s="326" t="n">
        <v>0.09617709975876595</v>
      </c>
      <c r="E23" s="326" t="n">
        <v>0.1058815095945073</v>
      </c>
      <c r="F23" s="326" t="n">
        <v>0.3082051341171589</v>
      </c>
      <c r="G23" s="380" t="n">
        <v>0.9525776924015863</v>
      </c>
      <c r="H23" s="380" t="n">
        <v>1.120696571428572</v>
      </c>
      <c r="I23" s="326" t="n">
        <v>0.08103138582857145</v>
      </c>
      <c r="J23" s="326" t="n">
        <v>0.456679863406164</v>
      </c>
      <c r="K23" s="326" t="n">
        <v>0.0391</v>
      </c>
      <c r="L23" s="326" t="n">
        <v>0.245092154823194</v>
      </c>
      <c r="M23" s="326" t="n">
        <v>0.06845438734026328</v>
      </c>
      <c r="N23" s="380" t="n">
        <v>1.332295293705641</v>
      </c>
      <c r="O23" s="380" t="n">
        <v>2.142543596183965</v>
      </c>
      <c r="P23" s="380" t="n">
        <v>14.50854448129203</v>
      </c>
      <c r="Q23" s="380" t="n">
        <v>22.18285827312408</v>
      </c>
      <c r="R23" s="380" t="n">
        <v>4.210376310681442</v>
      </c>
      <c r="S23" s="380" t="n">
        <v>41.99704652594409</v>
      </c>
      <c r="T23" s="326" t="n">
        <v>0.158321794309093</v>
      </c>
      <c r="U23" s="326" t="n">
        <v>0.05569268714722345</v>
      </c>
      <c r="V23" s="326" t="n">
        <v>0.03542673810133387</v>
      </c>
      <c r="W23" s="326" t="n">
        <v>0.6782462499364076</v>
      </c>
      <c r="X23" s="326" t="n">
        <v>0.1323290415602076</v>
      </c>
      <c r="Y23" s="326" t="n">
        <v>0.5762920182419083</v>
      </c>
      <c r="Z23" s="326" t="n">
        <v>0.5762920182419083</v>
      </c>
    </row>
    <row r="24">
      <c r="A24" t="inlineStr">
        <is>
          <t>Diversified</t>
        </is>
      </c>
      <c r="B24" t="n">
        <v>24</v>
      </c>
      <c r="C24" s="326" t="n">
        <v>0.02867333333333333</v>
      </c>
      <c r="D24" s="326" t="n">
        <v>0.1300693736016868</v>
      </c>
      <c r="E24" s="326" t="n">
        <v>0.1097763752865651</v>
      </c>
      <c r="F24" s="326" t="n">
        <v>0.2404924916006384</v>
      </c>
      <c r="G24" s="380" t="n">
        <v>1.013544009780858</v>
      </c>
      <c r="H24" s="380" t="n">
        <v>1.194471058823529</v>
      </c>
      <c r="I24" s="326" t="n">
        <v>0.08477912978823528</v>
      </c>
      <c r="J24" s="326" t="n">
        <v>0.2682304346469679</v>
      </c>
      <c r="K24" s="326" t="n">
        <v>0.0361</v>
      </c>
      <c r="L24" s="326" t="n">
        <v>0.2452085583232908</v>
      </c>
      <c r="M24" s="326" t="n">
        <v>0.07071810360311676</v>
      </c>
      <c r="N24" s="380" t="n">
        <v>0.9594443479855899</v>
      </c>
      <c r="O24" s="380" t="n">
        <v>2.623019357093745</v>
      </c>
      <c r="P24" s="380" t="n">
        <v>14.68569772201469</v>
      </c>
      <c r="Q24" s="380" t="n">
        <v>20.25610170267278</v>
      </c>
      <c r="R24" s="380" t="n">
        <v>2.035636417301528</v>
      </c>
      <c r="S24" s="380" t="n">
        <v>25.9599799650646</v>
      </c>
      <c r="T24" s="326" t="n">
        <v>0.1441288327993805</v>
      </c>
      <c r="U24" s="326" t="n">
        <v>0.04841740495541593</v>
      </c>
      <c r="V24" s="326" t="n">
        <v>0.0388438759405994</v>
      </c>
      <c r="W24" s="326" t="n">
        <v>0.416748296958075</v>
      </c>
      <c r="X24" s="326" t="n">
        <v>0.09588875658627541</v>
      </c>
      <c r="Y24" s="326" t="n">
        <v>0.3525271857795775</v>
      </c>
      <c r="Z24" s="326" t="n">
        <v>0.3525271857795775</v>
      </c>
    </row>
    <row r="25">
      <c r="A25" t="inlineStr">
        <is>
          <t>Drugs (Biotechnology)</t>
        </is>
      </c>
      <c r="B25" t="n">
        <v>459</v>
      </c>
      <c r="C25" s="326" t="n">
        <v>0.32284352</v>
      </c>
      <c r="D25" s="326" t="n">
        <v>0.2617041363559798</v>
      </c>
      <c r="E25" s="326" t="n">
        <v>0.1159745198510749</v>
      </c>
      <c r="F25" s="326" t="n">
        <v>0.2066439505679749</v>
      </c>
      <c r="G25" s="380" t="n">
        <v>1.356530917137498</v>
      </c>
      <c r="H25" s="380" t="n">
        <v>1.439741722921914</v>
      </c>
      <c r="I25" s="326" t="n">
        <v>0.09723887952443325</v>
      </c>
      <c r="J25" s="326" t="n">
        <v>0.9478062721167611</v>
      </c>
      <c r="K25" s="326" t="n">
        <v>0.08160000000000001</v>
      </c>
      <c r="L25" s="326" t="n">
        <v>0.1366867747318702</v>
      </c>
      <c r="M25" s="326" t="n">
        <v>0.09242437772546924</v>
      </c>
      <c r="N25" s="380" t="n">
        <v>0.4489785181928311</v>
      </c>
      <c r="O25" s="380" t="n">
        <v>7.697872092349249</v>
      </c>
      <c r="P25" s="380" t="n">
        <v>13.05154713852391</v>
      </c>
      <c r="Q25" s="380" t="n">
        <v>24.21897185322395</v>
      </c>
      <c r="R25" s="380" t="n">
        <v>6.200609053697417</v>
      </c>
      <c r="S25" s="380" t="n">
        <v>69.61053498104889</v>
      </c>
      <c r="T25" s="326" t="n">
        <v>0.1484992613593648</v>
      </c>
      <c r="U25" s="326" t="n">
        <v>0.03938645885171747</v>
      </c>
      <c r="V25" s="326" t="n">
        <v>0.009900258989993914</v>
      </c>
      <c r="W25" s="326" t="n">
        <v>0.09827940838679619</v>
      </c>
      <c r="X25" s="326" t="n">
        <v>0.1344596897192687</v>
      </c>
      <c r="Y25" s="326" t="n">
        <v>0.6025514918188829</v>
      </c>
      <c r="Z25" s="326" t="n">
        <v>0.6025514918188829</v>
      </c>
    </row>
    <row r="26">
      <c r="A26" t="inlineStr">
        <is>
          <t>Drugs (Pharmaceutical)</t>
        </is>
      </c>
      <c r="B26" t="n">
        <v>185</v>
      </c>
      <c r="C26" s="326" t="n">
        <v>0.2807725490196079</v>
      </c>
      <c r="D26" s="326" t="n">
        <v>0.2521452313076145</v>
      </c>
      <c r="E26" s="326" t="n">
        <v>0.1768320750658486</v>
      </c>
      <c r="F26" s="326" t="n">
        <v>0.1940455022332305</v>
      </c>
      <c r="G26" s="380" t="n">
        <v>1.129568640081254</v>
      </c>
      <c r="H26" s="380" t="n">
        <v>1.209335194630873</v>
      </c>
      <c r="I26" s="326" t="n">
        <v>0.08553422788724838</v>
      </c>
      <c r="J26" s="326" t="n">
        <v>0.8570412172903771</v>
      </c>
      <c r="K26" s="326" t="n">
        <v>0.06909999999999999</v>
      </c>
      <c r="L26" s="326" t="n">
        <v>0.1276231520405789</v>
      </c>
      <c r="M26" s="326" t="n">
        <v>0.08132033756948359</v>
      </c>
      <c r="N26" s="380" t="n">
        <v>0.7154790999982873</v>
      </c>
      <c r="O26" s="380" t="n">
        <v>5.079189450682595</v>
      </c>
      <c r="P26" s="380" t="n">
        <v>14.44873527446847</v>
      </c>
      <c r="Q26" s="380" t="n">
        <v>20.73124796234565</v>
      </c>
      <c r="R26" s="380" t="n">
        <v>4.845351180320987</v>
      </c>
      <c r="S26" s="380" t="n">
        <v>366.6851211802509</v>
      </c>
      <c r="T26" s="326" t="n">
        <v>0.2258276209650901</v>
      </c>
      <c r="U26" s="326" t="n">
        <v>0.04343597874807432</v>
      </c>
      <c r="V26" s="326" t="n">
        <v>0.1627158748824907</v>
      </c>
      <c r="W26" s="326" t="n">
        <v>0.8148832153548335</v>
      </c>
      <c r="X26" s="326" t="n">
        <v>0.1438707773134805</v>
      </c>
      <c r="Y26" s="326" t="n">
        <v>0.8354316317401094</v>
      </c>
      <c r="Z26" s="326" t="n">
        <v>0.8354316317401094</v>
      </c>
    </row>
    <row r="27">
      <c r="A27" t="inlineStr">
        <is>
          <t>Education</t>
        </is>
      </c>
      <c r="B27" t="n">
        <v>34</v>
      </c>
      <c r="C27" s="326" t="n">
        <v>-0.02424833333333334</v>
      </c>
      <c r="D27" s="326" t="n">
        <v>0.08257094279364877</v>
      </c>
      <c r="E27" s="326" t="n">
        <v>0.1146700768586313</v>
      </c>
      <c r="F27" s="326" t="n">
        <v>0.2674815069148058</v>
      </c>
      <c r="G27" s="380" t="n">
        <v>0.9581616521364766</v>
      </c>
      <c r="H27" s="380" t="n">
        <v>1.153287</v>
      </c>
      <c r="I27" s="326" t="n">
        <v>0.0826869796</v>
      </c>
      <c r="J27" s="326" t="n">
        <v>0.5358944432505854</v>
      </c>
      <c r="K27" s="326" t="n">
        <v>0.0391</v>
      </c>
      <c r="L27" s="326" t="n">
        <v>0.2796783145644053</v>
      </c>
      <c r="M27" s="326" t="n">
        <v>0.0678721453046465</v>
      </c>
      <c r="N27" s="380" t="n">
        <v>1.51206632310181</v>
      </c>
      <c r="O27" s="380" t="n">
        <v>1.866058368636372</v>
      </c>
      <c r="P27" s="380" t="n">
        <v>10.04851026192777</v>
      </c>
      <c r="Q27" s="380" t="n">
        <v>21.58127074867651</v>
      </c>
      <c r="R27" s="380" t="n">
        <v>2.3299064761384</v>
      </c>
      <c r="S27" s="380" t="n">
        <v>32.34763011799095</v>
      </c>
      <c r="T27" s="326" t="n">
        <v>0.1055976420765659</v>
      </c>
      <c r="U27" s="326" t="n">
        <v>0.04400180094075458</v>
      </c>
      <c r="V27" s="326" t="n">
        <v>0.03281731566169623</v>
      </c>
      <c r="W27" s="326" t="n">
        <v>0.6283998277077035</v>
      </c>
      <c r="X27" s="326" t="n">
        <v>0.02596114813369412</v>
      </c>
      <c r="Y27" s="326" t="n">
        <v>0.2968522962890403</v>
      </c>
      <c r="Z27" s="326" t="n">
        <v>0.2968522962890403</v>
      </c>
    </row>
    <row r="28">
      <c r="A28" t="inlineStr">
        <is>
          <t>Electrical Equipment</t>
        </is>
      </c>
      <c r="B28" t="n">
        <v>118</v>
      </c>
      <c r="C28" s="326" t="n">
        <v>-0.02136816326530613</v>
      </c>
      <c r="D28" s="326" t="n">
        <v>0.1199503883371534</v>
      </c>
      <c r="E28" s="326" t="n">
        <v>0.2188365814552507</v>
      </c>
      <c r="F28" s="326" t="n">
        <v>0.2779858515245951</v>
      </c>
      <c r="G28" s="380" t="n">
        <v>1.024469571235881</v>
      </c>
      <c r="H28" s="380" t="n">
        <v>1.084847923076924</v>
      </c>
      <c r="I28" s="326" t="n">
        <v>0.07921027449230772</v>
      </c>
      <c r="J28" s="326" t="n">
        <v>0.6616525728577226</v>
      </c>
      <c r="K28" s="326" t="n">
        <v>0.0466</v>
      </c>
      <c r="L28" s="326" t="n">
        <v>0.1368339543572228</v>
      </c>
      <c r="M28" s="326" t="n">
        <v>0.07321773073531961</v>
      </c>
      <c r="N28" s="380" t="n">
        <v>1.920752909923662</v>
      </c>
      <c r="O28" s="380" t="n">
        <v>2.478469343925942</v>
      </c>
      <c r="P28" s="380" t="n">
        <v>13.97739944501926</v>
      </c>
      <c r="Q28" s="380" t="n">
        <v>19.89072613972728</v>
      </c>
      <c r="R28" s="380" t="n">
        <v>4.305305907704462</v>
      </c>
      <c r="S28" s="380" t="n">
        <v>23.65205600282535</v>
      </c>
      <c r="T28" s="326" t="n">
        <v>0.1990199088832454</v>
      </c>
      <c r="U28" s="326" t="n">
        <v>0.04431285948199008</v>
      </c>
      <c r="V28" s="326" t="n">
        <v>0.08582403628817414</v>
      </c>
      <c r="W28" s="326" t="n">
        <v>1.023142098848794</v>
      </c>
      <c r="X28" s="326" t="n">
        <v>0.1354202178375558</v>
      </c>
      <c r="Y28" s="326" t="n">
        <v>0.575870126237057</v>
      </c>
      <c r="Z28" s="326" t="n">
        <v>0.575870126237057</v>
      </c>
    </row>
    <row r="29">
      <c r="A29" t="inlineStr">
        <is>
          <t>Electronics (Consumer &amp; Office)</t>
        </is>
      </c>
      <c r="B29" t="n">
        <v>24</v>
      </c>
      <c r="C29" s="326" t="n">
        <v>-0.004880000000000006</v>
      </c>
      <c r="D29" s="326" t="n">
        <v>-0.04174554495193726</v>
      </c>
      <c r="E29" s="326" t="n">
        <v>-0.05541119698716598</v>
      </c>
      <c r="F29" s="326" t="n">
        <v>0.322787979966611</v>
      </c>
      <c r="G29" s="380" t="n">
        <v>1.079154387367689</v>
      </c>
      <c r="H29" s="380" t="n">
        <v>1.092384761904762</v>
      </c>
      <c r="I29" s="326" t="n">
        <v>0.07959314590476191</v>
      </c>
      <c r="J29" s="326" t="n">
        <v>0.7022224433520017</v>
      </c>
      <c r="K29" s="326" t="n">
        <v>0.0466</v>
      </c>
      <c r="L29" s="326" t="n">
        <v>0.06490532603772853</v>
      </c>
      <c r="M29" s="326" t="n">
        <v>0.07672581384639704</v>
      </c>
      <c r="N29" s="380" t="n">
        <v>1.394430759882741</v>
      </c>
      <c r="O29" s="380" t="n">
        <v>2.520170595340721</v>
      </c>
      <c r="P29" s="380" t="n">
        <v>17.17252841652483</v>
      </c>
      <c r="Q29" s="380" t="inlineStr">
        <is>
          <t>NA</t>
        </is>
      </c>
      <c r="R29" s="380" t="n">
        <v>7.9107648831598</v>
      </c>
      <c r="S29" s="380" t="n">
        <v>79.9375592640169</v>
      </c>
      <c r="T29" s="326" t="n">
        <v>0.1975546005981444</v>
      </c>
      <c r="U29" s="326" t="n">
        <v>0.03142235845264322</v>
      </c>
      <c r="V29" s="326" t="n">
        <v>-0.001253299189113573</v>
      </c>
      <c r="W29" s="326" t="inlineStr">
        <is>
          <t>NA</t>
        </is>
      </c>
      <c r="X29" s="326" t="n">
        <v>-0.2960347043337497</v>
      </c>
      <c r="Y29" s="326" t="n">
        <v>0.001778074866310161</v>
      </c>
      <c r="Z29" s="326" t="n">
        <v>0.001778074866310209</v>
      </c>
    </row>
    <row r="30">
      <c r="A30" t="inlineStr">
        <is>
          <t>Electronics (General)</t>
        </is>
      </c>
      <c r="B30" t="n">
        <v>167</v>
      </c>
      <c r="C30" s="326" t="n">
        <v>0.06842855855855856</v>
      </c>
      <c r="D30" s="326" t="n">
        <v>0.09809807989742822</v>
      </c>
      <c r="E30" s="326" t="n">
        <v>0.1355253853322213</v>
      </c>
      <c r="F30" s="326" t="n">
        <v>0.259851535152859</v>
      </c>
      <c r="G30" s="380" t="n">
        <v>0.9133221236941327</v>
      </c>
      <c r="H30" s="380" t="n">
        <v>0.9379006233766231</v>
      </c>
      <c r="I30" s="326" t="n">
        <v>0.07174535166753244</v>
      </c>
      <c r="J30" s="326" t="n">
        <v>0.6024741900427713</v>
      </c>
      <c r="K30" s="326" t="n">
        <v>0.0391</v>
      </c>
      <c r="L30" s="326" t="n">
        <v>0.1302182157263191</v>
      </c>
      <c r="M30" s="326" t="n">
        <v>0.06627236448525237</v>
      </c>
      <c r="N30" s="380" t="n">
        <v>1.502663999227573</v>
      </c>
      <c r="O30" s="380" t="n">
        <v>2.11883194108769</v>
      </c>
      <c r="P30" s="380" t="n">
        <v>13.16329528818911</v>
      </c>
      <c r="Q30" s="380" t="n">
        <v>21.93201009924666</v>
      </c>
      <c r="R30" s="380" t="n">
        <v>3.044088879089216</v>
      </c>
      <c r="S30" s="380" t="n">
        <v>182.2997751306974</v>
      </c>
      <c r="T30" s="326" t="n">
        <v>0.1857629297215216</v>
      </c>
      <c r="U30" s="326" t="n">
        <v>0.046978800118334</v>
      </c>
      <c r="V30" s="326" t="n">
        <v>0.07724195195066298</v>
      </c>
      <c r="W30" s="326" t="n">
        <v>1.220164548752912</v>
      </c>
      <c r="X30" s="326" t="n">
        <v>0.1129855463134724</v>
      </c>
      <c r="Y30" s="326" t="n">
        <v>0.2022485239296749</v>
      </c>
      <c r="Z30" s="326" t="n">
        <v>0.202248523929675</v>
      </c>
    </row>
    <row r="31">
      <c r="A31" t="inlineStr">
        <is>
          <t>Engineering/Construction</t>
        </is>
      </c>
      <c r="B31" t="n">
        <v>49</v>
      </c>
      <c r="C31" s="326" t="n">
        <v>0.0964343333333333</v>
      </c>
      <c r="D31" s="326" t="n">
        <v>0.04279415435758012</v>
      </c>
      <c r="E31" s="326" t="n">
        <v>0.1843486912975418</v>
      </c>
      <c r="F31" s="326" t="n">
        <v>0.3055520839388479</v>
      </c>
      <c r="G31" s="380" t="n">
        <v>1.128052653961941</v>
      </c>
      <c r="H31" s="380" t="n">
        <v>1.270316977777778</v>
      </c>
      <c r="I31" s="326" t="n">
        <v>0.08863210247111111</v>
      </c>
      <c r="J31" s="326" t="n">
        <v>0.530199134554602</v>
      </c>
      <c r="K31" s="326" t="n">
        <v>0.0391</v>
      </c>
      <c r="L31" s="326" t="n">
        <v>0.2290831956922744</v>
      </c>
      <c r="M31" s="326" t="n">
        <v>0.07513541343929546</v>
      </c>
      <c r="N31" s="380" t="n">
        <v>4.974044548970581</v>
      </c>
      <c r="O31" s="380" t="n">
        <v>0.6948000893727506</v>
      </c>
      <c r="P31" s="380" t="n">
        <v>9.920819072617695</v>
      </c>
      <c r="Q31" s="380" t="n">
        <v>16.11335969831563</v>
      </c>
      <c r="R31" s="380" t="n">
        <v>2.07737995213785</v>
      </c>
      <c r="S31" s="380" t="n">
        <v>33.83998092441327</v>
      </c>
      <c r="T31" s="326" t="n">
        <v>0.1506542676440815</v>
      </c>
      <c r="U31" s="326" t="n">
        <v>0.01617632663917514</v>
      </c>
      <c r="V31" s="326" t="n">
        <v>0.01308267277063988</v>
      </c>
      <c r="W31" s="326" t="n">
        <v>0.6105234861249443</v>
      </c>
      <c r="X31" s="326" t="n">
        <v>0.07708074062829415</v>
      </c>
      <c r="Y31" s="326" t="n">
        <v>0.1689443885509315</v>
      </c>
      <c r="Z31" s="326" t="n">
        <v>0.1689443885509315</v>
      </c>
    </row>
    <row r="32">
      <c r="A32" t="inlineStr">
        <is>
          <t>Entertainment</t>
        </is>
      </c>
      <c r="B32" t="n">
        <v>90</v>
      </c>
      <c r="C32" s="326" t="n">
        <v>0.03334863636363636</v>
      </c>
      <c r="D32" s="326" t="n">
        <v>0.2072125068321552</v>
      </c>
      <c r="E32" s="326" t="n">
        <v>0.3110816044839939</v>
      </c>
      <c r="F32" s="326" t="n">
        <v>0.2921410896114271</v>
      </c>
      <c r="G32" s="380" t="n">
        <v>0.9571668315797424</v>
      </c>
      <c r="H32" s="380" t="n">
        <v>1.151772413793103</v>
      </c>
      <c r="I32" s="326" t="n">
        <v>0.08261003862068965</v>
      </c>
      <c r="J32" s="326" t="n">
        <v>0.5493693393481448</v>
      </c>
      <c r="K32" s="326" t="n">
        <v>0.0391</v>
      </c>
      <c r="L32" s="326" t="n">
        <v>0.2522809493713652</v>
      </c>
      <c r="M32" s="326" t="n">
        <v>0.06926588034137642</v>
      </c>
      <c r="N32" s="380" t="n">
        <v>1.587752877133368</v>
      </c>
      <c r="O32" s="380" t="n">
        <v>2.873885832687122</v>
      </c>
      <c r="P32" s="380" t="n">
        <v>10.58434684685263</v>
      </c>
      <c r="Q32" s="380" t="n">
        <v>13.80792883260935</v>
      </c>
      <c r="R32" s="380" t="n">
        <v>3.05062313447703</v>
      </c>
      <c r="S32" s="380" t="n">
        <v>70.06560896249647</v>
      </c>
      <c r="T32" s="326" t="n">
        <v>0.1058651562723123</v>
      </c>
      <c r="U32" s="326" t="n">
        <v>0.04343329024623088</v>
      </c>
      <c r="V32" s="326" t="n">
        <v>0.04273080411370366</v>
      </c>
      <c r="W32" s="326" t="n">
        <v>0.8517745511986977</v>
      </c>
      <c r="X32" s="326" t="n">
        <v>0.1898527864031256</v>
      </c>
      <c r="Y32" s="326" t="n">
        <v>0.2981012468998548</v>
      </c>
      <c r="Z32" s="326" t="n">
        <v>0.2981012468998548</v>
      </c>
    </row>
    <row r="33">
      <c r="A33" t="inlineStr">
        <is>
          <t>Environmental &amp; Waste Services</t>
        </is>
      </c>
      <c r="B33" t="n">
        <v>87</v>
      </c>
      <c r="C33" s="326" t="n">
        <v>0.159196129032258</v>
      </c>
      <c r="D33" s="326" t="n">
        <v>0.125386926200469</v>
      </c>
      <c r="E33" s="326" t="n">
        <v>0.2128166665677846</v>
      </c>
      <c r="F33" s="326" t="n">
        <v>0.3570802060479326</v>
      </c>
      <c r="G33" s="380" t="n">
        <v>0.6997748184259298</v>
      </c>
      <c r="H33" s="380" t="n">
        <v>0.8769972222222222</v>
      </c>
      <c r="I33" s="326" t="n">
        <v>0.06865145888888889</v>
      </c>
      <c r="J33" s="326" t="n">
        <v>0.6573679263771457</v>
      </c>
      <c r="K33" s="326" t="n">
        <v>0.0466</v>
      </c>
      <c r="L33" s="326" t="n">
        <v>0.2585384690538214</v>
      </c>
      <c r="M33" s="326" t="n">
        <v>0.06005881422945433</v>
      </c>
      <c r="N33" s="380" t="n">
        <v>1.776323671843083</v>
      </c>
      <c r="O33" s="380" t="n">
        <v>2.625253685061364</v>
      </c>
      <c r="P33" s="380" t="n">
        <v>11.83322864519838</v>
      </c>
      <c r="Q33" s="380" t="n">
        <v>20.79890868913692</v>
      </c>
      <c r="R33" s="380" t="n">
        <v>4.098472279268314</v>
      </c>
      <c r="S33" s="380" t="n">
        <v>132.150993155237</v>
      </c>
      <c r="T33" s="326" t="n">
        <v>0.1012819464780858</v>
      </c>
      <c r="U33" s="326" t="n">
        <v>0.07082002220261935</v>
      </c>
      <c r="V33" s="326" t="n">
        <v>0.02335835112741144</v>
      </c>
      <c r="W33" s="326" t="n">
        <v>0.2848794794944043</v>
      </c>
      <c r="X33" s="326" t="n">
        <v>0.09469844494831617</v>
      </c>
      <c r="Y33" s="326" t="n">
        <v>0.7114539497329195</v>
      </c>
      <c r="Z33" s="326" t="n">
        <v>0.7114539497329195</v>
      </c>
    </row>
    <row r="34">
      <c r="A34" t="inlineStr">
        <is>
          <t>Farming/Agriculture</t>
        </is>
      </c>
      <c r="B34" t="n">
        <v>34</v>
      </c>
      <c r="C34" s="326" t="n">
        <v>0.1307717647058824</v>
      </c>
      <c r="D34" s="326" t="n">
        <v>0.04501038031742201</v>
      </c>
      <c r="E34" s="326" t="n">
        <v>0.07138655188366502</v>
      </c>
      <c r="F34" s="326" t="n">
        <v>0.2768517779448853</v>
      </c>
      <c r="G34" s="380" t="n">
        <v>0.5573708215542307</v>
      </c>
      <c r="H34" s="380" t="n">
        <v>0.7449101333333333</v>
      </c>
      <c r="I34" s="326" t="n">
        <v>0.06194143477333333</v>
      </c>
      <c r="J34" s="326" t="n">
        <v>0.425679898824838</v>
      </c>
      <c r="K34" s="326" t="n">
        <v>0.0391</v>
      </c>
      <c r="L34" s="326" t="n">
        <v>0.3570600259274968</v>
      </c>
      <c r="M34" s="326" t="n">
        <v>0.05043502019764207</v>
      </c>
      <c r="N34" s="380" t="n">
        <v>1.717941592674523</v>
      </c>
      <c r="O34" s="380" t="n">
        <v>1.019903474383426</v>
      </c>
      <c r="P34" s="380" t="n">
        <v>13.81829982050881</v>
      </c>
      <c r="Q34" s="380" t="n">
        <v>22.60154533297731</v>
      </c>
      <c r="R34" s="380" t="n">
        <v>2.420863484970799</v>
      </c>
      <c r="S34" s="380" t="n">
        <v>23.2768071764159</v>
      </c>
      <c r="T34" s="326" t="n">
        <v>0.1028589052871561</v>
      </c>
      <c r="U34" s="326" t="n">
        <v>0.03324473051766396</v>
      </c>
      <c r="V34" s="326" t="n">
        <v>0.02377733357298046</v>
      </c>
      <c r="W34" s="326" t="n">
        <v>1.069627434877355</v>
      </c>
      <c r="X34" s="326" t="n">
        <v>0.1209508015718763</v>
      </c>
      <c r="Y34" s="326" t="n">
        <v>0.4075198573068752</v>
      </c>
      <c r="Z34" s="326" t="n">
        <v>0.4075198573068752</v>
      </c>
    </row>
    <row r="35">
      <c r="A35" t="inlineStr">
        <is>
          <t>Financial Svcs. (Non-bank &amp; Insurance)</t>
        </is>
      </c>
      <c r="B35" t="n">
        <v>264</v>
      </c>
      <c r="C35" s="326" t="n">
        <v>0.1035200609756097</v>
      </c>
      <c r="D35" s="326" t="n">
        <v>0.07386787347572181</v>
      </c>
      <c r="E35" s="326" t="n">
        <v>0.002054010082645707</v>
      </c>
      <c r="F35" s="326" t="n">
        <v>0.331055957424284</v>
      </c>
      <c r="G35" s="380" t="n">
        <v>0.07028908032575622</v>
      </c>
      <c r="H35" s="380" t="n">
        <v>0.6068717685950415</v>
      </c>
      <c r="I35" s="326" t="n">
        <v>0.05492908584462811</v>
      </c>
      <c r="J35" s="326" t="n">
        <v>0.3663335193266925</v>
      </c>
      <c r="K35" s="326" t="n">
        <v>0.0361</v>
      </c>
      <c r="L35" s="326" t="n">
        <v>0.9116754154093681</v>
      </c>
      <c r="M35" s="326" t="n">
        <v>0.02986431538634136</v>
      </c>
      <c r="N35" s="380" t="n">
        <v>0.03458981797038185</v>
      </c>
      <c r="O35" s="380" t="n">
        <v>31.18055099200384</v>
      </c>
      <c r="P35" s="380" t="inlineStr">
        <is>
          <t>NA</t>
        </is>
      </c>
      <c r="Q35" s="380" t="inlineStr">
        <is>
          <t>NA</t>
        </is>
      </c>
      <c r="R35" s="380" t="n">
        <v>2.204500800628057</v>
      </c>
      <c r="S35" s="380" t="n">
        <v>31.9919344241762</v>
      </c>
      <c r="T35" s="326" t="inlineStr">
        <is>
          <t>NA</t>
        </is>
      </c>
      <c r="U35" s="326" t="n">
        <v>0.07118135784283572</v>
      </c>
      <c r="V35" s="326" t="n">
        <v>0.1169198554090201</v>
      </c>
      <c r="W35" s="326" t="n">
        <v>2.163127164020322</v>
      </c>
      <c r="X35" s="326" t="n">
        <v>-0.002869118837539225</v>
      </c>
      <c r="Y35" s="326" t="n">
        <v>0.1529495998627452</v>
      </c>
      <c r="Z35" s="326" t="n">
        <v>0.1529495998627453</v>
      </c>
    </row>
    <row r="36">
      <c r="A36" t="inlineStr">
        <is>
          <t>Food Processing</t>
        </is>
      </c>
      <c r="B36" t="n">
        <v>87</v>
      </c>
      <c r="C36" s="326" t="n">
        <v>0.04116642857142857</v>
      </c>
      <c r="D36" s="326" t="n">
        <v>0.1421139955494749</v>
      </c>
      <c r="E36" s="326" t="n">
        <v>0.197102223884028</v>
      </c>
      <c r="F36" s="326" t="n">
        <v>0.2857816413366825</v>
      </c>
      <c r="G36" s="380" t="n">
        <v>0.5563190172027664</v>
      </c>
      <c r="H36" s="380" t="n">
        <v>0.6757656842105263</v>
      </c>
      <c r="I36" s="326" t="n">
        <v>0.05842889675789474</v>
      </c>
      <c r="J36" s="326" t="n">
        <v>0.4118429296428698</v>
      </c>
      <c r="K36" s="326" t="n">
        <v>0.0391</v>
      </c>
      <c r="L36" s="326" t="n">
        <v>0.2355744084525399</v>
      </c>
      <c r="M36" s="326" t="n">
        <v>0.05166487308919483</v>
      </c>
      <c r="N36" s="380" t="n">
        <v>1.634183304186869</v>
      </c>
      <c r="O36" s="380" t="n">
        <v>2.416527491559642</v>
      </c>
      <c r="P36" s="380" t="n">
        <v>13.3792133226932</v>
      </c>
      <c r="Q36" s="380" t="n">
        <v>16.91570294876903</v>
      </c>
      <c r="R36" s="380" t="n">
        <v>2.877861928510764</v>
      </c>
      <c r="S36" s="380" t="n">
        <v>100.8470811608433</v>
      </c>
      <c r="T36" s="326" t="n">
        <v>0.0731804211117026</v>
      </c>
      <c r="U36" s="326" t="n">
        <v>0.03679162544565519</v>
      </c>
      <c r="V36" s="326" t="n">
        <v>0.06998701451605686</v>
      </c>
      <c r="W36" s="326" t="n">
        <v>0.686499825403421</v>
      </c>
      <c r="X36" s="326" t="n">
        <v>0.1154023226849535</v>
      </c>
      <c r="Y36" s="326" t="n">
        <v>0.5883393089089811</v>
      </c>
      <c r="Z36" s="326" t="n">
        <v>0.5883393089089811</v>
      </c>
    </row>
    <row r="37">
      <c r="A37" t="inlineStr">
        <is>
          <t>Food Wholesalers</t>
        </is>
      </c>
      <c r="B37" t="n">
        <v>15</v>
      </c>
      <c r="C37" s="326" t="n">
        <v>0.08864999999999998</v>
      </c>
      <c r="D37" s="326" t="n">
        <v>0.02977920710355607</v>
      </c>
      <c r="E37" s="326" t="n">
        <v>0.1996331991717597</v>
      </c>
      <c r="F37" s="326" t="n">
        <v>0.337152793950968</v>
      </c>
      <c r="G37" s="380" t="n">
        <v>1.414758516060824</v>
      </c>
      <c r="H37" s="380" t="n">
        <v>1.785612923076923</v>
      </c>
      <c r="I37" s="326" t="n">
        <v>0.1148091364923077</v>
      </c>
      <c r="J37" s="326" t="n">
        <v>0.5541928742439741</v>
      </c>
      <c r="K37" s="326" t="n">
        <v>0.0391</v>
      </c>
      <c r="L37" s="326" t="n">
        <v>0.2725105917389819</v>
      </c>
      <c r="M37" s="326" t="n">
        <v>0.09162035551386298</v>
      </c>
      <c r="N37" s="380" t="n">
        <v>7.610144706074625</v>
      </c>
      <c r="O37" s="380" t="n">
        <v>0.5292923003467018</v>
      </c>
      <c r="P37" s="380" t="n">
        <v>11.62509244999072</v>
      </c>
      <c r="Q37" s="380" t="n">
        <v>17.75723648779022</v>
      </c>
      <c r="R37" s="380" t="n">
        <v>4.995900109828577</v>
      </c>
      <c r="S37" s="380" t="n">
        <v>25.8765443799782</v>
      </c>
      <c r="T37" s="326" t="n">
        <v>0.06423046945561348</v>
      </c>
      <c r="U37" s="326" t="n">
        <v>0.01101169290364017</v>
      </c>
      <c r="V37" s="326" t="n">
        <v>0.004287303222698718</v>
      </c>
      <c r="W37" s="326" t="n">
        <v>0.3520738967769249</v>
      </c>
      <c r="X37" s="326" t="n">
        <v>0.1664447213018114</v>
      </c>
      <c r="Y37" s="326" t="n">
        <v>0.4622079755315577</v>
      </c>
      <c r="Z37" s="326" t="n">
        <v>0.4622079755315578</v>
      </c>
    </row>
    <row r="38">
      <c r="A38" t="inlineStr">
        <is>
          <t>Furn/Home Furnishings</t>
        </is>
      </c>
      <c r="B38" t="n">
        <v>31</v>
      </c>
      <c r="C38" s="326" t="n">
        <v>0.09954799999999998</v>
      </c>
      <c r="D38" s="326" t="n">
        <v>0.09479890255939616</v>
      </c>
      <c r="E38" s="326" t="n">
        <v>0.1756086642171551</v>
      </c>
      <c r="F38" s="326" t="n">
        <v>0.2332314125164604</v>
      </c>
      <c r="G38" s="380" t="n">
        <v>0.6736865696897676</v>
      </c>
      <c r="H38" s="380" t="n">
        <v>0.790092857142857</v>
      </c>
      <c r="I38" s="326" t="n">
        <v>0.06423671714285714</v>
      </c>
      <c r="J38" s="326" t="n">
        <v>0.512585549015999</v>
      </c>
      <c r="K38" s="326" t="n">
        <v>0.0391</v>
      </c>
      <c r="L38" s="326" t="n">
        <v>0.217916843680479</v>
      </c>
      <c r="M38" s="326" t="n">
        <v>0.0567140714214991</v>
      </c>
      <c r="N38" s="380" t="n">
        <v>2.116607073136065</v>
      </c>
      <c r="O38" s="380" t="n">
        <v>1.409520451846427</v>
      </c>
      <c r="P38" s="380" t="n">
        <v>10.3766790459605</v>
      </c>
      <c r="Q38" s="380" t="n">
        <v>14.894158715339</v>
      </c>
      <c r="R38" s="380" t="n">
        <v>2.980126443005198</v>
      </c>
      <c r="S38" s="380" t="n">
        <v>90.85739128242901</v>
      </c>
      <c r="T38" s="326" t="n">
        <v>0.128708400645507</v>
      </c>
      <c r="U38" s="326" t="n">
        <v>0.04215871000643177</v>
      </c>
      <c r="V38" s="326" t="n">
        <v>0.03643992211483405</v>
      </c>
      <c r="W38" s="326" t="n">
        <v>0.5989622465800561</v>
      </c>
      <c r="X38" s="326" t="n">
        <v>0.1761981955874864</v>
      </c>
      <c r="Y38" s="326" t="n">
        <v>0.2326969466192972</v>
      </c>
      <c r="Z38" s="326" t="n">
        <v>0.2326969466192972</v>
      </c>
    </row>
    <row r="39">
      <c r="A39" t="inlineStr">
        <is>
          <t>Green &amp; Renewable Energy</t>
        </is>
      </c>
      <c r="B39" t="n">
        <v>22</v>
      </c>
      <c r="C39" s="326" t="n">
        <v>-0.04735</v>
      </c>
      <c r="D39" s="326" t="n">
        <v>0.1173052780777761</v>
      </c>
      <c r="E39" s="326" t="n">
        <v>0.01936421237922055</v>
      </c>
      <c r="F39" s="326" t="n">
        <v>0.1807354831498351</v>
      </c>
      <c r="G39" s="380" t="n">
        <v>0.7201596450679836</v>
      </c>
      <c r="H39" s="380" t="n">
        <v>1.201616533333334</v>
      </c>
      <c r="I39" s="326" t="n">
        <v>0.08514211989333334</v>
      </c>
      <c r="J39" s="326" t="n">
        <v>0.6028807458294347</v>
      </c>
      <c r="K39" s="326" t="n">
        <v>0.0391</v>
      </c>
      <c r="L39" s="326" t="n">
        <v>0.4955282914853645</v>
      </c>
      <c r="M39" s="326" t="n">
        <v>0.05767690939892689</v>
      </c>
      <c r="N39" s="380" t="n">
        <v>0.1691664501295352</v>
      </c>
      <c r="O39" s="380" t="n">
        <v>8.401547309721968</v>
      </c>
      <c r="P39" s="380" t="n">
        <v>15.12948911034477</v>
      </c>
      <c r="Q39" s="380" t="n">
        <v>69.0910533421541</v>
      </c>
      <c r="R39" s="380" t="n">
        <v>1.207938848690229</v>
      </c>
      <c r="S39" s="380" t="n">
        <v>192.4875905580224</v>
      </c>
      <c r="T39" s="326" t="n">
        <v>0.09671933421782652</v>
      </c>
      <c r="U39" s="326" t="n">
        <v>0.1867492576574714</v>
      </c>
      <c r="V39" s="326" t="n">
        <v>0.1307292474341082</v>
      </c>
      <c r="W39" s="326" t="n">
        <v>1.607903520144209</v>
      </c>
      <c r="X39" s="326" t="n">
        <v>0.006559113682312928</v>
      </c>
      <c r="Y39" s="326" t="n">
        <v>7.356862036242026</v>
      </c>
      <c r="Z39" s="326" t="n">
        <v>7.356862036242026</v>
      </c>
    </row>
    <row r="40">
      <c r="A40" t="inlineStr">
        <is>
          <t>Healthcare Products</t>
        </is>
      </c>
      <c r="B40" t="n">
        <v>251</v>
      </c>
      <c r="C40" s="326" t="n">
        <v>0.1053938842975206</v>
      </c>
      <c r="D40" s="326" t="n">
        <v>0.1598268353055575</v>
      </c>
      <c r="E40" s="326" t="n">
        <v>0.1629850204863377</v>
      </c>
      <c r="F40" s="326" t="n">
        <v>0.158358055575967</v>
      </c>
      <c r="G40" s="380" t="n">
        <v>0.8850834696659141</v>
      </c>
      <c r="H40" s="380" t="n">
        <v>0.9412867387387388</v>
      </c>
      <c r="I40" s="326" t="n">
        <v>0.07191736632792793</v>
      </c>
      <c r="J40" s="326" t="n">
        <v>0.6692073767796387</v>
      </c>
      <c r="K40" s="326" t="n">
        <v>0.0466</v>
      </c>
      <c r="L40" s="326" t="n">
        <v>0.1459061057788022</v>
      </c>
      <c r="M40" s="326" t="n">
        <v>0.06659159411141446</v>
      </c>
      <c r="N40" s="380" t="n">
        <v>1.068879675794263</v>
      </c>
      <c r="O40" s="380" t="n">
        <v>4.792588518642456</v>
      </c>
      <c r="P40" s="380" t="n">
        <v>18.96546306346892</v>
      </c>
      <c r="Q40" s="380" t="n">
        <v>30.35096474611346</v>
      </c>
      <c r="R40" s="380" t="n">
        <v>4.044106423560437</v>
      </c>
      <c r="S40" s="380" t="n">
        <v>91.79888470367098</v>
      </c>
      <c r="T40" s="326" t="n">
        <v>0.229250028667445</v>
      </c>
      <c r="U40" s="326" t="n">
        <v>0.04749436387281605</v>
      </c>
      <c r="V40" s="326" t="n">
        <v>0.16309959379411</v>
      </c>
      <c r="W40" s="326" t="n">
        <v>1.305896798679607</v>
      </c>
      <c r="X40" s="326" t="n">
        <v>0.09509115451037435</v>
      </c>
      <c r="Y40" s="326" t="n">
        <v>0.369147400203224</v>
      </c>
      <c r="Z40" s="326" t="n">
        <v>0.369147400203224</v>
      </c>
    </row>
    <row r="41">
      <c r="A41" t="inlineStr">
        <is>
          <t>Healthcare Support Services</t>
        </is>
      </c>
      <c r="B41" t="n">
        <v>115</v>
      </c>
      <c r="C41" s="326" t="n">
        <v>0.1654542857142857</v>
      </c>
      <c r="D41" s="326" t="n">
        <v>0.04669839551590602</v>
      </c>
      <c r="E41" s="326" t="n">
        <v>0.5053965397514799</v>
      </c>
      <c r="F41" s="326" t="n">
        <v>0.319206409251353</v>
      </c>
      <c r="G41" s="380" t="n">
        <v>0.8238203547531933</v>
      </c>
      <c r="H41" s="380" t="n">
        <v>0.8975385050505049</v>
      </c>
      <c r="I41" s="326" t="n">
        <v>0.06969495605656564</v>
      </c>
      <c r="J41" s="326" t="n">
        <v>0.5744250491934765</v>
      </c>
      <c r="K41" s="326" t="n">
        <v>0.0391</v>
      </c>
      <c r="L41" s="326" t="n">
        <v>0.1988933289947429</v>
      </c>
      <c r="M41" s="326" t="n">
        <v>0.06174340839674076</v>
      </c>
      <c r="N41" s="380" t="n">
        <v>12.54345098288676</v>
      </c>
      <c r="O41" s="380" t="n">
        <v>0.6240018751857843</v>
      </c>
      <c r="P41" s="380" t="n">
        <v>10.71975704113716</v>
      </c>
      <c r="Q41" s="380" t="n">
        <v>13.27301503840757</v>
      </c>
      <c r="R41" s="380" t="n">
        <v>3.194621903837776</v>
      </c>
      <c r="S41" s="380" t="n">
        <v>41.18968909533049</v>
      </c>
      <c r="T41" s="326" t="n">
        <v>-0.06150976296567929</v>
      </c>
      <c r="U41" s="326" t="n">
        <v>0.006997905457090691</v>
      </c>
      <c r="V41" s="326" t="n">
        <v>0.01454580892880543</v>
      </c>
      <c r="W41" s="326" t="n">
        <v>0.559665928216591</v>
      </c>
      <c r="X41" s="326" t="n">
        <v>0.1740025600232601</v>
      </c>
      <c r="Y41" s="326" t="n">
        <v>0.1863677275162929</v>
      </c>
      <c r="Z41" s="326" t="n">
        <v>0.1863677275162929</v>
      </c>
    </row>
    <row r="42">
      <c r="A42" t="inlineStr">
        <is>
          <t>Heathcare Information and Technology</t>
        </is>
      </c>
      <c r="B42" t="n">
        <v>112</v>
      </c>
      <c r="C42" s="326" t="n">
        <v>0.0667841176470588</v>
      </c>
      <c r="D42" s="326" t="n">
        <v>0.1433976257774248</v>
      </c>
      <c r="E42" s="326" t="n">
        <v>0.1573276665338359</v>
      </c>
      <c r="F42" s="326" t="n">
        <v>0.1754740957717066</v>
      </c>
      <c r="G42" s="380" t="n">
        <v>0.8837080124216079</v>
      </c>
      <c r="H42" s="380" t="n">
        <v>0.9791562399999999</v>
      </c>
      <c r="I42" s="326" t="n">
        <v>0.073841136992</v>
      </c>
      <c r="J42" s="326" t="n">
        <v>0.5863612242697732</v>
      </c>
      <c r="K42" s="326" t="n">
        <v>0.0391</v>
      </c>
      <c r="L42" s="326" t="n">
        <v>0.1617419700293717</v>
      </c>
      <c r="M42" s="326" t="n">
        <v>0.06670425040709801</v>
      </c>
      <c r="N42" s="380" t="n">
        <v>1.163768003653645</v>
      </c>
      <c r="O42" s="380" t="n">
        <v>4.946864398614969</v>
      </c>
      <c r="P42" s="380" t="n">
        <v>20.51104467586294</v>
      </c>
      <c r="Q42" s="380" t="n">
        <v>35.15354142524619</v>
      </c>
      <c r="R42" s="380" t="n">
        <v>4.04864216345312</v>
      </c>
      <c r="S42" s="380" t="n">
        <v>69.02628844374804</v>
      </c>
      <c r="T42" s="326" t="n">
        <v>0.2313093667008083</v>
      </c>
      <c r="U42" s="326" t="n">
        <v>0.04227450835558402</v>
      </c>
      <c r="V42" s="326" t="n">
        <v>0.1209385860345381</v>
      </c>
      <c r="W42" s="326" t="n">
        <v>1.216659147364523</v>
      </c>
      <c r="X42" s="326" t="n">
        <v>0.1079578194172847</v>
      </c>
      <c r="Y42" s="326" t="n">
        <v>0.09318578957480785</v>
      </c>
      <c r="Z42" s="326" t="n">
        <v>0.09318578957480783</v>
      </c>
    </row>
    <row r="43">
      <c r="A43" t="inlineStr">
        <is>
          <t>Homebuilding</t>
        </is>
      </c>
      <c r="B43" t="n">
        <v>32</v>
      </c>
      <c r="C43" s="326" t="n">
        <v>0.2290857142857143</v>
      </c>
      <c r="D43" s="326" t="n">
        <v>0.1010689130017265</v>
      </c>
      <c r="E43" s="326" t="n">
        <v>0.09308196478952714</v>
      </c>
      <c r="F43" s="326" t="n">
        <v>0.3361949681054534</v>
      </c>
      <c r="G43" s="380" t="n">
        <v>0.8948281626696453</v>
      </c>
      <c r="H43" s="380" t="n">
        <v>1.108366451612903</v>
      </c>
      <c r="I43" s="326" t="n">
        <v>0.08040501574193548</v>
      </c>
      <c r="J43" s="326" t="n">
        <v>0.4469965402821834</v>
      </c>
      <c r="K43" s="326" t="n">
        <v>0.0391</v>
      </c>
      <c r="L43" s="326" t="n">
        <v>0.2839286992960179</v>
      </c>
      <c r="M43" s="326" t="n">
        <v>0.06601294943373236</v>
      </c>
      <c r="N43" s="380" t="n">
        <v>1.209570499189282</v>
      </c>
      <c r="O43" s="380" t="n">
        <v>1.488774691628844</v>
      </c>
      <c r="P43" s="380" t="n">
        <v>13.78155582725527</v>
      </c>
      <c r="Q43" s="380" t="n">
        <v>14.72009372880249</v>
      </c>
      <c r="R43" s="380" t="n">
        <v>2.065577280138328</v>
      </c>
      <c r="S43" s="380" t="n">
        <v>24.37231100397188</v>
      </c>
      <c r="T43" s="326" t="n">
        <v>0.7880478451901997</v>
      </c>
      <c r="U43" s="326" t="n">
        <v>0.005283479428289967</v>
      </c>
      <c r="V43" s="326" t="n">
        <v>0.01348311153924949</v>
      </c>
      <c r="W43" s="326" t="n">
        <v>0.706814989498283</v>
      </c>
      <c r="X43" s="326" t="n">
        <v>0.1248557453349329</v>
      </c>
      <c r="Y43" s="326" t="n">
        <v>0.08355432006416065</v>
      </c>
      <c r="Z43" s="326" t="n">
        <v>0.08355432006416064</v>
      </c>
    </row>
    <row r="44">
      <c r="A44" t="inlineStr">
        <is>
          <t>Hospitals/Healthcare Facilities</t>
        </is>
      </c>
      <c r="B44" t="n">
        <v>35</v>
      </c>
      <c r="C44" s="326" t="n">
        <v>0.08187550000000002</v>
      </c>
      <c r="D44" s="326" t="n">
        <v>0.08808768810603557</v>
      </c>
      <c r="E44" s="326" t="n">
        <v>0.1183693780819782</v>
      </c>
      <c r="F44" s="326" t="n">
        <v>0.3105973279944904</v>
      </c>
      <c r="G44" s="380" t="n">
        <v>0.5122854446277495</v>
      </c>
      <c r="H44" s="380" t="n">
        <v>1.1785352</v>
      </c>
      <c r="I44" s="326" t="n">
        <v>0.08396958816</v>
      </c>
      <c r="J44" s="326" t="n">
        <v>0.6062819431405095</v>
      </c>
      <c r="K44" s="326" t="n">
        <v>0.0391</v>
      </c>
      <c r="L44" s="326" t="n">
        <v>0.6383538212072014</v>
      </c>
      <c r="M44" s="326" t="n">
        <v>0.04933660284386222</v>
      </c>
      <c r="N44" s="380" t="n">
        <v>1.502605744122091</v>
      </c>
      <c r="O44" s="380" t="n">
        <v>1.323678516347987</v>
      </c>
      <c r="P44" s="380" t="n">
        <v>8.23761815582044</v>
      </c>
      <c r="Q44" s="380" t="n">
        <v>14.97350741319993</v>
      </c>
      <c r="R44" s="380" t="n">
        <v>3.817959962255101</v>
      </c>
      <c r="S44" s="380" t="n">
        <v>19.77256223310841</v>
      </c>
      <c r="T44" s="326" t="n">
        <v>0.1232742945904088</v>
      </c>
      <c r="U44" s="326" t="n">
        <v>0.05100762816326199</v>
      </c>
      <c r="V44" s="326" t="n">
        <v>0.02563874188825154</v>
      </c>
      <c r="W44" s="326" t="n">
        <v>1.104129696650981</v>
      </c>
      <c r="X44" s="326" t="n">
        <v>0.08210909905233046</v>
      </c>
      <c r="Y44" s="326" t="n">
        <v>0.2414064127103769</v>
      </c>
      <c r="Z44" s="326" t="n">
        <v>0.2414064127103769</v>
      </c>
    </row>
    <row r="45">
      <c r="A45" t="inlineStr">
        <is>
          <t>Hotel/Gaming</t>
        </is>
      </c>
      <c r="B45" t="n">
        <v>70</v>
      </c>
      <c r="C45" s="326" t="n">
        <v>0.0786019512195122</v>
      </c>
      <c r="D45" s="326" t="n">
        <v>0.1958953067205897</v>
      </c>
      <c r="E45" s="326" t="n">
        <v>0.1133014643295696</v>
      </c>
      <c r="F45" s="326" t="n">
        <v>0.2030323192258639</v>
      </c>
      <c r="G45" s="380" t="n">
        <v>0.7441594623286917</v>
      </c>
      <c r="H45" s="380" t="n">
        <v>0.9386527741935484</v>
      </c>
      <c r="I45" s="326" t="n">
        <v>0.07178356092903226</v>
      </c>
      <c r="J45" s="326" t="n">
        <v>0.4551383179748454</v>
      </c>
      <c r="K45" s="326" t="n">
        <v>0.0391</v>
      </c>
      <c r="L45" s="326" t="n">
        <v>0.2852366626824528</v>
      </c>
      <c r="M45" s="326" t="n">
        <v>0.05978435024244436</v>
      </c>
      <c r="N45" s="380" t="n">
        <v>0.6726169131759471</v>
      </c>
      <c r="O45" s="380" t="n">
        <v>4.15311139316266</v>
      </c>
      <c r="P45" s="380" t="n">
        <v>13.36590732287024</v>
      </c>
      <c r="Q45" s="380" t="n">
        <v>21.09993212209849</v>
      </c>
      <c r="R45" s="380" t="n">
        <v>4.510239647888891</v>
      </c>
      <c r="S45" s="380" t="n">
        <v>54.56146322143538</v>
      </c>
      <c r="T45" s="326" t="n">
        <v>-0.01446803997790173</v>
      </c>
      <c r="U45" s="326" t="n">
        <v>0.08505969194754764</v>
      </c>
      <c r="V45" s="326" t="n">
        <v>0.01429466029549296</v>
      </c>
      <c r="W45" s="326" t="n">
        <v>0.09412295001050387</v>
      </c>
      <c r="X45" s="326" t="n">
        <v>0.1294255804930261</v>
      </c>
      <c r="Y45" s="326" t="n">
        <v>0.6306372699681773</v>
      </c>
      <c r="Z45" s="326" t="n">
        <v>0.6306372699681773</v>
      </c>
    </row>
    <row r="46">
      <c r="A46" t="inlineStr">
        <is>
          <t>Household Products</t>
        </is>
      </c>
      <c r="B46" t="n">
        <v>131</v>
      </c>
      <c r="C46" s="326" t="n">
        <v>0.0734110909090909</v>
      </c>
      <c r="D46" s="326" t="n">
        <v>0.1829829303961663</v>
      </c>
      <c r="E46" s="326" t="n">
        <v>0.2951790059622168</v>
      </c>
      <c r="F46" s="326" t="n">
        <v>0.2547179230036517</v>
      </c>
      <c r="G46" s="380" t="n">
        <v>0.8792693328773405</v>
      </c>
      <c r="H46" s="380" t="n">
        <v>0.9962130000000003</v>
      </c>
      <c r="I46" s="326" t="n">
        <v>0.07470762040000002</v>
      </c>
      <c r="J46" s="326" t="n">
        <v>0.5629691537031151</v>
      </c>
      <c r="K46" s="326" t="n">
        <v>0.0391</v>
      </c>
      <c r="L46" s="326" t="n">
        <v>0.1737444667894358</v>
      </c>
      <c r="M46" s="326" t="n">
        <v>0.06689057530360931</v>
      </c>
      <c r="N46" s="380" t="n">
        <v>1.740793957071537</v>
      </c>
      <c r="O46" s="380" t="n">
        <v>3.298716907921438</v>
      </c>
      <c r="P46" s="380" t="n">
        <v>14.18840219898887</v>
      </c>
      <c r="Q46" s="380" t="n">
        <v>18.03886375775519</v>
      </c>
      <c r="R46" s="380" t="n">
        <v>5.094543484910752</v>
      </c>
      <c r="S46" s="380" t="n">
        <v>48.58987503211235</v>
      </c>
      <c r="T46" s="326" t="n">
        <v>0.1046475935807673</v>
      </c>
      <c r="U46" s="326" t="n">
        <v>0.0442143973591117</v>
      </c>
      <c r="V46" s="326" t="n">
        <v>0.03736609854321817</v>
      </c>
      <c r="W46" s="326" t="n">
        <v>0.2808026687637006</v>
      </c>
      <c r="X46" s="326" t="n">
        <v>0.2925373040626321</v>
      </c>
      <c r="Y46" s="326" t="n">
        <v>0.496150498485168</v>
      </c>
      <c r="Z46" s="326" t="n">
        <v>0.4961504984851679</v>
      </c>
    </row>
    <row r="47">
      <c r="A47" t="inlineStr">
        <is>
          <t>Information Services</t>
        </is>
      </c>
      <c r="B47" t="n">
        <v>61</v>
      </c>
      <c r="C47" s="326" t="n">
        <v>0.06938384615384618</v>
      </c>
      <c r="D47" s="326" t="n">
        <v>0.2540307556486009</v>
      </c>
      <c r="E47" s="326" t="n">
        <v>0.3351093916275482</v>
      </c>
      <c r="F47" s="326" t="n">
        <v>0.3255526739503084</v>
      </c>
      <c r="G47" s="380" t="n">
        <v>0.8210260413619495</v>
      </c>
      <c r="H47" s="380" t="n">
        <v>0.8816029629629628</v>
      </c>
      <c r="I47" s="326" t="n">
        <v>0.0688854305185185</v>
      </c>
      <c r="J47" s="326" t="n">
        <v>0.4134862338488251</v>
      </c>
      <c r="K47" s="326" t="n">
        <v>0.0391</v>
      </c>
      <c r="L47" s="326" t="n">
        <v>0.135754745174385</v>
      </c>
      <c r="M47" s="326" t="n">
        <v>0.06356799445985124</v>
      </c>
      <c r="N47" s="380" t="n">
        <v>1.567617958954629</v>
      </c>
      <c r="O47" s="380" t="n">
        <v>6.033041246121034</v>
      </c>
      <c r="P47" s="380" t="n">
        <v>18.74107095846908</v>
      </c>
      <c r="Q47" s="380" t="n">
        <v>23.45713131865053</v>
      </c>
      <c r="R47" s="380" t="n">
        <v>7.631568435565799</v>
      </c>
      <c r="S47" s="380" t="n">
        <v>34.30533074867159</v>
      </c>
      <c r="T47" s="326" t="n">
        <v>-0.05145897302875797</v>
      </c>
      <c r="U47" s="326" t="n">
        <v>0.03266163460017046</v>
      </c>
      <c r="V47" s="326" t="n">
        <v>0.01107599849226293</v>
      </c>
      <c r="W47" s="326" t="n">
        <v>0.1356963247586731</v>
      </c>
      <c r="X47" s="326" t="n">
        <v>0.2090912457409617</v>
      </c>
      <c r="Y47" s="326" t="n">
        <v>0.2725726953126072</v>
      </c>
      <c r="Z47" s="326" t="n">
        <v>0.2725726953126072</v>
      </c>
    </row>
    <row r="48">
      <c r="A48" t="inlineStr">
        <is>
          <t>Insurance (General)</t>
        </is>
      </c>
      <c r="B48" t="n">
        <v>21</v>
      </c>
      <c r="C48" s="326" t="n">
        <v>0.04967470588235294</v>
      </c>
      <c r="D48" s="326" t="n">
        <v>0.05106205964675369</v>
      </c>
      <c r="E48" s="326" t="n">
        <v>0.02823521122517833</v>
      </c>
      <c r="F48" s="326" t="n">
        <v>0.2101799463812904</v>
      </c>
      <c r="G48" s="380" t="n">
        <v>0.6316178601341084</v>
      </c>
      <c r="H48" s="380" t="n">
        <v>0.7838548571428571</v>
      </c>
      <c r="I48" s="326" t="n">
        <v>0.06391982674285714</v>
      </c>
      <c r="J48" s="326" t="n">
        <v>0.3721397339426201</v>
      </c>
      <c r="K48" s="326" t="n">
        <v>0.0361</v>
      </c>
      <c r="L48" s="326" t="n">
        <v>0.2779735740219852</v>
      </c>
      <c r="M48" s="326" t="n">
        <v>0.05377828702914626</v>
      </c>
      <c r="N48" s="380" t="n">
        <v>0.6483506357571281</v>
      </c>
      <c r="O48" s="380" t="n">
        <v>1.835071749897558</v>
      </c>
      <c r="P48" s="380" t="n">
        <v>16.44423992581613</v>
      </c>
      <c r="Q48" s="380" t="n">
        <v>35.87878870790091</v>
      </c>
      <c r="R48" s="380" t="n">
        <v>1.194673921370196</v>
      </c>
      <c r="S48" s="380" t="n">
        <v>22.15502487473482</v>
      </c>
      <c r="T48" s="326" t="n">
        <v>-0.1680382249952844</v>
      </c>
      <c r="U48" s="326" t="n">
        <v>0.01462455376098278</v>
      </c>
      <c r="V48" s="326" t="n">
        <v>-0.01107280555971704</v>
      </c>
      <c r="W48" s="326" t="n">
        <v>0.1928206603275865</v>
      </c>
      <c r="X48" s="326" t="n">
        <v>0.01966637371808652</v>
      </c>
      <c r="Y48" s="326" t="n">
        <v>1.011485712944623</v>
      </c>
      <c r="Z48" s="326" t="n">
        <v>1.011485712944623</v>
      </c>
    </row>
    <row r="49">
      <c r="A49" t="inlineStr">
        <is>
          <t>Insurance (Life)</t>
        </is>
      </c>
      <c r="B49" t="n">
        <v>25</v>
      </c>
      <c r="C49" s="326" t="n">
        <v>0.012959</v>
      </c>
      <c r="D49" s="326" t="n">
        <v>0.08205459850662106</v>
      </c>
      <c r="E49" s="326" t="n">
        <v>0.04400370822564471</v>
      </c>
      <c r="F49" s="326" t="n">
        <v>0.264473160928096</v>
      </c>
      <c r="G49" s="380" t="n">
        <v>0.8051949792940143</v>
      </c>
      <c r="H49" s="380" t="n">
        <v>1.007662181818182</v>
      </c>
      <c r="I49" s="326" t="n">
        <v>0.07528923883636364</v>
      </c>
      <c r="J49" s="326" t="n">
        <v>0.3733581947130873</v>
      </c>
      <c r="K49" s="326" t="n">
        <v>0.0361</v>
      </c>
      <c r="L49" s="326" t="n">
        <v>0.3632806751256305</v>
      </c>
      <c r="M49" s="326" t="n">
        <v>0.05790508192494141</v>
      </c>
      <c r="N49" s="380" t="n">
        <v>0.6333153445629101</v>
      </c>
      <c r="O49" s="380" t="n">
        <v>1.448053149868555</v>
      </c>
      <c r="P49" s="380" t="n">
        <v>8.373780749135991</v>
      </c>
      <c r="Q49" s="380" t="n">
        <v>11.36519369180188</v>
      </c>
      <c r="R49" s="380" t="n">
        <v>1.036239867217268</v>
      </c>
      <c r="S49" s="380" t="n">
        <v>18.16892654924914</v>
      </c>
      <c r="T49" s="326" t="n">
        <v>0.05647324007471496</v>
      </c>
      <c r="U49" s="326" t="n">
        <v>0.001806181789530584</v>
      </c>
      <c r="V49" s="326" t="n">
        <v>-0.002779909382896851</v>
      </c>
      <c r="W49" s="326" t="n">
        <v>0.1646692459792927</v>
      </c>
      <c r="X49" s="326" t="n">
        <v>0.04171692347836863</v>
      </c>
      <c r="Y49" s="326" t="n">
        <v>0.6577490101219642</v>
      </c>
      <c r="Z49" s="326" t="n">
        <v>0.6577490101219642</v>
      </c>
    </row>
    <row r="50">
      <c r="A50" t="inlineStr">
        <is>
          <t>Insurance (Prop/Cas.)</t>
        </is>
      </c>
      <c r="B50" t="n">
        <v>50</v>
      </c>
      <c r="C50" s="326" t="n">
        <v>0.06816682926829272</v>
      </c>
      <c r="D50" s="326" t="n">
        <v>0.09296476424426257</v>
      </c>
      <c r="E50" s="326" t="n">
        <v>0.08321458017575703</v>
      </c>
      <c r="F50" s="326" t="n">
        <v>0.2829069338129752</v>
      </c>
      <c r="G50" s="380" t="n">
        <v>0.7277429900784957</v>
      </c>
      <c r="H50" s="380" t="n">
        <v>0.8384003333333331</v>
      </c>
      <c r="I50" s="326" t="n">
        <v>0.06669073693333331</v>
      </c>
      <c r="J50" s="326" t="n">
        <v>0.3465279933858194</v>
      </c>
      <c r="K50" s="326" t="n">
        <v>0.0361</v>
      </c>
      <c r="L50" s="326" t="n">
        <v>0.2090250337017047</v>
      </c>
      <c r="M50" s="326" t="n">
        <v>0.05848551422289176</v>
      </c>
      <c r="N50" s="380" t="n">
        <v>1.098333608705645</v>
      </c>
      <c r="O50" s="380" t="n">
        <v>1.521539288439145</v>
      </c>
      <c r="P50" s="380" t="n">
        <v>11.91307899868056</v>
      </c>
      <c r="Q50" s="380" t="n">
        <v>15.35594430979875</v>
      </c>
      <c r="R50" s="380" t="n">
        <v>1.698107935463925</v>
      </c>
      <c r="S50" s="380" t="n">
        <v>49.68774035768676</v>
      </c>
      <c r="T50" s="326" t="n">
        <v>-0.366662277982396</v>
      </c>
      <c r="U50" s="326" t="n">
        <v>0.008609831637980122</v>
      </c>
      <c r="V50" s="326" t="n">
        <v>0.005722110975046971</v>
      </c>
      <c r="W50" s="326" t="n">
        <v>0.1636571518553065</v>
      </c>
      <c r="X50" s="326" t="n">
        <v>0.07289698160399873</v>
      </c>
      <c r="Y50" s="326" t="n">
        <v>0.426481343558619</v>
      </c>
      <c r="Z50" s="326" t="n">
        <v>0.426481343558619</v>
      </c>
    </row>
    <row r="51">
      <c r="A51" t="inlineStr">
        <is>
          <t>Investments &amp; Asset Management</t>
        </is>
      </c>
      <c r="B51" t="n">
        <v>165</v>
      </c>
      <c r="C51" s="326" t="n">
        <v>0.07860631578947372</v>
      </c>
      <c r="D51" s="326" t="n">
        <v>0.1997911528344731</v>
      </c>
      <c r="E51" s="326" t="n">
        <v>0.09887989338689944</v>
      </c>
      <c r="F51" s="326" t="n">
        <v>0.2420961233420225</v>
      </c>
      <c r="G51" s="380" t="n">
        <v>0.8669093765211794</v>
      </c>
      <c r="H51" s="380" t="n">
        <v>0.9874288264462818</v>
      </c>
      <c r="I51" s="326" t="n">
        <v>0.07426138438347112</v>
      </c>
      <c r="J51" s="326" t="n">
        <v>0.4099609315868716</v>
      </c>
      <c r="K51" s="326" t="n">
        <v>0.0391</v>
      </c>
      <c r="L51" s="326" t="n">
        <v>0.2961669420376073</v>
      </c>
      <c r="M51" s="326" t="n">
        <v>0.06106851410872868</v>
      </c>
      <c r="N51" s="380" t="n">
        <v>0.5396305650384058</v>
      </c>
      <c r="O51" s="380" t="n">
        <v>4.963796193806473</v>
      </c>
      <c r="P51" s="380" t="n">
        <v>21.41868980287532</v>
      </c>
      <c r="Q51" s="380" t="n">
        <v>24.31416158264335</v>
      </c>
      <c r="R51" s="380" t="n">
        <v>2.119380486341497</v>
      </c>
      <c r="S51" s="380" t="n">
        <v>158.4059221122511</v>
      </c>
      <c r="T51" s="326" t="inlineStr">
        <is>
          <t>NA</t>
        </is>
      </c>
      <c r="U51" s="326" t="n">
        <v>0.03109914789809198</v>
      </c>
      <c r="V51" s="326" t="n">
        <v>0.0357390119647672</v>
      </c>
      <c r="W51" s="326" t="n">
        <v>0.369015687493347</v>
      </c>
      <c r="X51" s="326" t="n">
        <v>0.1375442007918202</v>
      </c>
      <c r="Y51" s="326" t="n">
        <v>0.3632545413176164</v>
      </c>
      <c r="Z51" s="326" t="n">
        <v>0.3632545413176164</v>
      </c>
    </row>
    <row r="52">
      <c r="A52" t="inlineStr">
        <is>
          <t>Machinery</t>
        </is>
      </c>
      <c r="B52" t="n">
        <v>126</v>
      </c>
      <c r="C52" s="326" t="n">
        <v>0.01840949367088608</v>
      </c>
      <c r="D52" s="326" t="n">
        <v>0.1368181685742134</v>
      </c>
      <c r="E52" s="326" t="n">
        <v>0.2588814346574644</v>
      </c>
      <c r="F52" s="326" t="n">
        <v>0.2616136085879274</v>
      </c>
      <c r="G52" s="380" t="n">
        <v>1.03768083877462</v>
      </c>
      <c r="H52" s="380" t="n">
        <v>1.149321121495327</v>
      </c>
      <c r="I52" s="326" t="n">
        <v>0.08248551297196263</v>
      </c>
      <c r="J52" s="326" t="n">
        <v>0.4317096005822645</v>
      </c>
      <c r="K52" s="326" t="n">
        <v>0.0391</v>
      </c>
      <c r="L52" s="326" t="n">
        <v>0.1648970400383574</v>
      </c>
      <c r="M52" s="326" t="n">
        <v>0.07378397647862028</v>
      </c>
      <c r="N52" s="380" t="n">
        <v>2.199466692649584</v>
      </c>
      <c r="O52" s="380" t="n">
        <v>2.654318323458542</v>
      </c>
      <c r="P52" s="380" t="n">
        <v>14.84840006991107</v>
      </c>
      <c r="Q52" s="380" t="n">
        <v>19.48963172640296</v>
      </c>
      <c r="R52" s="380" t="n">
        <v>4.494529655325677</v>
      </c>
      <c r="S52" s="380" t="n">
        <v>32.74334580719923</v>
      </c>
      <c r="T52" s="326" t="n">
        <v>0.2298373905191353</v>
      </c>
      <c r="U52" s="326" t="n">
        <v>0.02673808982541088</v>
      </c>
      <c r="V52" s="326" t="n">
        <v>0.1037882135982287</v>
      </c>
      <c r="W52" s="326" t="n">
        <v>1.124755804452929</v>
      </c>
      <c r="X52" s="326" t="n">
        <v>0.1908254701153174</v>
      </c>
      <c r="Y52" s="326" t="n">
        <v>0.300983435983636</v>
      </c>
      <c r="Z52" s="326" t="n">
        <v>0.3009834359836361</v>
      </c>
    </row>
    <row r="53">
      <c r="A53" t="inlineStr">
        <is>
          <t>Metals &amp; Mining</t>
        </is>
      </c>
      <c r="B53" t="n">
        <v>102</v>
      </c>
      <c r="C53" s="326" t="n">
        <v>0.1472184615384615</v>
      </c>
      <c r="D53" s="326" t="n">
        <v>0.1792990168175004</v>
      </c>
      <c r="E53" s="326" t="n">
        <v>0.1434492965193432</v>
      </c>
      <c r="F53" s="326" t="n">
        <v>0.4230458916116143</v>
      </c>
      <c r="G53" s="380" t="n">
        <v>0.9601621842388021</v>
      </c>
      <c r="H53" s="380" t="n">
        <v>1.103209129411765</v>
      </c>
      <c r="I53" s="326" t="n">
        <v>0.08014302377411764</v>
      </c>
      <c r="J53" s="326" t="n">
        <v>0.823280798865946</v>
      </c>
      <c r="K53" s="326" t="n">
        <v>0.06909999999999999</v>
      </c>
      <c r="L53" s="326" t="n">
        <v>0.2339494918545534</v>
      </c>
      <c r="M53" s="326" t="n">
        <v>0.07367969560070914</v>
      </c>
      <c r="N53" s="380" t="n">
        <v>0.8135724594496342</v>
      </c>
      <c r="O53" s="380" t="n">
        <v>2.539006233379229</v>
      </c>
      <c r="P53" s="380" t="n">
        <v>8.814370019199794</v>
      </c>
      <c r="Q53" s="380" t="n">
        <v>13.93811677168105</v>
      </c>
      <c r="R53" s="380" t="n">
        <v>2.932922337545529</v>
      </c>
      <c r="S53" s="380" t="n">
        <v>52.10903751925403</v>
      </c>
      <c r="T53" s="326" t="n">
        <v>0.1530083872547676</v>
      </c>
      <c r="U53" s="326" t="n">
        <v>0.08113887525232555</v>
      </c>
      <c r="V53" s="326" t="n">
        <v>-0.001089806357713165</v>
      </c>
      <c r="W53" s="326" t="n">
        <v>0.2587540446539842</v>
      </c>
      <c r="X53" s="326" t="n">
        <v>0.1077786374827633</v>
      </c>
      <c r="Y53" s="326" t="n">
        <v>0.1857217021419122</v>
      </c>
      <c r="Z53" s="326" t="n">
        <v>0.1857217021419122</v>
      </c>
    </row>
    <row r="54">
      <c r="A54" t="inlineStr">
        <is>
          <t>Office Equipment &amp; Services</t>
        </is>
      </c>
      <c r="B54" t="n">
        <v>24</v>
      </c>
      <c r="C54" s="326" t="n">
        <v>0.04264133333333333</v>
      </c>
      <c r="D54" s="326" t="n">
        <v>0.08596025741208443</v>
      </c>
      <c r="E54" s="326" t="n">
        <v>0.1771597504193015</v>
      </c>
      <c r="F54" s="326" t="n">
        <v>0.3466367860791616</v>
      </c>
      <c r="G54" s="380" t="n">
        <v>1.098414343853814</v>
      </c>
      <c r="H54" s="380" t="n">
        <v>1.373441904761905</v>
      </c>
      <c r="I54" s="326" t="n">
        <v>0.09387084876190475</v>
      </c>
      <c r="J54" s="326" t="n">
        <v>0.4965882874622732</v>
      </c>
      <c r="K54" s="326" t="n">
        <v>0.0391</v>
      </c>
      <c r="L54" s="326" t="n">
        <v>0.3405757561181156</v>
      </c>
      <c r="M54" s="326" t="n">
        <v>0.0720212626361757</v>
      </c>
      <c r="N54" s="380" t="n">
        <v>2.522476601407757</v>
      </c>
      <c r="O54" s="380" t="n">
        <v>1.021580636803029</v>
      </c>
      <c r="P54" s="380" t="n">
        <v>8.37039790559732</v>
      </c>
      <c r="Q54" s="380" t="n">
        <v>11.9300646512148</v>
      </c>
      <c r="R54" s="380" t="n">
        <v>3.123500487302551</v>
      </c>
      <c r="S54" s="380" t="n">
        <v>35.37626644120152</v>
      </c>
      <c r="T54" s="326" t="n">
        <v>0.08213070151804922</v>
      </c>
      <c r="U54" s="326" t="n">
        <v>0.02891448661493139</v>
      </c>
      <c r="V54" s="326" t="n">
        <v>0.03104434894372576</v>
      </c>
      <c r="W54" s="326" t="n">
        <v>0.4066120877447308</v>
      </c>
      <c r="X54" s="326" t="n">
        <v>0.0870169809710726</v>
      </c>
      <c r="Y54" s="326" t="n">
        <v>0.8236022091645812</v>
      </c>
      <c r="Z54" s="326" t="n">
        <v>0.8236022091645812</v>
      </c>
    </row>
    <row r="55">
      <c r="A55" t="inlineStr">
        <is>
          <t>Oil/Gas (Integrated)</t>
        </is>
      </c>
      <c r="B55" t="n">
        <v>5</v>
      </c>
      <c r="C55" s="326" t="n">
        <v>-0.1233333333333333</v>
      </c>
      <c r="D55" s="326" t="n">
        <v>0.02928337737199476</v>
      </c>
      <c r="E55" s="326" t="n">
        <v>0.02151427024914543</v>
      </c>
      <c r="F55" s="326" t="n">
        <v>0.182197165204272</v>
      </c>
      <c r="G55" s="380" t="n">
        <v>1.250764035395394</v>
      </c>
      <c r="H55" s="380" t="n">
        <v>1.3724</v>
      </c>
      <c r="I55" s="326" t="n">
        <v>0.09381792000000001</v>
      </c>
      <c r="J55" s="326" t="n">
        <v>0.2021292065491485</v>
      </c>
      <c r="K55" s="326" t="n">
        <v>0.0311</v>
      </c>
      <c r="L55" s="326" t="n">
        <v>0.1326455460336046</v>
      </c>
      <c r="M55" s="326" t="n">
        <v>0.08450860089991324</v>
      </c>
      <c r="N55" s="380" t="n">
        <v>0.8254624159978814</v>
      </c>
      <c r="O55" s="380" t="n">
        <v>2.066178429878609</v>
      </c>
      <c r="P55" s="380" t="n">
        <v>12.94649901806963</v>
      </c>
      <c r="Q55" s="380" t="n">
        <v>70.35541187365851</v>
      </c>
      <c r="R55" s="380" t="n">
        <v>1.81269556820151</v>
      </c>
      <c r="S55" s="380" t="n">
        <v>55.9425019422961</v>
      </c>
      <c r="T55" s="326" t="n">
        <v>0.04214654166725231</v>
      </c>
      <c r="U55" s="326" t="n">
        <v>0.0980870591873164</v>
      </c>
      <c r="V55" s="326" t="n">
        <v>-0.0277959717205223</v>
      </c>
      <c r="W55" s="326" t="n">
        <v>-0.9281322970228202</v>
      </c>
      <c r="X55" s="326" t="n">
        <v>0.05902682716452797</v>
      </c>
      <c r="Y55" s="326" t="n">
        <v>1.162136551792928</v>
      </c>
      <c r="Z55" s="326" t="n">
        <v>1.162136551792928</v>
      </c>
    </row>
    <row r="56">
      <c r="A56" t="inlineStr">
        <is>
          <t>Oil/Gas (Production and Exploration)</t>
        </is>
      </c>
      <c r="B56" t="n">
        <v>311</v>
      </c>
      <c r="C56" s="326" t="n">
        <v>-0.01719419354838709</v>
      </c>
      <c r="D56" s="326" t="n">
        <v>0.002329082456289307</v>
      </c>
      <c r="E56" s="326" t="n">
        <v>0.0008613562505151431</v>
      </c>
      <c r="F56" s="326" t="n">
        <v>0.05161281100873446</v>
      </c>
      <c r="G56" s="380" t="n">
        <v>1.003690114813205</v>
      </c>
      <c r="H56" s="380" t="n">
        <v>1.258732014981274</v>
      </c>
      <c r="I56" s="326" t="n">
        <v>0.0880435863610487</v>
      </c>
      <c r="J56" s="326" t="n">
        <v>0.7888253542922209</v>
      </c>
      <c r="K56" s="326" t="n">
        <v>0.06909999999999999</v>
      </c>
      <c r="L56" s="326" t="n">
        <v>0.2953330274379107</v>
      </c>
      <c r="M56" s="326" t="n">
        <v>0.07755111672347836</v>
      </c>
      <c r="N56" s="380" t="n">
        <v>0.3790212469724906</v>
      </c>
      <c r="O56" s="380" t="n">
        <v>4.328661015366914</v>
      </c>
      <c r="P56" s="380" t="n">
        <v>10.55504018371694</v>
      </c>
      <c r="Q56" s="380" t="inlineStr">
        <is>
          <t>NA</t>
        </is>
      </c>
      <c r="R56" s="380" t="n">
        <v>1.933781744598425</v>
      </c>
      <c r="S56" s="380" t="n">
        <v>126.145083170466</v>
      </c>
      <c r="T56" s="326" t="n">
        <v>-0.0175149956779599</v>
      </c>
      <c r="U56" s="326" t="n">
        <v>0.5396838593499809</v>
      </c>
      <c r="V56" s="326" t="n">
        <v>0.2203392790027678</v>
      </c>
      <c r="W56" s="326" t="inlineStr">
        <is>
          <t>NA</t>
        </is>
      </c>
      <c r="X56" s="326" t="n">
        <v>-0.0486653608154722</v>
      </c>
      <c r="Y56" s="326" t="n">
        <v>0.008269845364418139</v>
      </c>
      <c r="Z56" s="326" t="n">
        <v>0.008269845364418105</v>
      </c>
    </row>
    <row r="57">
      <c r="A57" t="inlineStr">
        <is>
          <t>Oil/Gas Distribution</t>
        </is>
      </c>
      <c r="B57" t="n">
        <v>16</v>
      </c>
      <c r="C57" s="326" t="n">
        <v>0.138885</v>
      </c>
      <c r="D57" s="326" t="n">
        <v>0.1779622621762919</v>
      </c>
      <c r="E57" s="326" t="n">
        <v>0.06128401226853793</v>
      </c>
      <c r="F57" s="326" t="n">
        <v>0.2577806119755649</v>
      </c>
      <c r="G57" s="380" t="n">
        <v>0.7164675626851671</v>
      </c>
      <c r="H57" s="380" t="n">
        <v>1.2064832</v>
      </c>
      <c r="I57" s="326" t="n">
        <v>0.08538934656</v>
      </c>
      <c r="J57" s="326" t="n">
        <v>0.6278669468960301</v>
      </c>
      <c r="K57" s="326" t="n">
        <v>0.0391</v>
      </c>
      <c r="L57" s="326" t="n">
        <v>0.4830104447849965</v>
      </c>
      <c r="M57" s="326" t="n">
        <v>0.05849853867538514</v>
      </c>
      <c r="N57" s="380" t="n">
        <v>0.3618696296926226</v>
      </c>
      <c r="O57" s="380" t="n">
        <v>4.51966568564992</v>
      </c>
      <c r="P57" s="380" t="n">
        <v>14.57743527741921</v>
      </c>
      <c r="Q57" s="380" t="n">
        <v>25.29550766119296</v>
      </c>
      <c r="R57" s="380" t="n">
        <v>1.627296966263587</v>
      </c>
      <c r="S57" s="380" t="n">
        <v>43.87360563143704</v>
      </c>
      <c r="T57" s="326" t="n">
        <v>0.04238960692860361</v>
      </c>
      <c r="U57" s="326" t="n">
        <v>0.2355771912987312</v>
      </c>
      <c r="V57" s="326" t="n">
        <v>0.1297970592288673</v>
      </c>
      <c r="W57" s="326" t="n">
        <v>0.9864769175393401</v>
      </c>
      <c r="X57" s="326" t="n">
        <v>0.01972446593852083</v>
      </c>
      <c r="Y57" s="326" t="n">
        <v>3.102685225666731</v>
      </c>
      <c r="Z57" s="326" t="n">
        <v>3.102685225666731</v>
      </c>
    </row>
    <row r="58">
      <c r="A58" t="inlineStr">
        <is>
          <t>Oilfield Svcs/Equip.</t>
        </is>
      </c>
      <c r="B58" t="n">
        <v>130</v>
      </c>
      <c r="C58" s="326" t="n">
        <v>-0.049305</v>
      </c>
      <c r="D58" s="326" t="n">
        <v>0.03199448477587037</v>
      </c>
      <c r="E58" s="326" t="n">
        <v>0.06416107103743443</v>
      </c>
      <c r="F58" s="326" t="n">
        <v>0.2940299960662466</v>
      </c>
      <c r="G58" s="380" t="n">
        <v>1.055898312959759</v>
      </c>
      <c r="H58" s="380" t="n">
        <v>1.227205942857143</v>
      </c>
      <c r="I58" s="326" t="n">
        <v>0.08644206189714285</v>
      </c>
      <c r="J58" s="326" t="n">
        <v>0.7328639162953154</v>
      </c>
      <c r="K58" s="326" t="n">
        <v>0.0466</v>
      </c>
      <c r="L58" s="326" t="n">
        <v>0.2365202596437091</v>
      </c>
      <c r="M58" s="326" t="n">
        <v>0.07437336448863464</v>
      </c>
      <c r="N58" s="380" t="n">
        <v>2.118027804840658</v>
      </c>
      <c r="O58" s="380" t="n">
        <v>1.015083390492194</v>
      </c>
      <c r="P58" s="380" t="n">
        <v>12.14585667203922</v>
      </c>
      <c r="Q58" s="380" t="n">
        <v>30.03205718715698</v>
      </c>
      <c r="R58" s="380" t="n">
        <v>1.636496614804141</v>
      </c>
      <c r="S58" s="380" t="n">
        <v>131.0046432865755</v>
      </c>
      <c r="T58" s="326" t="n">
        <v>0.09770300823273666</v>
      </c>
      <c r="U58" s="326" t="n">
        <v>0.03538201896830027</v>
      </c>
      <c r="V58" s="326" t="n">
        <v>0.01154529001638776</v>
      </c>
      <c r="W58" s="326" t="n">
        <v>0.7252588411063119</v>
      </c>
      <c r="X58" s="326" t="n">
        <v>0.01970950352818015</v>
      </c>
      <c r="Y58" s="326" t="n">
        <v>2.422670513806307</v>
      </c>
      <c r="Z58" s="326" t="n">
        <v>2.422670513806307</v>
      </c>
    </row>
    <row r="59">
      <c r="A59" t="inlineStr">
        <is>
          <t>Packaging &amp; Container</t>
        </is>
      </c>
      <c r="B59" t="n">
        <v>25</v>
      </c>
      <c r="C59" s="326" t="n">
        <v>0.0167361111111111</v>
      </c>
      <c r="D59" s="326" t="n">
        <v>0.1000390215348694</v>
      </c>
      <c r="E59" s="326" t="n">
        <v>0.1457612862349177</v>
      </c>
      <c r="F59" s="326" t="n">
        <v>0.2745606540569671</v>
      </c>
      <c r="G59" s="380" t="n">
        <v>0.551068480148203</v>
      </c>
      <c r="H59" s="380" t="n">
        <v>0.7385258181818181</v>
      </c>
      <c r="I59" s="326" t="n">
        <v>0.06161711156363636</v>
      </c>
      <c r="J59" s="326" t="n">
        <v>0.2767473398710801</v>
      </c>
      <c r="K59" s="326" t="n">
        <v>0.0361</v>
      </c>
      <c r="L59" s="326" t="n">
        <v>0.3343274153047547</v>
      </c>
      <c r="M59" s="326" t="n">
        <v>0.05018942888232236</v>
      </c>
      <c r="N59" s="380" t="n">
        <v>1.876986809531904</v>
      </c>
      <c r="O59" s="380" t="n">
        <v>1.649348189731669</v>
      </c>
      <c r="P59" s="380" t="n">
        <v>10.29828857874184</v>
      </c>
      <c r="Q59" s="380" t="n">
        <v>16.4641577347582</v>
      </c>
      <c r="R59" s="380" t="n">
        <v>3.881543373318056</v>
      </c>
      <c r="S59" s="380" t="n">
        <v>26.43747582827891</v>
      </c>
      <c r="T59" s="326" t="n">
        <v>0.1040973593701483</v>
      </c>
      <c r="U59" s="326" t="n">
        <v>0.05074714635183408</v>
      </c>
      <c r="V59" s="326" t="n">
        <v>0.06485213549811035</v>
      </c>
      <c r="W59" s="326" t="n">
        <v>0.8933283081628577</v>
      </c>
      <c r="X59" s="326" t="n">
        <v>0.2053774544589422</v>
      </c>
      <c r="Y59" s="326" t="n">
        <v>0.3959022692105473</v>
      </c>
      <c r="Z59" s="326" t="n">
        <v>0.3959022692105474</v>
      </c>
    </row>
    <row r="60">
      <c r="A60" t="inlineStr">
        <is>
          <t>Paper/Forest Products</t>
        </is>
      </c>
      <c r="B60" t="n">
        <v>21</v>
      </c>
      <c r="C60" s="326" t="n">
        <v>0.07233533333333335</v>
      </c>
      <c r="D60" s="326" t="n">
        <v>0.0543870859845218</v>
      </c>
      <c r="E60" s="326" t="n">
        <v>0.08478814875472258</v>
      </c>
      <c r="F60" s="326" t="n">
        <v>0.2285548149279414</v>
      </c>
      <c r="G60" s="380" t="n">
        <v>0.9775302003477283</v>
      </c>
      <c r="H60" s="380" t="n">
        <v>1.199084631578947</v>
      </c>
      <c r="I60" s="326" t="n">
        <v>0.08501349928421052</v>
      </c>
      <c r="J60" s="326" t="n">
        <v>0.5681363319706948</v>
      </c>
      <c r="K60" s="326" t="n">
        <v>0.0391</v>
      </c>
      <c r="L60" s="326" t="n">
        <v>0.2857548426554276</v>
      </c>
      <c r="M60" s="326" t="n">
        <v>0.06921197107701232</v>
      </c>
      <c r="N60" s="380" t="n">
        <v>1.81621554006103</v>
      </c>
      <c r="O60" s="380" t="n">
        <v>0.9702911759112629</v>
      </c>
      <c r="P60" s="380" t="n">
        <v>8.898028169272045</v>
      </c>
      <c r="Q60" s="380" t="n">
        <v>17.71207295384091</v>
      </c>
      <c r="R60" s="380" t="n">
        <v>1.889637804835135</v>
      </c>
      <c r="S60" s="380" t="n">
        <v>75.08835222353117</v>
      </c>
      <c r="T60" s="326" t="n">
        <v>0.1398695358394411</v>
      </c>
      <c r="U60" s="326" t="n">
        <v>0.04326702447788374</v>
      </c>
      <c r="V60" s="326" t="n">
        <v>0.01499914654062537</v>
      </c>
      <c r="W60" s="326" t="n">
        <v>0.4284967967463351</v>
      </c>
      <c r="X60" s="326" t="n">
        <v>0.06147500718165968</v>
      </c>
      <c r="Y60" s="326" t="n">
        <v>0.46742274231984</v>
      </c>
      <c r="Z60" s="326" t="n">
        <v>0.46742274231984</v>
      </c>
    </row>
    <row r="61">
      <c r="A61" t="inlineStr">
        <is>
          <t>Power</t>
        </is>
      </c>
      <c r="B61" t="n">
        <v>61</v>
      </c>
      <c r="C61" s="326" t="n">
        <v>0.07780274509803921</v>
      </c>
      <c r="D61" s="326" t="n">
        <v>0.1791518947072119</v>
      </c>
      <c r="E61" s="326" t="n">
        <v>0.06425913351566719</v>
      </c>
      <c r="F61" s="326" t="n">
        <v>0.1717112030110731</v>
      </c>
      <c r="G61" s="380" t="n">
        <v>0.3249356554034918</v>
      </c>
      <c r="H61" s="380" t="n">
        <v>0.5045229473684213</v>
      </c>
      <c r="I61" s="326" t="n">
        <v>0.0497297657263158</v>
      </c>
      <c r="J61" s="326" t="n">
        <v>0.3122600819915566</v>
      </c>
      <c r="K61" s="326" t="n">
        <v>0.0361</v>
      </c>
      <c r="L61" s="326" t="n">
        <v>0.4329840957435205</v>
      </c>
      <c r="M61" s="326" t="n">
        <v>0.04007691973258906</v>
      </c>
      <c r="N61" s="380" t="n">
        <v>0.4502355362591391</v>
      </c>
      <c r="O61" s="380" t="n">
        <v>3.510180577147576</v>
      </c>
      <c r="P61" s="380" t="n">
        <v>10.54586804265153</v>
      </c>
      <c r="Q61" s="380" t="n">
        <v>19.56490568240941</v>
      </c>
      <c r="R61" s="380" t="n">
        <v>1.875935095370284</v>
      </c>
      <c r="S61" s="380" t="n">
        <v>25.95393823717138</v>
      </c>
      <c r="T61" s="326" t="n">
        <v>0.07316513276917726</v>
      </c>
      <c r="U61" s="326" t="n">
        <v>0.2696062768942483</v>
      </c>
      <c r="V61" s="326" t="n">
        <v>0.1847932093628462</v>
      </c>
      <c r="W61" s="326" t="n">
        <v>1.367142638200225</v>
      </c>
      <c r="X61" s="326" t="n">
        <v>0.1554572106554814</v>
      </c>
      <c r="Y61" s="326" t="n">
        <v>0.4574191700260986</v>
      </c>
      <c r="Z61" s="326" t="n">
        <v>0.4574191700260986</v>
      </c>
    </row>
    <row r="62">
      <c r="A62" t="inlineStr">
        <is>
          <t>Precious Metals</t>
        </is>
      </c>
      <c r="B62" t="n">
        <v>111</v>
      </c>
      <c r="C62" s="326" t="n">
        <v>-0.05543</v>
      </c>
      <c r="D62" s="326" t="n">
        <v>0.1738784138272001</v>
      </c>
      <c r="E62" s="326" t="n">
        <v>0.07534089517087944</v>
      </c>
      <c r="F62" s="326" t="n">
        <v>0.3561861847466564</v>
      </c>
      <c r="G62" s="380" t="n">
        <v>0.9463998097839573</v>
      </c>
      <c r="H62" s="380" t="n">
        <v>0.9631496708860759</v>
      </c>
      <c r="I62" s="326" t="n">
        <v>0.07302800328101265</v>
      </c>
      <c r="J62" s="326" t="n">
        <v>0.9135157674230593</v>
      </c>
      <c r="K62" s="326" t="n">
        <v>0.08160000000000001</v>
      </c>
      <c r="L62" s="326" t="n">
        <v>0.1514572791687485</v>
      </c>
      <c r="M62" s="326" t="n">
        <v>0.07136015522587315</v>
      </c>
      <c r="N62" s="380" t="n">
        <v>0.4428397369683892</v>
      </c>
      <c r="O62" s="380" t="n">
        <v>3.240228609523975</v>
      </c>
      <c r="P62" s="380" t="n">
        <v>8.378658306748399</v>
      </c>
      <c r="Q62" s="380" t="n">
        <v>18.14107155561153</v>
      </c>
      <c r="R62" s="380" t="n">
        <v>1.493071575578375</v>
      </c>
      <c r="S62" s="380" t="n">
        <v>36.15804799805895</v>
      </c>
      <c r="T62" s="326" t="n">
        <v>0.135565238492773</v>
      </c>
      <c r="U62" s="326" t="n">
        <v>0.1821702322880822</v>
      </c>
      <c r="V62" s="326" t="n">
        <v>0.01083547837187629</v>
      </c>
      <c r="W62" s="326" t="n">
        <v>0.2225268617508245</v>
      </c>
      <c r="X62" s="326" t="n">
        <v>0.01886916719635035</v>
      </c>
      <c r="Y62" s="326" t="n">
        <v>0.637849109128434</v>
      </c>
      <c r="Z62" s="326" t="n">
        <v>0.637849109128434</v>
      </c>
    </row>
    <row r="63">
      <c r="A63" t="inlineStr">
        <is>
          <t>Publishing &amp; Newspapers</t>
        </is>
      </c>
      <c r="B63" t="n">
        <v>41</v>
      </c>
      <c r="C63" s="326" t="n">
        <v>-0.0165095238095238</v>
      </c>
      <c r="D63" s="326" t="n">
        <v>0.07428313212535118</v>
      </c>
      <c r="E63" s="326" t="n">
        <v>0.1348242576874822</v>
      </c>
      <c r="F63" s="326" t="n">
        <v>0.308877583184197</v>
      </c>
      <c r="G63" s="380" t="n">
        <v>0.8262336413887686</v>
      </c>
      <c r="H63" s="380" t="n">
        <v>1.018990974358974</v>
      </c>
      <c r="I63" s="326" t="n">
        <v>0.0758647414974359</v>
      </c>
      <c r="J63" s="326" t="n">
        <v>0.5414123197637792</v>
      </c>
      <c r="K63" s="326" t="n">
        <v>0.0391</v>
      </c>
      <c r="L63" s="326" t="n">
        <v>0.3079215489544136</v>
      </c>
      <c r="M63" s="326" t="n">
        <v>0.06165454953324861</v>
      </c>
      <c r="N63" s="380" t="n">
        <v>2.060868884242517</v>
      </c>
      <c r="O63" s="380" t="n">
        <v>1.042684047333206</v>
      </c>
      <c r="P63" s="380" t="n">
        <v>8.022842122171086</v>
      </c>
      <c r="Q63" s="380" t="n">
        <v>13.85366550724545</v>
      </c>
      <c r="R63" s="380" t="n">
        <v>1.758853160607686</v>
      </c>
      <c r="S63" s="380" t="n">
        <v>69.16630603806718</v>
      </c>
      <c r="T63" s="326" t="n">
        <v>0.1133788240336054</v>
      </c>
      <c r="U63" s="326" t="n">
        <v>0.02601757013344743</v>
      </c>
      <c r="V63" s="326" t="n">
        <v>0.00633023526707596</v>
      </c>
      <c r="W63" s="326" t="n">
        <v>0.1054050130336742</v>
      </c>
      <c r="X63" s="326" t="n">
        <v>-0.0250970236471702</v>
      </c>
      <c r="Y63" s="326" t="n">
        <v>0.006274238972928404</v>
      </c>
      <c r="Z63" s="326" t="n">
        <v>0.006274238972928448</v>
      </c>
    </row>
    <row r="64">
      <c r="A64" t="inlineStr">
        <is>
          <t>R.E.I.T.</t>
        </is>
      </c>
      <c r="B64" t="n">
        <v>244</v>
      </c>
      <c r="C64" s="326" t="n">
        <v>0.1501594082840237</v>
      </c>
      <c r="D64" s="326" t="n">
        <v>0.2230772008622607</v>
      </c>
      <c r="E64" s="326" t="n">
        <v>0.03079743239304314</v>
      </c>
      <c r="F64" s="326" t="n">
        <v>0.0223478479015013</v>
      </c>
      <c r="G64" s="380" t="n">
        <v>0.421335920717823</v>
      </c>
      <c r="H64" s="380" t="n">
        <v>0.6592571478260874</v>
      </c>
      <c r="I64" s="326" t="n">
        <v>0.05759026310956523</v>
      </c>
      <c r="J64" s="326" t="n">
        <v>0.3214032312071929</v>
      </c>
      <c r="K64" s="326" t="n">
        <v>0.0361</v>
      </c>
      <c r="L64" s="326" t="n">
        <v>0.4397854385333197</v>
      </c>
      <c r="M64" s="326" t="n">
        <v>0.04432885728427598</v>
      </c>
      <c r="N64" s="380" t="n">
        <v>0.1408160678864054</v>
      </c>
      <c r="O64" s="380" t="n">
        <v>11.47502613768188</v>
      </c>
      <c r="P64" s="380" t="n">
        <v>20.78892783636866</v>
      </c>
      <c r="Q64" s="380" t="n">
        <v>46.7965666512985</v>
      </c>
      <c r="R64" s="380" t="n">
        <v>2.053728823595117</v>
      </c>
      <c r="S64" s="380" t="n">
        <v>42.50302517946843</v>
      </c>
      <c r="T64" s="326" t="n">
        <v>0.4635282045652397</v>
      </c>
      <c r="U64" s="326" t="n">
        <v>0.03226702752761822</v>
      </c>
      <c r="V64" s="326" t="n">
        <v>-0.08394078048556843</v>
      </c>
      <c r="W64" s="326" t="n">
        <v>-0.359801631943067</v>
      </c>
      <c r="X64" s="326" t="n">
        <v>0.09536980153419052</v>
      </c>
      <c r="Y64" s="326" t="n">
        <v>1.048687518089734</v>
      </c>
      <c r="Z64" s="326" t="n">
        <v>1.048687518089734</v>
      </c>
    </row>
    <row r="65">
      <c r="A65" t="inlineStr">
        <is>
          <t>Real Estate (Development)</t>
        </is>
      </c>
      <c r="B65" t="n">
        <v>20</v>
      </c>
      <c r="C65" s="326" t="n">
        <v>0.1390166666666666</v>
      </c>
      <c r="D65" s="326" t="n">
        <v>0.1158558437220987</v>
      </c>
      <c r="E65" s="326" t="n">
        <v>0.02271632516406284</v>
      </c>
      <c r="F65" s="326" t="n">
        <v>0.3593238206392831</v>
      </c>
      <c r="G65" s="380" t="n">
        <v>0.613558112944647</v>
      </c>
      <c r="H65" s="380" t="n">
        <v>0.7495040000000001</v>
      </c>
      <c r="I65" s="326" t="n">
        <v>0.0621748032</v>
      </c>
      <c r="J65" s="326" t="n">
        <v>0.4426615695970577</v>
      </c>
      <c r="K65" s="326" t="n">
        <v>0.0391</v>
      </c>
      <c r="L65" s="326" t="n">
        <v>0.3117771694729778</v>
      </c>
      <c r="M65" s="326" t="n">
        <v>0.05205488941382357</v>
      </c>
      <c r="N65" s="380" t="n">
        <v>0.2081471734642412</v>
      </c>
      <c r="O65" s="380" t="n">
        <v>7.421040391506582</v>
      </c>
      <c r="P65" s="380" t="n">
        <v>28.91600734660079</v>
      </c>
      <c r="Q65" s="380" t="n">
        <v>63.21558952038058</v>
      </c>
      <c r="R65" s="380" t="n">
        <v>1.599617560544728</v>
      </c>
      <c r="S65" s="380" t="n">
        <v>38.10662124652847</v>
      </c>
      <c r="T65" s="326" t="n">
        <v>0.6505902087475149</v>
      </c>
      <c r="U65" s="326" t="n">
        <v>0.03546498785067374</v>
      </c>
      <c r="V65" s="326" t="n">
        <v>-0.05111345814004858</v>
      </c>
      <c r="W65" s="326" t="n">
        <v>0.0699100326730716</v>
      </c>
      <c r="X65" s="326" t="n">
        <v>0.04615203918941544</v>
      </c>
      <c r="Y65" s="326" t="n">
        <v>0</v>
      </c>
      <c r="Z65" s="326" t="n">
        <v>0</v>
      </c>
    </row>
    <row r="66">
      <c r="A66" t="inlineStr">
        <is>
          <t>Real Estate (General/Diversified)</t>
        </is>
      </c>
      <c r="B66" t="n">
        <v>10</v>
      </c>
      <c r="C66" s="326" t="n">
        <v>0.3099</v>
      </c>
      <c r="D66" s="326" t="n">
        <v>0.1463599178946086</v>
      </c>
      <c r="E66" s="326" t="n">
        <v>0.04315030302184325</v>
      </c>
      <c r="F66" s="326" t="n">
        <v>0.2641445511010728</v>
      </c>
      <c r="G66" s="380" t="n">
        <v>0.7333109691086862</v>
      </c>
      <c r="H66" s="380" t="n">
        <v>0.7451297777777779</v>
      </c>
      <c r="I66" s="326" t="n">
        <v>0.06195259271111112</v>
      </c>
      <c r="J66" s="326" t="n">
        <v>0.4106783234657609</v>
      </c>
      <c r="K66" s="326" t="n">
        <v>0.0391</v>
      </c>
      <c r="L66" s="326" t="n">
        <v>0.1909676816121427</v>
      </c>
      <c r="M66" s="326" t="n">
        <v>0.05579644533799533</v>
      </c>
      <c r="N66" s="380" t="n">
        <v>0.3379851292912789</v>
      </c>
      <c r="O66" s="380" t="n">
        <v>6.200324504443341</v>
      </c>
      <c r="P66" s="380" t="n">
        <v>11.96176084296045</v>
      </c>
      <c r="Q66" s="380" t="n">
        <v>29.06751842754494</v>
      </c>
      <c r="R66" s="380" t="n">
        <v>1.249847301869834</v>
      </c>
      <c r="S66" s="380" t="n">
        <v>28.47432235643894</v>
      </c>
      <c r="T66" s="326" t="n">
        <v>1.974840777918851</v>
      </c>
      <c r="U66" s="326" t="n">
        <v>0.01952741679919848</v>
      </c>
      <c r="V66" s="326" t="n">
        <v>-0.1184974202271259</v>
      </c>
      <c r="W66" s="326" t="n">
        <v>-2.165042511252483</v>
      </c>
      <c r="X66" s="326" t="n">
        <v>0.04167164105793193</v>
      </c>
      <c r="Y66" s="326" t="n">
        <v>0.2790910876825356</v>
      </c>
      <c r="Z66" s="326" t="n">
        <v>0.2790910876825357</v>
      </c>
    </row>
    <row r="67">
      <c r="A67" t="inlineStr">
        <is>
          <t>Real Estate (Operations &amp; Services)</t>
        </is>
      </c>
      <c r="B67" t="n">
        <v>60</v>
      </c>
      <c r="C67" s="326" t="n">
        <v>0.001894736842105264</v>
      </c>
      <c r="D67" s="326" t="n">
        <v>0.07584993756047674</v>
      </c>
      <c r="E67" s="326" t="n">
        <v>0.1104852497312188</v>
      </c>
      <c r="F67" s="326" t="n">
        <v>0.2825908001684804</v>
      </c>
      <c r="G67" s="380" t="n">
        <v>0.8018564221684913</v>
      </c>
      <c r="H67" s="380" t="n">
        <v>1.022576666666666</v>
      </c>
      <c r="I67" s="326" t="n">
        <v>0.07604689466666666</v>
      </c>
      <c r="J67" s="326" t="n">
        <v>0.5401434137419084</v>
      </c>
      <c r="K67" s="326" t="n">
        <v>0.0391</v>
      </c>
      <c r="L67" s="326" t="n">
        <v>0.3184019128786527</v>
      </c>
      <c r="M67" s="326" t="n">
        <v>0.06129504917942062</v>
      </c>
      <c r="N67" s="380" t="n">
        <v>1.596908518242189</v>
      </c>
      <c r="O67" s="380" t="n">
        <v>1.987056089893179</v>
      </c>
      <c r="P67" s="380" t="n">
        <v>14.07908968017451</v>
      </c>
      <c r="Q67" s="380" t="n">
        <v>24.60768086751814</v>
      </c>
      <c r="R67" s="380" t="n">
        <v>3.062180966153514</v>
      </c>
      <c r="S67" s="380" t="n">
        <v>75.20258165024374</v>
      </c>
      <c r="T67" s="326" t="n">
        <v>0.1499660851401964</v>
      </c>
      <c r="U67" s="326" t="n">
        <v>0.01514738500638802</v>
      </c>
      <c r="V67" s="326" t="n">
        <v>-0.0127960646910907</v>
      </c>
      <c r="W67" s="326" t="n">
        <v>0.03601561381899985</v>
      </c>
      <c r="X67" s="326" t="n">
        <v>0.150591676287203</v>
      </c>
      <c r="Y67" s="326" t="n">
        <v>0.09899412192022376</v>
      </c>
      <c r="Z67" s="326" t="n">
        <v>0.09899412192022372</v>
      </c>
    </row>
    <row r="68">
      <c r="A68" t="inlineStr">
        <is>
          <t>Recreation</t>
        </is>
      </c>
      <c r="B68" t="n">
        <v>70</v>
      </c>
      <c r="C68" s="326" t="n">
        <v>0.008631935483870954</v>
      </c>
      <c r="D68" s="326" t="n">
        <v>0.1109274051839911</v>
      </c>
      <c r="E68" s="326" t="n">
        <v>0.1458817232980912</v>
      </c>
      <c r="F68" s="326" t="n">
        <v>0.4766095513462896</v>
      </c>
      <c r="G68" s="380" t="n">
        <v>0.7260733880113741</v>
      </c>
      <c r="H68" s="380" t="n">
        <v>0.8495338666666667</v>
      </c>
      <c r="I68" s="326" t="n">
        <v>0.06725632042666667</v>
      </c>
      <c r="J68" s="326" t="n">
        <v>0.5084978234562898</v>
      </c>
      <c r="K68" s="326" t="n">
        <v>0.0391</v>
      </c>
      <c r="L68" s="326" t="n">
        <v>0.2283113860155782</v>
      </c>
      <c r="M68" s="326" t="n">
        <v>0.05868543783858548</v>
      </c>
      <c r="N68" s="380" t="n">
        <v>1.46132035798309</v>
      </c>
      <c r="O68" s="380" t="n">
        <v>2.017576274682701</v>
      </c>
      <c r="P68" s="380" t="n">
        <v>11.67899536726103</v>
      </c>
      <c r="Q68" s="380" t="n">
        <v>18.39364726522387</v>
      </c>
      <c r="R68" s="380" t="n">
        <v>4.118141028123988</v>
      </c>
      <c r="S68" s="380" t="n">
        <v>21.93535134849777</v>
      </c>
      <c r="T68" s="326" t="n">
        <v>0.1992733678509972</v>
      </c>
      <c r="U68" s="326" t="n">
        <v>0.0485322822426236</v>
      </c>
      <c r="V68" s="326" t="n">
        <v>0.03897047475202842</v>
      </c>
      <c r="W68" s="326" t="n">
        <v>0.5038972778555662</v>
      </c>
      <c r="X68" s="326" t="n">
        <v>0.05260495182000394</v>
      </c>
      <c r="Y68" s="326" t="n">
        <v>2.008279996717745</v>
      </c>
      <c r="Z68" s="326" t="n">
        <v>2.008279996717745</v>
      </c>
    </row>
    <row r="69">
      <c r="A69" t="inlineStr">
        <is>
          <t>Reinsurance</t>
        </is>
      </c>
      <c r="B69" t="n">
        <v>3</v>
      </c>
      <c r="C69" s="326" t="n">
        <v>-0.0287</v>
      </c>
      <c r="D69" s="326" t="n">
        <v>0.07305531868714159</v>
      </c>
      <c r="E69" s="326" t="n">
        <v>0.05973957460390492</v>
      </c>
      <c r="F69" s="326" t="n">
        <v>0.2852304520689147</v>
      </c>
      <c r="G69" s="380" t="n">
        <v>0.4672102786107545</v>
      </c>
      <c r="H69" s="380" t="n">
        <v>0.5215280000000001</v>
      </c>
      <c r="I69" s="326" t="n">
        <v>0.0505936224</v>
      </c>
      <c r="J69" s="326" t="n">
        <v>0.1899119141839907</v>
      </c>
      <c r="K69" s="326" t="n">
        <v>0.0311</v>
      </c>
      <c r="L69" s="326" t="n">
        <v>0.2170773876883896</v>
      </c>
      <c r="M69" s="326" t="n">
        <v>0.04474173215111799</v>
      </c>
      <c r="N69" s="380" t="n">
        <v>0.9179390833207888</v>
      </c>
      <c r="O69" s="380" t="n">
        <v>1.229427228246069</v>
      </c>
      <c r="P69" s="380" t="n">
        <v>14.25026425822142</v>
      </c>
      <c r="Q69" s="380" t="n">
        <v>16.72234486023708</v>
      </c>
      <c r="R69" s="380" t="n">
        <v>1.132339197682297</v>
      </c>
      <c r="S69" s="380" t="n">
        <v>486.8553189844801</v>
      </c>
      <c r="T69" s="326" t="n">
        <v>0.0387149584927608</v>
      </c>
      <c r="U69" s="326" t="n">
        <v>0.004465495003783176</v>
      </c>
      <c r="V69" s="326" t="n">
        <v>0.003847638947603676</v>
      </c>
      <c r="W69" s="326" t="n">
        <v>0.7988436846791079</v>
      </c>
      <c r="X69" s="326" t="n">
        <v>0.06047274505313584</v>
      </c>
      <c r="Y69" s="326" t="n">
        <v>0.1140178498321461</v>
      </c>
      <c r="Z69" s="326" t="n">
        <v>0.114017849832146</v>
      </c>
    </row>
    <row r="70">
      <c r="A70" t="inlineStr">
        <is>
          <t>Restaurant/Dining</t>
        </is>
      </c>
      <c r="B70" t="n">
        <v>81</v>
      </c>
      <c r="C70" s="326" t="n">
        <v>0.14114125</v>
      </c>
      <c r="D70" s="326" t="n">
        <v>0.1454537540837467</v>
      </c>
      <c r="E70" s="326" t="n">
        <v>0.170087146999997</v>
      </c>
      <c r="F70" s="326" t="n">
        <v>0.3112337748053907</v>
      </c>
      <c r="G70" s="380" t="n">
        <v>0.6957908983708337</v>
      </c>
      <c r="H70" s="380" t="n">
        <v>0.85012096</v>
      </c>
      <c r="I70" s="326" t="n">
        <v>0.067286144768</v>
      </c>
      <c r="J70" s="326" t="n">
        <v>0.4840640778400688</v>
      </c>
      <c r="K70" s="326" t="n">
        <v>0.0391</v>
      </c>
      <c r="L70" s="326" t="n">
        <v>0.2436124883573083</v>
      </c>
      <c r="M70" s="326" t="n">
        <v>0.05813358831312321</v>
      </c>
      <c r="N70" s="380" t="n">
        <v>1.37557395837469</v>
      </c>
      <c r="O70" s="380" t="n">
        <v>3.541218524189733</v>
      </c>
      <c r="P70" s="380" t="n">
        <v>13.83856967357067</v>
      </c>
      <c r="Q70" s="380" t="n">
        <v>24.31735009302637</v>
      </c>
      <c r="R70" s="380" t="n">
        <v>77.39487476487221</v>
      </c>
      <c r="S70" s="380" t="n">
        <v>49.46330681660687</v>
      </c>
      <c r="T70" s="326" t="n">
        <v>0.009715690485123073</v>
      </c>
      <c r="U70" s="326" t="n">
        <v>0.05997602504126363</v>
      </c>
      <c r="V70" s="326" t="n">
        <v>0.02281135094933314</v>
      </c>
      <c r="W70" s="326" t="n">
        <v>0.2470453178759173</v>
      </c>
      <c r="X70" s="326" t="n">
        <v>0.9566950769735667</v>
      </c>
      <c r="Y70" s="326" t="n">
        <v>0.5111805472570528</v>
      </c>
      <c r="Z70" s="326" t="n">
        <v>0.5111805472570528</v>
      </c>
    </row>
    <row r="71">
      <c r="A71" t="inlineStr">
        <is>
          <t>Retail (Automotive)</t>
        </is>
      </c>
      <c r="B71" t="n">
        <v>25</v>
      </c>
      <c r="C71" s="326" t="n">
        <v>0.09942666666666666</v>
      </c>
      <c r="D71" s="326" t="n">
        <v>0.0539085994300811</v>
      </c>
      <c r="E71" s="326" t="n">
        <v>0.1037815523972625</v>
      </c>
      <c r="F71" s="326" t="n">
        <v>0.3417199448414192</v>
      </c>
      <c r="G71" s="380" t="n">
        <v>0.6472816849873897</v>
      </c>
      <c r="H71" s="380" t="n">
        <v>1.010853333333334</v>
      </c>
      <c r="I71" s="326" t="n">
        <v>0.07545134933333336</v>
      </c>
      <c r="J71" s="326" t="n">
        <v>0.426229249602571</v>
      </c>
      <c r="K71" s="326" t="n">
        <v>0.0391</v>
      </c>
      <c r="L71" s="326" t="n">
        <v>0.4316898332547566</v>
      </c>
      <c r="M71" s="326" t="n">
        <v>0.05570786400577864</v>
      </c>
      <c r="N71" s="380" t="n">
        <v>2.377816270521169</v>
      </c>
      <c r="O71" s="380" t="n">
        <v>0.9486253264761195</v>
      </c>
      <c r="P71" s="380" t="n">
        <v>10.99764307485927</v>
      </c>
      <c r="Q71" s="380" t="n">
        <v>17.5352646682002</v>
      </c>
      <c r="R71" s="380" t="n">
        <v>5.221391172731826</v>
      </c>
      <c r="S71" s="380" t="n">
        <v>16.09163000318014</v>
      </c>
      <c r="T71" s="326" t="n">
        <v>0.1298948574936741</v>
      </c>
      <c r="U71" s="326" t="n">
        <v>0.02057231848791441</v>
      </c>
      <c r="V71" s="326" t="n">
        <v>0.02153585155828252</v>
      </c>
      <c r="W71" s="326" t="n">
        <v>0.820358996445019</v>
      </c>
      <c r="X71" s="326" t="n">
        <v>0.3425824909049079</v>
      </c>
      <c r="Y71" s="326" t="n">
        <v>0.04594572523992603</v>
      </c>
      <c r="Z71" s="326" t="n">
        <v>0.04594572523992602</v>
      </c>
    </row>
    <row r="72">
      <c r="A72" t="inlineStr">
        <is>
          <t>Retail (Building Supply)</t>
        </is>
      </c>
      <c r="B72" t="n">
        <v>8</v>
      </c>
      <c r="C72" s="326" t="n">
        <v>0.05408</v>
      </c>
      <c r="D72" s="326" t="n">
        <v>0.1163014937912399</v>
      </c>
      <c r="E72" s="326" t="n">
        <v>0.3030004687616419</v>
      </c>
      <c r="F72" s="326" t="n">
        <v>0.3628793004736376</v>
      </c>
      <c r="G72" s="380" t="n">
        <v>0.7633772501462845</v>
      </c>
      <c r="H72" s="380" t="n">
        <v>0.8565074285714285</v>
      </c>
      <c r="I72" s="326" t="n">
        <v>0.06761057737142856</v>
      </c>
      <c r="J72" s="326" t="n">
        <v>0.5344483409793267</v>
      </c>
      <c r="K72" s="326" t="n">
        <v>0.0391</v>
      </c>
      <c r="L72" s="326" t="n">
        <v>0.151528031558028</v>
      </c>
      <c r="M72" s="326" t="n">
        <v>0.0618684866556126</v>
      </c>
      <c r="N72" s="380" t="n">
        <v>3.078016242795715</v>
      </c>
      <c r="O72" s="380" t="n">
        <v>2.054743611430854</v>
      </c>
      <c r="P72" s="380" t="n">
        <v>13.51906677908958</v>
      </c>
      <c r="Q72" s="380" t="n">
        <v>17.6638762488386</v>
      </c>
      <c r="R72" s="380" t="n">
        <v>32.98072646083683</v>
      </c>
      <c r="S72" s="380" t="n">
        <v>34.84544308443061</v>
      </c>
      <c r="T72" s="326" t="n">
        <v>0.05986194800028596</v>
      </c>
      <c r="U72" s="326" t="n">
        <v>0.01801350960352417</v>
      </c>
      <c r="V72" s="326" t="n">
        <v>0.003584567524784737</v>
      </c>
      <c r="W72" s="326" t="n">
        <v>0.03457910632116352</v>
      </c>
      <c r="X72" s="326" t="n">
        <v>0.9125991167730407</v>
      </c>
      <c r="Y72" s="326" t="n">
        <v>0.4363667667409153</v>
      </c>
      <c r="Z72" s="326" t="n">
        <v>0.4363667667409152</v>
      </c>
    </row>
    <row r="73">
      <c r="A73" t="inlineStr">
        <is>
          <t>Retail (Distributors)</t>
        </is>
      </c>
      <c r="B73" t="n">
        <v>92</v>
      </c>
      <c r="C73" s="326" t="n">
        <v>0.06455555555555553</v>
      </c>
      <c r="D73" s="326" t="n">
        <v>0.07970932524937668</v>
      </c>
      <c r="E73" s="326" t="n">
        <v>0.1318252050868675</v>
      </c>
      <c r="F73" s="326" t="n">
        <v>0.3421940798995545</v>
      </c>
      <c r="G73" s="380" t="n">
        <v>0.8712351874210977</v>
      </c>
      <c r="H73" s="380" t="n">
        <v>1.148735684210526</v>
      </c>
      <c r="I73" s="326" t="n">
        <v>0.08245577275789472</v>
      </c>
      <c r="J73" s="326" t="n">
        <v>0.4923922315042048</v>
      </c>
      <c r="K73" s="326" t="n">
        <v>0.0391</v>
      </c>
      <c r="L73" s="326" t="n">
        <v>0.3130839788161295</v>
      </c>
      <c r="M73" s="326" t="n">
        <v>0.06594379486099453</v>
      </c>
      <c r="N73" s="380" t="n">
        <v>1.92748168967106</v>
      </c>
      <c r="O73" s="380" t="n">
        <v>1.363978128419879</v>
      </c>
      <c r="P73" s="380" t="n">
        <v>13.48081365013679</v>
      </c>
      <c r="Q73" s="380" t="n">
        <v>17.06054063048168</v>
      </c>
      <c r="R73" s="380" t="n">
        <v>3.468026899213656</v>
      </c>
      <c r="S73" s="380" t="n">
        <v>111.5648952929388</v>
      </c>
      <c r="T73" s="326" t="n">
        <v>0.1715761304290848</v>
      </c>
      <c r="U73" s="326" t="n">
        <v>0.04336240805118762</v>
      </c>
      <c r="V73" s="326" t="n">
        <v>0.05248615788609234</v>
      </c>
      <c r="W73" s="326" t="n">
        <v>1.110279794944853</v>
      </c>
      <c r="X73" s="326" t="n">
        <v>0.1605129502233639</v>
      </c>
      <c r="Y73" s="326" t="n">
        <v>0.3020803456157328</v>
      </c>
      <c r="Z73" s="326" t="n">
        <v>0.3020803456157328</v>
      </c>
    </row>
    <row r="74">
      <c r="A74" t="inlineStr">
        <is>
          <t>Retail (General)</t>
        </is>
      </c>
      <c r="B74" t="n">
        <v>18</v>
      </c>
      <c r="C74" s="326" t="n">
        <v>0.02075562499999999</v>
      </c>
      <c r="D74" s="326" t="n">
        <v>0.04207738424075214</v>
      </c>
      <c r="E74" s="326" t="n">
        <v>0.119029963471071</v>
      </c>
      <c r="F74" s="326" t="n">
        <v>0.3278435065230928</v>
      </c>
      <c r="G74" s="380" t="n">
        <v>0.8743004525736197</v>
      </c>
      <c r="H74" s="380" t="n">
        <v>1.050087555555556</v>
      </c>
      <c r="I74" s="326" t="n">
        <v>0.07744444782222223</v>
      </c>
      <c r="J74" s="326" t="n">
        <v>0.4993976983780435</v>
      </c>
      <c r="K74" s="326" t="n">
        <v>0.0391</v>
      </c>
      <c r="L74" s="326" t="n">
        <v>0.237512990827029</v>
      </c>
      <c r="M74" s="326" t="n">
        <v>0.06610832143243443</v>
      </c>
      <c r="N74" s="380" t="n">
        <v>3.671899216062026</v>
      </c>
      <c r="O74" s="380" t="n">
        <v>0.7420475392844923</v>
      </c>
      <c r="P74" s="380" t="n">
        <v>9.465842187213886</v>
      </c>
      <c r="Q74" s="380" t="n">
        <v>17.42040471764408</v>
      </c>
      <c r="R74" s="380" t="n">
        <v>3.997104271414909</v>
      </c>
      <c r="S74" s="380" t="n">
        <v>21.01822363780633</v>
      </c>
      <c r="T74" s="326" t="n">
        <v>0.02238613887317821</v>
      </c>
      <c r="U74" s="326" t="n">
        <v>0.02269801714003735</v>
      </c>
      <c r="V74" s="326" t="n">
        <v>0.0004157755278898281</v>
      </c>
      <c r="W74" s="326" t="n">
        <v>-0.2292116648234164</v>
      </c>
      <c r="X74" s="326" t="n">
        <v>0.1609548762573311</v>
      </c>
      <c r="Y74" s="326" t="n">
        <v>0.4952682450153414</v>
      </c>
      <c r="Z74" s="326" t="n">
        <v>0.4952682450153414</v>
      </c>
    </row>
    <row r="75">
      <c r="A75" t="inlineStr">
        <is>
          <t>Retail (Grocery and Food)</t>
        </is>
      </c>
      <c r="B75" t="n">
        <v>14</v>
      </c>
      <c r="C75" s="326" t="n">
        <v>0.0539</v>
      </c>
      <c r="D75" s="326" t="n">
        <v>0.02332067104296123</v>
      </c>
      <c r="E75" s="326" t="n">
        <v>0.08747630751634008</v>
      </c>
      <c r="F75" s="326" t="n">
        <v>0.3375235059000141</v>
      </c>
      <c r="G75" s="380" t="n">
        <v>0.4389603216767831</v>
      </c>
      <c r="H75" s="380" t="n">
        <v>0.7065753846153845</v>
      </c>
      <c r="I75" s="326" t="n">
        <v>0.05999402953846153</v>
      </c>
      <c r="J75" s="326" t="n">
        <v>0.4572660917957886</v>
      </c>
      <c r="K75" s="326" t="n">
        <v>0.0391</v>
      </c>
      <c r="L75" s="326" t="n">
        <v>0.4555798816841213</v>
      </c>
      <c r="M75" s="326" t="n">
        <v>0.04619996842370089</v>
      </c>
      <c r="N75" s="380" t="n">
        <v>4.750387122149858</v>
      </c>
      <c r="O75" s="380" t="n">
        <v>0.4050743874098879</v>
      </c>
      <c r="P75" s="380" t="n">
        <v>7.158405744741333</v>
      </c>
      <c r="Q75" s="380" t="n">
        <v>17.36925245996115</v>
      </c>
      <c r="R75" s="380" t="n">
        <v>3.301227102442621</v>
      </c>
      <c r="S75" s="380" t="n">
        <v>40.72122511360967</v>
      </c>
      <c r="T75" s="326" t="n">
        <v>0.006554207835440537</v>
      </c>
      <c r="U75" s="326" t="n">
        <v>0.02622845117333561</v>
      </c>
      <c r="V75" s="326" t="n">
        <v>0.007286886343766202</v>
      </c>
      <c r="W75" s="326" t="n">
        <v>0.4614183532267961</v>
      </c>
      <c r="X75" s="326" t="n">
        <v>0.2443174283841587</v>
      </c>
      <c r="Y75" s="326" t="n">
        <v>0.2102185168457433</v>
      </c>
      <c r="Z75" s="326" t="n">
        <v>0.2102185168457433</v>
      </c>
    </row>
    <row r="76">
      <c r="A76" t="inlineStr">
        <is>
          <t>Retail (Online)</t>
        </is>
      </c>
      <c r="B76" t="n">
        <v>61</v>
      </c>
      <c r="C76" s="326" t="n">
        <v>0.1016004545454545</v>
      </c>
      <c r="D76" s="326" t="n">
        <v>0.04141602854684932</v>
      </c>
      <c r="E76" s="326" t="n">
        <v>0.1339649837890609</v>
      </c>
      <c r="F76" s="326" t="n">
        <v>0.233098100935984</v>
      </c>
      <c r="G76" s="380" t="n">
        <v>1.123659807701672</v>
      </c>
      <c r="H76" s="380" t="n">
        <v>1.181885886792453</v>
      </c>
      <c r="I76" s="326" t="n">
        <v>0.08413980304905663</v>
      </c>
      <c r="J76" s="326" t="n">
        <v>0.6063534570983136</v>
      </c>
      <c r="K76" s="326" t="n">
        <v>0.0391</v>
      </c>
      <c r="L76" s="326" t="n">
        <v>0.1024462362790524</v>
      </c>
      <c r="M76" s="326" t="n">
        <v>0.07856428926268837</v>
      </c>
      <c r="N76" s="380" t="n">
        <v>3.473222645533351</v>
      </c>
      <c r="O76" s="380" t="n">
        <v>3.576982609398244</v>
      </c>
      <c r="P76" s="380" t="n">
        <v>32.47009686051173</v>
      </c>
      <c r="Q76" s="380" t="n">
        <v>93.52752706132914</v>
      </c>
      <c r="R76" s="380" t="n">
        <v>9.372691717866545</v>
      </c>
      <c r="S76" s="380" t="n">
        <v>64.87038137611289</v>
      </c>
      <c r="T76" s="326" t="n">
        <v>-0.004322181559139947</v>
      </c>
      <c r="U76" s="326" t="n">
        <v>0.04918128886819075</v>
      </c>
      <c r="V76" s="326" t="n">
        <v>0.04848790269605859</v>
      </c>
      <c r="W76" s="326" t="n">
        <v>1.587507926686543</v>
      </c>
      <c r="X76" s="326" t="n">
        <v>0.1871787491804321</v>
      </c>
      <c r="Y76" s="326" t="n">
        <v>0.06463772476354147</v>
      </c>
      <c r="Z76" s="326" t="n">
        <v>0.06463772476354146</v>
      </c>
    </row>
    <row r="77">
      <c r="A77" t="inlineStr">
        <is>
          <t>Retail (Special Lines)</t>
        </is>
      </c>
      <c r="B77" t="n">
        <v>106</v>
      </c>
      <c r="C77" s="326" t="n">
        <v>0.04898380281690141</v>
      </c>
      <c r="D77" s="326" t="n">
        <v>0.0582486286071444</v>
      </c>
      <c r="E77" s="326" t="n">
        <v>0.1169170443326482</v>
      </c>
      <c r="F77" s="326" t="n">
        <v>0.329501691508444</v>
      </c>
      <c r="G77" s="380" t="n">
        <v>0.8200958974620539</v>
      </c>
      <c r="H77" s="380" t="n">
        <v>1.111136421052632</v>
      </c>
      <c r="I77" s="326" t="n">
        <v>0.08054573018947371</v>
      </c>
      <c r="J77" s="326" t="n">
        <v>0.5967894835078914</v>
      </c>
      <c r="K77" s="326" t="n">
        <v>0.0391</v>
      </c>
      <c r="L77" s="326" t="n">
        <v>0.3463927963774106</v>
      </c>
      <c r="M77" s="326" t="n">
        <v>0.06293867781003262</v>
      </c>
      <c r="N77" s="380" t="n">
        <v>2.573354963071267</v>
      </c>
      <c r="O77" s="380" t="n">
        <v>0.9422588320405835</v>
      </c>
      <c r="P77" s="380" t="n">
        <v>7.911876180605652</v>
      </c>
      <c r="Q77" s="380" t="n">
        <v>16.16483335401636</v>
      </c>
      <c r="R77" s="380" t="n">
        <v>3.434065486470572</v>
      </c>
      <c r="S77" s="380" t="n">
        <v>34.98312425460058</v>
      </c>
      <c r="T77" s="326" t="n">
        <v>0.07003695283622052</v>
      </c>
      <c r="U77" s="326" t="n">
        <v>0.02080340218943071</v>
      </c>
      <c r="V77" s="326" t="n">
        <v>0.003801807412733162</v>
      </c>
      <c r="W77" s="326" t="n">
        <v>-0.03600408757177864</v>
      </c>
      <c r="X77" s="326" t="n">
        <v>0.16587831512988</v>
      </c>
      <c r="Y77" s="326" t="n">
        <v>0.4001510648283096</v>
      </c>
      <c r="Z77" s="326" t="n">
        <v>0.4001510648283096</v>
      </c>
    </row>
    <row r="78">
      <c r="A78" t="inlineStr">
        <is>
          <t>Rubber&amp; Tires</t>
        </is>
      </c>
      <c r="B78" t="n">
        <v>4</v>
      </c>
      <c r="C78" s="326" t="n">
        <v>-0.06465000000000001</v>
      </c>
      <c r="D78" s="326" t="n">
        <v>0.1033349152768308</v>
      </c>
      <c r="E78" s="326" t="n">
        <v>0.1395759244074274</v>
      </c>
      <c r="F78" s="326" t="n">
        <v>0.07876882289177084</v>
      </c>
      <c r="G78" s="380" t="n">
        <v>0.6372636042833691</v>
      </c>
      <c r="H78" s="380" t="n">
        <v>0.952824</v>
      </c>
      <c r="I78" s="326" t="n">
        <v>0.07250345919999999</v>
      </c>
      <c r="J78" s="326" t="n">
        <v>0.5623611281990374</v>
      </c>
      <c r="K78" s="326" t="n">
        <v>0.0391</v>
      </c>
      <c r="L78" s="326" t="n">
        <v>0.4381747734381569</v>
      </c>
      <c r="M78" s="326" t="n">
        <v>0.05375507395904561</v>
      </c>
      <c r="N78" s="380" t="n">
        <v>1.466418873930047</v>
      </c>
      <c r="O78" s="380" t="n">
        <v>0.9244790613561703</v>
      </c>
      <c r="P78" s="380" t="n">
        <v>5.596192801498311</v>
      </c>
      <c r="Q78" s="380" t="n">
        <v>8.865721308934617</v>
      </c>
      <c r="R78" s="380" t="n">
        <v>1.553072079556741</v>
      </c>
      <c r="S78" s="380" t="n">
        <v>77.73175522570359</v>
      </c>
      <c r="T78" s="326" t="n">
        <v>0.1599137561739831</v>
      </c>
      <c r="U78" s="326" t="n">
        <v>0.06455975147179746</v>
      </c>
      <c r="V78" s="326" t="n">
        <v>0.01716341152135622</v>
      </c>
      <c r="W78" s="326" t="n">
        <v>0.401441973436502</v>
      </c>
      <c r="X78" s="326" t="n">
        <v>0.2143772999080037</v>
      </c>
      <c r="Y78" s="326" t="n">
        <v>0.1031762528664727</v>
      </c>
      <c r="Z78" s="326" t="n">
        <v>0.1031762528664727</v>
      </c>
    </row>
    <row r="79">
      <c r="A79" t="inlineStr">
        <is>
          <t>Semiconductor</t>
        </is>
      </c>
      <c r="B79" t="n">
        <v>72</v>
      </c>
      <c r="C79" s="326" t="n">
        <v>0.08723857142857142</v>
      </c>
      <c r="D79" s="326" t="n">
        <v>0.260685171434629</v>
      </c>
      <c r="E79" s="326" t="n">
        <v>0.1612852934619352</v>
      </c>
      <c r="F79" s="326" t="n">
        <v>0.1889730354469767</v>
      </c>
      <c r="G79" s="380" t="n">
        <v>1.156761167467331</v>
      </c>
      <c r="H79" s="380" t="n">
        <v>1.17248847761194</v>
      </c>
      <c r="I79" s="326" t="n">
        <v>0.08366241466268655</v>
      </c>
      <c r="J79" s="326" t="n">
        <v>0.5267620141973304</v>
      </c>
      <c r="K79" s="326" t="n">
        <v>0.0391</v>
      </c>
      <c r="L79" s="326" t="n">
        <v>0.1158051336990676</v>
      </c>
      <c r="M79" s="326" t="n">
        <v>0.07741514290008879</v>
      </c>
      <c r="N79" s="380" t="n">
        <v>0.6704235967497462</v>
      </c>
      <c r="O79" s="380" t="n">
        <v>4.351967473967323</v>
      </c>
      <c r="P79" s="380" t="n">
        <v>11.82019827827348</v>
      </c>
      <c r="Q79" s="380" t="n">
        <v>17.04897346587172</v>
      </c>
      <c r="R79" s="380" t="n">
        <v>3.940002863992933</v>
      </c>
      <c r="S79" s="380" t="n">
        <v>43.79569528368781</v>
      </c>
      <c r="T79" s="326" t="n">
        <v>0.1780855334206309</v>
      </c>
      <c r="U79" s="326" t="n">
        <v>0.1142667178269799</v>
      </c>
      <c r="V79" s="326" t="n">
        <v>0.2354823909961774</v>
      </c>
      <c r="W79" s="326" t="n">
        <v>1.311815988997352</v>
      </c>
      <c r="X79" s="326" t="n">
        <v>0.198721141436161</v>
      </c>
      <c r="Y79" s="326" t="n">
        <v>0.3748209150520068</v>
      </c>
      <c r="Z79" s="326" t="n">
        <v>0.3748209150520068</v>
      </c>
    </row>
    <row r="80">
      <c r="A80" t="inlineStr">
        <is>
          <t>Semiconductor Equip</t>
        </is>
      </c>
      <c r="B80" t="n">
        <v>45</v>
      </c>
      <c r="C80" s="326" t="n">
        <v>0.0540116129032258</v>
      </c>
      <c r="D80" s="326" t="n">
        <v>0.2365874957282774</v>
      </c>
      <c r="E80" s="326" t="n">
        <v>0.2905627722965489</v>
      </c>
      <c r="F80" s="326" t="n">
        <v>0.1166920045628954</v>
      </c>
      <c r="G80" s="380" t="n">
        <v>0.9851954725969622</v>
      </c>
      <c r="H80" s="380" t="n">
        <v>0.9819400000000003</v>
      </c>
      <c r="I80" s="326" t="n">
        <v>0.07398255200000001</v>
      </c>
      <c r="J80" s="326" t="n">
        <v>0.6104314702118006</v>
      </c>
      <c r="K80" s="326" t="n">
        <v>0.0391</v>
      </c>
      <c r="L80" s="326" t="n">
        <v>0.1034186514254218</v>
      </c>
      <c r="M80" s="326" t="n">
        <v>0.0694045648889067</v>
      </c>
      <c r="N80" s="380" t="n">
        <v>1.336508552944123</v>
      </c>
      <c r="O80" s="380" t="n">
        <v>3.227379551918291</v>
      </c>
      <c r="P80" s="380" t="n">
        <v>11.66183983112652</v>
      </c>
      <c r="Q80" s="380" t="n">
        <v>14.30131096130635</v>
      </c>
      <c r="R80" s="380" t="n">
        <v>4.499753179361536</v>
      </c>
      <c r="S80" s="380" t="n">
        <v>23.71171440737009</v>
      </c>
      <c r="T80" s="326" t="n">
        <v>0.2310468653579088</v>
      </c>
      <c r="U80" s="326" t="n">
        <v>0.037573700664086</v>
      </c>
      <c r="V80" s="326" t="n">
        <v>0.04569869045933577</v>
      </c>
      <c r="W80" s="326" t="n">
        <v>0.4194852055187586</v>
      </c>
      <c r="X80" s="326" t="n">
        <v>0.3362848023620317</v>
      </c>
      <c r="Y80" s="326" t="n">
        <v>0.1493474663299121</v>
      </c>
      <c r="Z80" s="326" t="n">
        <v>0.1493474663299121</v>
      </c>
    </row>
    <row r="81">
      <c r="A81" t="inlineStr">
        <is>
          <t>Shipbuilding &amp; Marine</t>
        </is>
      </c>
      <c r="B81" t="n">
        <v>9</v>
      </c>
      <c r="C81" s="326" t="n">
        <v>-0.04436666666666667</v>
      </c>
      <c r="D81" s="326" t="n">
        <v>0.07400353177710108</v>
      </c>
      <c r="E81" s="326" t="n">
        <v>0.04876804097279567</v>
      </c>
      <c r="F81" s="326" t="n">
        <v>0.3645705896745779</v>
      </c>
      <c r="G81" s="380" t="n">
        <v>1.013479816111592</v>
      </c>
      <c r="H81" s="380" t="n">
        <v>1.340605333333333</v>
      </c>
      <c r="I81" s="326" t="n">
        <v>0.09220275093333333</v>
      </c>
      <c r="J81" s="326" t="n">
        <v>0.9439894422548264</v>
      </c>
      <c r="K81" s="326" t="n">
        <v>0.08160000000000001</v>
      </c>
      <c r="L81" s="326" t="n">
        <v>0.3195125116874355</v>
      </c>
      <c r="M81" s="326" t="n">
        <v>0.08255770632294096</v>
      </c>
      <c r="N81" s="380" t="n">
        <v>0.7187397528774545</v>
      </c>
      <c r="O81" s="380" t="n">
        <v>2.285012798389832</v>
      </c>
      <c r="P81" s="380" t="n">
        <v>10.69817271923827</v>
      </c>
      <c r="Q81" s="380" t="n">
        <v>26.31139594859743</v>
      </c>
      <c r="R81" s="380" t="n">
        <v>1.468041508091415</v>
      </c>
      <c r="S81" s="380" t="n">
        <v>24.78512990546439</v>
      </c>
      <c r="T81" s="326" t="n">
        <v>0.2221116687092396</v>
      </c>
      <c r="U81" s="326" t="n">
        <v>0.1556656878250843</v>
      </c>
      <c r="V81" s="326" t="n">
        <v>0.1594826342844003</v>
      </c>
      <c r="W81" s="326" t="n">
        <v>3.83612231889546</v>
      </c>
      <c r="X81" s="326" t="n">
        <v>-0.01876396128071482</v>
      </c>
      <c r="Y81" s="326" t="n">
        <v>0.0009916864608076009</v>
      </c>
      <c r="Z81" s="326" t="n">
        <v>0.0009916864608076059</v>
      </c>
    </row>
    <row r="82">
      <c r="A82" t="inlineStr">
        <is>
          <t>Shoe</t>
        </is>
      </c>
      <c r="B82" t="n">
        <v>11</v>
      </c>
      <c r="C82" s="326" t="n">
        <v>0.066425</v>
      </c>
      <c r="D82" s="326" t="n">
        <v>0.1137440686734319</v>
      </c>
      <c r="E82" s="326" t="n">
        <v>0.2040400191950276</v>
      </c>
      <c r="F82" s="326" t="n">
        <v>0.1390101749269992</v>
      </c>
      <c r="G82" s="380" t="n">
        <v>0.8606518584820271</v>
      </c>
      <c r="H82" s="380" t="n">
        <v>0.8809160000000003</v>
      </c>
      <c r="I82" s="326" t="n">
        <v>0.06885053280000002</v>
      </c>
      <c r="J82" s="326" t="n">
        <v>0.4439407718042508</v>
      </c>
      <c r="K82" s="326" t="n">
        <v>0.0391</v>
      </c>
      <c r="L82" s="326" t="n">
        <v>0.08803981867614652</v>
      </c>
      <c r="M82" s="326" t="n">
        <v>0.06540513562831229</v>
      </c>
      <c r="N82" s="380" t="n">
        <v>2.155255155711313</v>
      </c>
      <c r="O82" s="380" t="n">
        <v>2.675811685025107</v>
      </c>
      <c r="P82" s="380" t="n">
        <v>16.79335439836302</v>
      </c>
      <c r="Q82" s="380" t="n">
        <v>23.5004998078511</v>
      </c>
      <c r="R82" s="380" t="n">
        <v>6.845561710745424</v>
      </c>
      <c r="S82" s="380" t="n">
        <v>35.87689109359381</v>
      </c>
      <c r="T82" s="326" t="n">
        <v>0.2019114701271555</v>
      </c>
      <c r="U82" s="326" t="n">
        <v>0.005233626545897927</v>
      </c>
      <c r="V82" s="326" t="n">
        <v>-0.01506984410381467</v>
      </c>
      <c r="W82" s="326" t="n">
        <v>-0.1561946346660078</v>
      </c>
      <c r="X82" s="326" t="n">
        <v>0.2532133706128334</v>
      </c>
      <c r="Y82" s="326" t="n">
        <v>0.2849374421775612</v>
      </c>
      <c r="Z82" s="326" t="n">
        <v>0.2849374421775612</v>
      </c>
    </row>
    <row r="83">
      <c r="A83" t="inlineStr">
        <is>
          <t>Software (Entertainment)</t>
        </is>
      </c>
      <c r="B83" t="n">
        <v>13</v>
      </c>
      <c r="C83" s="326" t="n">
        <v>0.02957999999999999</v>
      </c>
      <c r="D83" s="326" t="n">
        <v>0.2205346715236285</v>
      </c>
      <c r="E83" s="326" t="n">
        <v>0.2779404350031538</v>
      </c>
      <c r="F83" s="326" t="n">
        <v>0.1392764126110149</v>
      </c>
      <c r="G83" s="380" t="n">
        <v>0.9110162753522365</v>
      </c>
      <c r="H83" s="380" t="n">
        <v>0.8910298181818184</v>
      </c>
      <c r="I83" s="326" t="n">
        <v>0.06936431476363637</v>
      </c>
      <c r="J83" s="326" t="n">
        <v>0.4961437543082448</v>
      </c>
      <c r="K83" s="326" t="n">
        <v>0.0391</v>
      </c>
      <c r="L83" s="326" t="n">
        <v>0.06059292739648096</v>
      </c>
      <c r="M83" s="326" t="n">
        <v>0.06696190730577053</v>
      </c>
      <c r="N83" s="380" t="n">
        <v>1.286870658499869</v>
      </c>
      <c r="O83" s="380" t="n">
        <v>6.389684360970022</v>
      </c>
      <c r="P83" s="380" t="n">
        <v>21.97254175346426</v>
      </c>
      <c r="Q83" s="380" t="n">
        <v>30.09830957787949</v>
      </c>
      <c r="R83" s="380" t="n">
        <v>5.529853737460775</v>
      </c>
      <c r="S83" s="380" t="n">
        <v>42.65274072776023</v>
      </c>
      <c r="T83" s="326" t="n">
        <v>0.207257879472683</v>
      </c>
      <c r="U83" s="326" t="n">
        <v>0.02227837023716459</v>
      </c>
      <c r="V83" s="326" t="n">
        <v>-0.006674773147493511</v>
      </c>
      <c r="W83" s="326" t="n">
        <v>0.0857103717459204</v>
      </c>
      <c r="X83" s="326" t="n">
        <v>0.1633416623906897</v>
      </c>
      <c r="Y83" s="326" t="n">
        <v>0.09566152029966703</v>
      </c>
      <c r="Z83" s="326" t="n">
        <v>0.09566152029966701</v>
      </c>
    </row>
    <row r="84">
      <c r="A84" t="inlineStr">
        <is>
          <t>Software (Internet)</t>
        </is>
      </c>
      <c r="B84" t="n">
        <v>305</v>
      </c>
      <c r="C84" s="326" t="n">
        <v>0.1971717857142857</v>
      </c>
      <c r="D84" s="326" t="n">
        <v>0.2603947172509984</v>
      </c>
      <c r="E84" s="326" t="n">
        <v>0.166346933300546</v>
      </c>
      <c r="F84" s="326" t="n">
        <v>0.1582429192239699</v>
      </c>
      <c r="G84" s="380" t="n">
        <v>1.199130794451042</v>
      </c>
      <c r="H84" s="380" t="n">
        <v>1.203340905349794</v>
      </c>
      <c r="I84" s="326" t="n">
        <v>0.08522971799176955</v>
      </c>
      <c r="J84" s="326" t="n">
        <v>0.6559523942263703</v>
      </c>
      <c r="K84" s="326" t="n">
        <v>0.0466</v>
      </c>
      <c r="L84" s="326" t="n">
        <v>0.0320985475744302</v>
      </c>
      <c r="M84" s="326" t="n">
        <v>0.08363076999495149</v>
      </c>
      <c r="N84" s="380" t="n">
        <v>0.6541037074473888</v>
      </c>
      <c r="O84" s="380" t="n">
        <v>8.040099716913323</v>
      </c>
      <c r="P84" s="380" t="n">
        <v>22.89282038795995</v>
      </c>
      <c r="Q84" s="380" t="n">
        <v>31.93073956959613</v>
      </c>
      <c r="R84" s="380" t="n">
        <v>4.967474797355176</v>
      </c>
      <c r="S84" s="380" t="n">
        <v>76.02552864123911</v>
      </c>
      <c r="T84" s="326" t="n">
        <v>0.09862124066224279</v>
      </c>
      <c r="U84" s="326" t="n">
        <v>0.1046521393437874</v>
      </c>
      <c r="V84" s="326" t="n">
        <v>0.08921100768527211</v>
      </c>
      <c r="W84" s="326" t="n">
        <v>0.5671854483935719</v>
      </c>
      <c r="X84" s="326" t="n">
        <v>0.1851748555749946</v>
      </c>
      <c r="Y84" s="326" t="n">
        <v>0.002667321089830072</v>
      </c>
      <c r="Z84" s="326" t="n">
        <v>0.002667321089830033</v>
      </c>
    </row>
    <row r="85">
      <c r="A85" t="inlineStr">
        <is>
          <t>Software (System &amp; Application)</t>
        </is>
      </c>
      <c r="B85" t="n">
        <v>255</v>
      </c>
      <c r="C85" s="326" t="n">
        <v>0.1271125742574257</v>
      </c>
      <c r="D85" s="326" t="n">
        <v>0.2109424728396172</v>
      </c>
      <c r="E85" s="326" t="n">
        <v>0.1482328962816625</v>
      </c>
      <c r="F85" s="326" t="n">
        <v>0.1439509483447141</v>
      </c>
      <c r="G85" s="380" t="n">
        <v>1.0202561296565</v>
      </c>
      <c r="H85" s="380" t="n">
        <v>1.087548411214953</v>
      </c>
      <c r="I85" s="326" t="n">
        <v>0.07934745928971962</v>
      </c>
      <c r="J85" s="326" t="n">
        <v>0.5326828175133673</v>
      </c>
      <c r="K85" s="326" t="n">
        <v>0.0391</v>
      </c>
      <c r="L85" s="326" t="n">
        <v>0.1238856413079575</v>
      </c>
      <c r="M85" s="326" t="n">
        <v>0.07319883412656292</v>
      </c>
      <c r="N85" s="380" t="n">
        <v>0.7292106472398607</v>
      </c>
      <c r="O85" s="380" t="n">
        <v>7.271773801640068</v>
      </c>
      <c r="P85" s="380" t="n">
        <v>22.6191810090646</v>
      </c>
      <c r="Q85" s="380" t="n">
        <v>35.02366196350074</v>
      </c>
      <c r="R85" s="380" t="n">
        <v>6.598006245046855</v>
      </c>
      <c r="S85" s="380" t="n">
        <v>362.1355544821303</v>
      </c>
      <c r="T85" s="326" t="n">
        <v>0.1275507384542986</v>
      </c>
      <c r="U85" s="326" t="n">
        <v>0.05884189144001746</v>
      </c>
      <c r="V85" s="326" t="n">
        <v>0.1688595316955771</v>
      </c>
      <c r="W85" s="326" t="n">
        <v>1.091394673806804</v>
      </c>
      <c r="X85" s="326" t="n">
        <v>0.1708330289491299</v>
      </c>
      <c r="Y85" s="326" t="n">
        <v>0.5028221824949728</v>
      </c>
      <c r="Z85" s="326" t="n">
        <v>0.5028221824949728</v>
      </c>
    </row>
    <row r="86">
      <c r="A86" t="inlineStr">
        <is>
          <t>Steel</t>
        </is>
      </c>
      <c r="B86" t="n">
        <v>37</v>
      </c>
      <c r="C86" s="326" t="n">
        <v>-0.0438147619047619</v>
      </c>
      <c r="D86" s="326" t="n">
        <v>0.07289772864723129</v>
      </c>
      <c r="E86" s="326" t="n">
        <v>0.1566586980776945</v>
      </c>
      <c r="F86" s="326" t="n">
        <v>0.2617633908611285</v>
      </c>
      <c r="G86" s="380" t="n">
        <v>1.532692728192306</v>
      </c>
      <c r="H86" s="380" t="n">
        <v>1.816675096774194</v>
      </c>
      <c r="I86" s="326" t="n">
        <v>0.116387094916129</v>
      </c>
      <c r="J86" s="326" t="n">
        <v>0.7039900033733436</v>
      </c>
      <c r="K86" s="326" t="n">
        <v>0.0466</v>
      </c>
      <c r="L86" s="326" t="n">
        <v>0.2659345422066269</v>
      </c>
      <c r="M86" s="326" t="n">
        <v>0.09485408385763892</v>
      </c>
      <c r="N86" s="380" t="n">
        <v>2.312063603370339</v>
      </c>
      <c r="O86" s="380" t="n">
        <v>0.9593604589041278</v>
      </c>
      <c r="P86" s="380" t="n">
        <v>8.435301580108629</v>
      </c>
      <c r="Q86" s="380" t="n">
        <v>12.93371588744206</v>
      </c>
      <c r="R86" s="380" t="n">
        <v>2.256087635734093</v>
      </c>
      <c r="S86" s="380" t="n">
        <v>32.30475509655928</v>
      </c>
      <c r="T86" s="326" t="n">
        <v>0.2104742246921011</v>
      </c>
      <c r="U86" s="326" t="n">
        <v>0.0286208391333372</v>
      </c>
      <c r="V86" s="326" t="n">
        <v>0.01738637313017589</v>
      </c>
      <c r="W86" s="326" t="n">
        <v>0.637208243614393</v>
      </c>
      <c r="X86" s="326" t="n">
        <v>0.1223204599871633</v>
      </c>
      <c r="Y86" s="326" t="n">
        <v>0.3426005625827924</v>
      </c>
      <c r="Z86" s="326" t="n">
        <v>0.3426005625827924</v>
      </c>
    </row>
    <row r="87">
      <c r="A87" t="inlineStr">
        <is>
          <t>Telecom (Wireless)</t>
        </is>
      </c>
      <c r="B87" t="n">
        <v>18</v>
      </c>
      <c r="C87" s="326" t="n">
        <v>0.008128571428571435</v>
      </c>
      <c r="D87" s="326" t="n">
        <v>0.08779917045622219</v>
      </c>
      <c r="E87" s="326" t="n">
        <v>0.05434435492284262</v>
      </c>
      <c r="F87" s="326" t="n">
        <v>0.4777774217323037</v>
      </c>
      <c r="G87" s="380" t="n">
        <v>0.7083690032204383</v>
      </c>
      <c r="H87" s="380" t="n">
        <v>1.301757538461539</v>
      </c>
      <c r="I87" s="326" t="n">
        <v>0.09022928295384615</v>
      </c>
      <c r="J87" s="326" t="n">
        <v>0.5446150860649772</v>
      </c>
      <c r="K87" s="326" t="n">
        <v>0.0391</v>
      </c>
      <c r="L87" s="326" t="n">
        <v>0.5454009149948386</v>
      </c>
      <c r="M87" s="326" t="n">
        <v>0.05722528306147689</v>
      </c>
      <c r="N87" s="380" t="n">
        <v>0.6723670664813086</v>
      </c>
      <c r="O87" s="380" t="n">
        <v>2.154966642661781</v>
      </c>
      <c r="P87" s="380" t="n">
        <v>6.238335489881847</v>
      </c>
      <c r="Q87" s="380" t="n">
        <v>24.55784878225535</v>
      </c>
      <c r="R87" s="380" t="n">
        <v>1.792715783234865</v>
      </c>
      <c r="S87" s="380" t="n">
        <v>118.3278444612644</v>
      </c>
      <c r="T87" s="326" t="n">
        <v>0.03077186005483626</v>
      </c>
      <c r="U87" s="326" t="n">
        <v>0.138629544427215</v>
      </c>
      <c r="V87" s="326" t="n">
        <v>-0.05147216721854895</v>
      </c>
      <c r="W87" s="326" t="n">
        <v>0.5002457439891942</v>
      </c>
      <c r="X87" s="326" t="n">
        <v>0.01868132348728535</v>
      </c>
      <c r="Y87" s="326" t="n">
        <v>0.1106588943123691</v>
      </c>
      <c r="Z87" s="326" t="n">
        <v>0.1106588943123691</v>
      </c>
    </row>
    <row r="88">
      <c r="A88" t="inlineStr">
        <is>
          <t>Telecom. Equipment</t>
        </is>
      </c>
      <c r="B88" t="n">
        <v>104</v>
      </c>
      <c r="C88" s="326" t="n">
        <v>0.04361349999999999</v>
      </c>
      <c r="D88" s="326" t="n">
        <v>0.1850768726131248</v>
      </c>
      <c r="E88" s="326" t="n">
        <v>0.135873101682357</v>
      </c>
      <c r="F88" s="326" t="n">
        <v>0.215722014896423</v>
      </c>
      <c r="G88" s="380" t="n">
        <v>0.9589859846391308</v>
      </c>
      <c r="H88" s="380" t="n">
        <v>1.034477446808511</v>
      </c>
      <c r="I88" s="326" t="n">
        <v>0.07665145429787235</v>
      </c>
      <c r="J88" s="326" t="n">
        <v>0.5786707538093109</v>
      </c>
      <c r="K88" s="326" t="n">
        <v>0.0391</v>
      </c>
      <c r="L88" s="326" t="n">
        <v>0.1717100813701347</v>
      </c>
      <c r="M88" s="326" t="n">
        <v>0.06859216362124045</v>
      </c>
      <c r="N88" s="380" t="n">
        <v>0.7984968934942667</v>
      </c>
      <c r="O88" s="380" t="n">
        <v>3.475926178085971</v>
      </c>
      <c r="P88" s="380" t="n">
        <v>13.57711258112041</v>
      </c>
      <c r="Q88" s="380" t="n">
        <v>18.11576168642625</v>
      </c>
      <c r="R88" s="380" t="n">
        <v>3.219036143742108</v>
      </c>
      <c r="S88" s="380" t="n">
        <v>56.52526796244314</v>
      </c>
      <c r="T88" s="326" t="n">
        <v>0.1749738052328108</v>
      </c>
      <c r="U88" s="326" t="n">
        <v>0.03475376293774643</v>
      </c>
      <c r="V88" s="326" t="n">
        <v>0.05674188622269969</v>
      </c>
      <c r="W88" s="326" t="n">
        <v>0.4410981858003074</v>
      </c>
      <c r="X88" s="326" t="n">
        <v>0.1531051865117916</v>
      </c>
      <c r="Y88" s="326" t="n">
        <v>0.4390415523018592</v>
      </c>
      <c r="Z88" s="326" t="n">
        <v>0.4390415523018592</v>
      </c>
    </row>
    <row r="89">
      <c r="A89" t="inlineStr">
        <is>
          <t>Telecom. Services</t>
        </is>
      </c>
      <c r="B89" t="n">
        <v>66</v>
      </c>
      <c r="C89" s="326" t="n">
        <v>0.06321689655172413</v>
      </c>
      <c r="D89" s="326" t="n">
        <v>0.1757720277352506</v>
      </c>
      <c r="E89" s="326" t="n">
        <v>0.1596796783444804</v>
      </c>
      <c r="F89" s="326" t="n">
        <v>0.3319995659367806</v>
      </c>
      <c r="G89" s="380" t="n">
        <v>0.7193094848884251</v>
      </c>
      <c r="H89" s="380" t="n">
        <v>1.083345379310345</v>
      </c>
      <c r="I89" s="326" t="n">
        <v>0.07913394526896551</v>
      </c>
      <c r="J89" s="326" t="n">
        <v>0.5256684227958321</v>
      </c>
      <c r="K89" s="326" t="n">
        <v>0.0391</v>
      </c>
      <c r="L89" s="326" t="n">
        <v>0.4429960188634076</v>
      </c>
      <c r="M89" s="326" t="n">
        <v>0.05724199225440402</v>
      </c>
      <c r="N89" s="380" t="n">
        <v>0.987930043679494</v>
      </c>
      <c r="O89" s="380" t="n">
        <v>2.568112049829891</v>
      </c>
      <c r="P89" s="380" t="n">
        <v>7.322808590393741</v>
      </c>
      <c r="Q89" s="380" t="n">
        <v>14.57533134983573</v>
      </c>
      <c r="R89" s="380" t="n">
        <v>2.818738269318721</v>
      </c>
      <c r="S89" s="380" t="n">
        <v>45.54850875191452</v>
      </c>
      <c r="T89" s="326" t="n">
        <v>-0.02890380588398782</v>
      </c>
      <c r="U89" s="326" t="n">
        <v>0.1453842658500906</v>
      </c>
      <c r="V89" s="326" t="n">
        <v>0.02440764266531701</v>
      </c>
      <c r="W89" s="326" t="n">
        <v>0.3861682931580959</v>
      </c>
      <c r="X89" s="326" t="n">
        <v>0.1633690530682252</v>
      </c>
      <c r="Y89" s="326" t="n">
        <v>0.8441189462832506</v>
      </c>
      <c r="Z89" s="326" t="n">
        <v>0.8441189462832506</v>
      </c>
    </row>
    <row r="90">
      <c r="A90" t="inlineStr">
        <is>
          <t>Tobacco</t>
        </is>
      </c>
      <c r="B90" t="n">
        <v>24</v>
      </c>
      <c r="C90" s="326" t="n">
        <v>0.8531500000000001</v>
      </c>
      <c r="D90" s="326" t="n">
        <v>0.4061777281813251</v>
      </c>
      <c r="E90" s="326" t="n">
        <v>0.9559418995472633</v>
      </c>
      <c r="F90" s="326" t="n">
        <v>0.3147264301030643</v>
      </c>
      <c r="G90" s="380" t="n">
        <v>1.151843768927</v>
      </c>
      <c r="H90" s="380" t="n">
        <v>1.26220252631579</v>
      </c>
      <c r="I90" s="326" t="n">
        <v>0.08821988833684211</v>
      </c>
      <c r="J90" s="326" t="n">
        <v>0.4515824731345124</v>
      </c>
      <c r="K90" s="326" t="n">
        <v>0.0391</v>
      </c>
      <c r="L90" s="326" t="n">
        <v>0.1462944809407876</v>
      </c>
      <c r="M90" s="326" t="n">
        <v>0.07966109235958599</v>
      </c>
      <c r="N90" s="380" t="n">
        <v>2.483938045762547</v>
      </c>
      <c r="O90" s="380" t="n">
        <v>6.630705867131364</v>
      </c>
      <c r="P90" s="380" t="n">
        <v>15.30854714374938</v>
      </c>
      <c r="Q90" s="380" t="n">
        <v>16.28646180718004</v>
      </c>
      <c r="R90" s="380" t="n">
        <v>78.2543022312845</v>
      </c>
      <c r="S90" s="380" t="n">
        <v>26.30501621932611</v>
      </c>
      <c r="T90" s="326" t="n">
        <v>0.1805044905751324</v>
      </c>
      <c r="U90" s="326" t="n">
        <v>0.03288330808742865</v>
      </c>
      <c r="V90" s="326" t="n">
        <v>-0.06423213730919489</v>
      </c>
      <c r="W90" s="326" t="n">
        <v>-0.1729300638877957</v>
      </c>
      <c r="X90" s="326" t="n">
        <v>-2.821214701863442</v>
      </c>
      <c r="Y90" s="326" t="n">
        <v>0.50439602521281</v>
      </c>
      <c r="Z90" s="326" t="n">
        <v>0.50439602521281</v>
      </c>
    </row>
    <row r="91">
      <c r="A91" t="inlineStr">
        <is>
          <t>Transportation</t>
        </is>
      </c>
      <c r="B91" t="n">
        <v>18</v>
      </c>
      <c r="C91" s="326" t="n">
        <v>0.1912384615384615</v>
      </c>
      <c r="D91" s="326" t="n">
        <v>0.07716513105481006</v>
      </c>
      <c r="E91" s="326" t="n">
        <v>0.1760558795407654</v>
      </c>
      <c r="F91" s="326" t="n">
        <v>0.3329084579706766</v>
      </c>
      <c r="G91" s="380" t="n">
        <v>0.7966486420061794</v>
      </c>
      <c r="H91" s="380" t="n">
        <v>0.9490325000000002</v>
      </c>
      <c r="I91" s="326" t="n">
        <v>0.07231085100000001</v>
      </c>
      <c r="J91" s="326" t="n">
        <v>0.463643712862958</v>
      </c>
      <c r="K91" s="326" t="n">
        <v>0.0391</v>
      </c>
      <c r="L91" s="326" t="n">
        <v>0.2309103138190548</v>
      </c>
      <c r="M91" s="326" t="n">
        <v>0.06247526058851412</v>
      </c>
      <c r="N91" s="380" t="n">
        <v>2.921914491643326</v>
      </c>
      <c r="O91" s="380" t="n">
        <v>1.543939881758823</v>
      </c>
      <c r="P91" s="380" t="n">
        <v>11.21939480724288</v>
      </c>
      <c r="Q91" s="380" t="n">
        <v>20.0109039501513</v>
      </c>
      <c r="R91" s="380" t="n">
        <v>7.258752840228226</v>
      </c>
      <c r="S91" s="380" t="n">
        <v>31.81153886626151</v>
      </c>
      <c r="T91" s="326" t="n">
        <v>0.08464295495065398</v>
      </c>
      <c r="U91" s="326" t="n">
        <v>0.06669355555000429</v>
      </c>
      <c r="V91" s="326" t="n">
        <v>0.03462721252140701</v>
      </c>
      <c r="W91" s="326" t="n">
        <v>0.9244494173121576</v>
      </c>
      <c r="X91" s="326" t="n">
        <v>0.2897077793334609</v>
      </c>
      <c r="Y91" s="326" t="n">
        <v>0.4733876689479568</v>
      </c>
      <c r="Z91" s="326" t="n">
        <v>0.4733876689479568</v>
      </c>
    </row>
    <row r="92">
      <c r="A92" t="inlineStr">
        <is>
          <t>Transportation (Railroads)</t>
        </is>
      </c>
      <c r="B92" t="n">
        <v>8</v>
      </c>
      <c r="C92" s="326" t="n">
        <v>0.04255200000000001</v>
      </c>
      <c r="D92" s="326" t="n">
        <v>0.3432688676421821</v>
      </c>
      <c r="E92" s="326" t="n">
        <v>0.1355333979602575</v>
      </c>
      <c r="F92" s="326" t="n">
        <v>0.3752545038403752</v>
      </c>
      <c r="G92" s="380" t="n">
        <v>0.8688372768655014</v>
      </c>
      <c r="H92" s="380" t="n">
        <v>1.005443428571429</v>
      </c>
      <c r="I92" s="326" t="n">
        <v>0.07517652617142857</v>
      </c>
      <c r="J92" s="326" t="n">
        <v>0.2977067038532512</v>
      </c>
      <c r="K92" s="326" t="n">
        <v>0.0361</v>
      </c>
      <c r="L92" s="326" t="n">
        <v>0.1847593461440783</v>
      </c>
      <c r="M92" s="326" t="n">
        <v>0.06635601777142118</v>
      </c>
      <c r="N92" s="380" t="n">
        <v>0.5182930587634313</v>
      </c>
      <c r="O92" s="380" t="n">
        <v>5.395796510179221</v>
      </c>
      <c r="P92" s="380" t="n">
        <v>11.5590326099322</v>
      </c>
      <c r="Q92" s="380" t="n">
        <v>15.71656042414756</v>
      </c>
      <c r="R92" s="380" t="n">
        <v>4.188934456421229</v>
      </c>
      <c r="S92" s="380" t="n">
        <v>26.09711493418661</v>
      </c>
      <c r="T92" s="326" t="n">
        <v>0.0282685473754147</v>
      </c>
      <c r="U92" s="326" t="n">
        <v>0.1745357545256137</v>
      </c>
      <c r="V92" s="326" t="n">
        <v>0.09151118126428362</v>
      </c>
      <c r="W92" s="326" t="n">
        <v>0.4280068011689342</v>
      </c>
      <c r="X92" s="326" t="n">
        <v>0.1740503118788128</v>
      </c>
      <c r="Y92" s="326" t="n">
        <v>0.3815119828698803</v>
      </c>
      <c r="Z92" s="326" t="n">
        <v>0.3815119828698803</v>
      </c>
    </row>
    <row r="93">
      <c r="A93" t="inlineStr">
        <is>
          <t>Trucking</t>
        </is>
      </c>
      <c r="B93" t="n">
        <v>30</v>
      </c>
      <c r="C93" s="326" t="n">
        <v>0.03480049999999999</v>
      </c>
      <c r="D93" s="326" t="n">
        <v>0.0765600327765182</v>
      </c>
      <c r="E93" s="326" t="n">
        <v>0.0706972616838973</v>
      </c>
      <c r="F93" s="326" t="n">
        <v>0.3595517184540599</v>
      </c>
      <c r="G93" s="380" t="n">
        <v>0.8069462322392807</v>
      </c>
      <c r="H93" s="380" t="n">
        <v>1.19801632</v>
      </c>
      <c r="I93" s="326" t="n">
        <v>0.08495922905599999</v>
      </c>
      <c r="J93" s="326" t="n">
        <v>0.5424718891448989</v>
      </c>
      <c r="K93" s="326" t="n">
        <v>0.0391</v>
      </c>
      <c r="L93" s="326" t="n">
        <v>0.411061025967362</v>
      </c>
      <c r="M93" s="326" t="n">
        <v>0.06225089064249065</v>
      </c>
      <c r="N93" s="380" t="n">
        <v>1.162156431069861</v>
      </c>
      <c r="O93" s="380" t="n">
        <v>1.78814212875754</v>
      </c>
      <c r="P93" s="380" t="n">
        <v>11.45602220811743</v>
      </c>
      <c r="Q93" s="380" t="n">
        <v>23.30743998941814</v>
      </c>
      <c r="R93" s="380" t="n">
        <v>3.32853159114708</v>
      </c>
      <c r="S93" s="380" t="n">
        <v>41.4550960124238</v>
      </c>
      <c r="T93" s="326" t="n">
        <v>0.07640446243245122</v>
      </c>
      <c r="U93" s="326" t="n">
        <v>0.1735350740100262</v>
      </c>
      <c r="V93" s="326" t="n">
        <v>0.1116513333742472</v>
      </c>
      <c r="W93" s="326" t="n">
        <v>2.310179564202738</v>
      </c>
      <c r="X93" s="326" t="n">
        <v>0.0787261851299469</v>
      </c>
      <c r="Y93" s="326" t="n">
        <v>0.2745882039341125</v>
      </c>
      <c r="Z93" s="326" t="n">
        <v>0.2745882039341125</v>
      </c>
    </row>
    <row r="94">
      <c r="A94" t="inlineStr">
        <is>
          <t>Utility (General)</t>
        </is>
      </c>
      <c r="B94" t="n">
        <v>18</v>
      </c>
      <c r="C94" s="326" t="n">
        <v>0.02456444444444444</v>
      </c>
      <c r="D94" s="326" t="n">
        <v>0.1938941193270872</v>
      </c>
      <c r="E94" s="326" t="n">
        <v>0.06213101115153529</v>
      </c>
      <c r="F94" s="326" t="n">
        <v>0.3112102146558106</v>
      </c>
      <c r="G94" s="380" t="n">
        <v>0.1952882634910309</v>
      </c>
      <c r="H94" s="380" t="n">
        <v>0.2933671111111111</v>
      </c>
      <c r="I94" s="326" t="n">
        <v>0.03900304924444445</v>
      </c>
      <c r="J94" s="326" t="n">
        <v>0.206669308463897</v>
      </c>
      <c r="K94" s="326" t="n">
        <v>0.0311</v>
      </c>
      <c r="L94" s="326" t="n">
        <v>0.4020514076968947</v>
      </c>
      <c r="M94" s="326" t="n">
        <v>0.03282470546356805</v>
      </c>
      <c r="N94" s="380" t="n">
        <v>0.463651849872304</v>
      </c>
      <c r="O94" s="380" t="n">
        <v>3.728690826740765</v>
      </c>
      <c r="P94" s="380" t="n">
        <v>11.81281563962667</v>
      </c>
      <c r="Q94" s="380" t="n">
        <v>19.23089466590148</v>
      </c>
      <c r="R94" s="380" t="n">
        <v>2.152155103694748</v>
      </c>
      <c r="S94" s="380" t="n">
        <v>23.99863472225833</v>
      </c>
      <c r="T94" s="326" t="n">
        <v>0.05091759241553612</v>
      </c>
      <c r="U94" s="326" t="n">
        <v>0.2937569382494715</v>
      </c>
      <c r="V94" s="326" t="n">
        <v>0.1976273025470459</v>
      </c>
      <c r="W94" s="326" t="n">
        <v>1.490676532652106</v>
      </c>
      <c r="X94" s="326" t="n">
        <v>0.09947203722437237</v>
      </c>
      <c r="Y94" s="326" t="n">
        <v>0.7633358590469232</v>
      </c>
      <c r="Z94" s="326" t="n">
        <v>0.7633358590469232</v>
      </c>
    </row>
    <row r="95">
      <c r="A95" t="inlineStr">
        <is>
          <t>Utility (Water)</t>
        </is>
      </c>
      <c r="B95" t="n">
        <v>23</v>
      </c>
      <c r="C95" s="326" t="n">
        <v>0.03774866666666667</v>
      </c>
      <c r="D95" s="326" t="n">
        <v>0.2827457404070581</v>
      </c>
      <c r="E95" s="326" t="n">
        <v>0.08856327274239126</v>
      </c>
      <c r="F95" s="326" t="n">
        <v>0.3285853885829295</v>
      </c>
      <c r="G95" s="380" t="n">
        <v>0.2674284591933414</v>
      </c>
      <c r="H95" s="380" t="n">
        <v>0.342384</v>
      </c>
      <c r="I95" s="326" t="n">
        <v>0.0414931072</v>
      </c>
      <c r="J95" s="326" t="n">
        <v>0.3449600048707206</v>
      </c>
      <c r="K95" s="326" t="n">
        <v>0.0361</v>
      </c>
      <c r="L95" s="326" t="n">
        <v>0.2760936825164886</v>
      </c>
      <c r="M95" s="326" t="n">
        <v>0.03761202870762296</v>
      </c>
      <c r="N95" s="380" t="n">
        <v>0.3689691179631417</v>
      </c>
      <c r="O95" s="380" t="n">
        <v>6.475668614922484</v>
      </c>
      <c r="P95" s="380" t="n">
        <v>15.21262877319234</v>
      </c>
      <c r="Q95" s="380" t="n">
        <v>22.56348244188294</v>
      </c>
      <c r="R95" s="380" t="n">
        <v>3.325860488103986</v>
      </c>
      <c r="S95" s="380" t="n">
        <v>137.5822128048874</v>
      </c>
      <c r="T95" s="326" t="n">
        <v>0.09888670312335908</v>
      </c>
      <c r="U95" s="326" t="n">
        <v>0.3465006609625042</v>
      </c>
      <c r="V95" s="326" t="n">
        <v>0.2606832598389222</v>
      </c>
      <c r="W95" s="326" t="n">
        <v>1.572143634131869</v>
      </c>
      <c r="X95" s="326" t="n">
        <v>0.1362785962692503</v>
      </c>
      <c r="Y95" s="326" t="n">
        <v>0.5823353918486134</v>
      </c>
      <c r="Z95" s="326" t="n">
        <v>0.4294263052514475</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Z95"/>
  <sheetViews>
    <sheetView topLeftCell="A2" workbookViewId="0">
      <selection activeCell="T95" sqref="A1:IV95"/>
    </sheetView>
  </sheetViews>
  <sheetFormatPr baseColWidth="10" defaultColWidth="11.5" defaultRowHeight="12"/>
  <cols>
    <col width="27" customWidth="1" style="321" min="1" max="1"/>
    <col width="10.83203125" customWidth="1" style="180" min="2" max="3"/>
    <col width="15.5" customWidth="1" style="180" min="4" max="4"/>
    <col width="10.83203125" customWidth="1" style="180" min="5" max="23"/>
  </cols>
  <sheetData>
    <row r="1" ht="65" customFormat="1" customHeight="1" s="241">
      <c r="A1" s="385" t="inlineStr">
        <is>
          <t>Industry Name</t>
        </is>
      </c>
      <c r="B1" s="241" t="inlineStr">
        <is>
          <t>Number of firms</t>
        </is>
      </c>
      <c r="C1" s="242" t="inlineStr">
        <is>
          <t>Annual Average Revenue growth - Last 5 years</t>
        </is>
      </c>
      <c r="D1" s="241" t="inlineStr">
        <is>
          <t>Pre-tax Operating Margin (Lease &amp; R&amp;D adjusted)</t>
        </is>
      </c>
      <c r="E1" s="242" t="inlineStr">
        <is>
          <t>After-tax ROC</t>
        </is>
      </c>
      <c r="F1" s="241" t="inlineStr">
        <is>
          <t>Average effective tax rate</t>
        </is>
      </c>
      <c r="G1" s="241" t="inlineStr">
        <is>
          <t>Unlevered Beta</t>
        </is>
      </c>
      <c r="H1" s="241" t="inlineStr">
        <is>
          <t>Equity (Levered) Beta</t>
        </is>
      </c>
      <c r="I1" s="241" t="inlineStr">
        <is>
          <t>Cost of equity</t>
        </is>
      </c>
      <c r="J1" s="241" t="inlineStr">
        <is>
          <t>Std deviation in stock prices</t>
        </is>
      </c>
      <c r="K1" s="241" t="inlineStr">
        <is>
          <t>Pre-tax cost of debt</t>
        </is>
      </c>
      <c r="L1" s="241" t="inlineStr">
        <is>
          <t>Market Debt/Capital</t>
        </is>
      </c>
      <c r="M1" s="241" t="inlineStr">
        <is>
          <t>Cost of capital</t>
        </is>
      </c>
      <c r="N1" s="243" t="inlineStr">
        <is>
          <t>Sales/Capital</t>
        </is>
      </c>
      <c r="O1" s="241" t="inlineStr">
        <is>
          <t>EV/Sales</t>
        </is>
      </c>
      <c r="P1" s="241" t="inlineStr">
        <is>
          <t>EV/EBITDA</t>
        </is>
      </c>
      <c r="Q1" s="241" t="inlineStr">
        <is>
          <t>EV/EBIT</t>
        </is>
      </c>
      <c r="R1" s="241" t="inlineStr">
        <is>
          <t>Price/Book</t>
        </is>
      </c>
      <c r="S1" s="241" t="inlineStr">
        <is>
          <t>Trailing PE</t>
        </is>
      </c>
      <c r="T1" s="241" t="inlineStr">
        <is>
          <t>Non-cash WC as % of Revenues</t>
        </is>
      </c>
      <c r="U1" s="241" t="inlineStr">
        <is>
          <t>Cap Ex as % of Revenues</t>
        </is>
      </c>
      <c r="V1" s="241" t="inlineStr">
        <is>
          <t>Net Cap Ex as % of Revenues</t>
        </is>
      </c>
      <c r="W1" s="241" t="inlineStr">
        <is>
          <t>Reinvestment Rate</t>
        </is>
      </c>
      <c r="X1" s="385" t="inlineStr">
        <is>
          <t>ROE</t>
        </is>
      </c>
      <c r="Y1" s="385" t="inlineStr">
        <is>
          <t>Dividend Payout Ratio</t>
        </is>
      </c>
      <c r="Z1" s="385" t="inlineStr">
        <is>
          <t>Equity Reinvestment Rate</t>
        </is>
      </c>
    </row>
    <row r="2" ht="13" customFormat="1" customHeight="1" s="322">
      <c r="A2" s="386" t="inlineStr">
        <is>
          <t>Advertising</t>
        </is>
      </c>
      <c r="B2" s="387" t="n">
        <v>258</v>
      </c>
      <c r="C2" s="388" t="n">
        <v>0.068148</v>
      </c>
      <c r="D2" s="388" t="n">
        <v>0.1055283776025784</v>
      </c>
      <c r="E2" s="388" t="n">
        <v>0.3590641946414886</v>
      </c>
      <c r="F2" s="388" t="n">
        <v>0.2661980547797972</v>
      </c>
      <c r="G2" s="389" t="n">
        <v>0.9691559400269897</v>
      </c>
      <c r="H2" s="389" t="n">
        <v>1.150971005</v>
      </c>
      <c r="I2" s="388" t="n">
        <v>0.09546020230999999</v>
      </c>
      <c r="J2" s="388" t="n">
        <v>0.457404459</v>
      </c>
      <c r="K2" s="388" t="n">
        <v>0.0491</v>
      </c>
      <c r="L2" s="388" t="n">
        <v>0.2788940719418236</v>
      </c>
      <c r="M2" s="388" t="n">
        <v>0.07915785866468115</v>
      </c>
      <c r="N2" s="389" t="n">
        <v>4.156360937790457</v>
      </c>
      <c r="O2" s="389" t="n">
        <v>1.568261828101052</v>
      </c>
      <c r="P2" s="389" t="n">
        <v>9.481669873310564</v>
      </c>
      <c r="Q2" s="389" t="n">
        <v>14.68873838351931</v>
      </c>
      <c r="R2" s="389" t="n">
        <v>2.490799655895357</v>
      </c>
      <c r="S2" s="389" t="n">
        <v>57.77850674</v>
      </c>
      <c r="T2" s="388" t="n">
        <v>-0.03557683706475142</v>
      </c>
      <c r="U2" s="388" t="n">
        <v>0.01984536305508332</v>
      </c>
      <c r="V2" s="388" t="n">
        <v>0.01713614298184506</v>
      </c>
      <c r="W2" s="388" t="n">
        <v>0.3497763988672787</v>
      </c>
      <c r="X2" s="388" t="n">
        <v>0.1261837294967286</v>
      </c>
      <c r="Y2" s="388" t="n">
        <v>0.5453580216322793</v>
      </c>
      <c r="Z2" s="388" t="n">
        <v>0.5453580216322793</v>
      </c>
    </row>
    <row r="3" ht="13" customFormat="1" customHeight="1" s="322">
      <c r="A3" s="386" t="inlineStr">
        <is>
          <t>Aerospace/Defense</t>
        </is>
      </c>
      <c r="B3" s="387" t="n">
        <v>229</v>
      </c>
      <c r="C3" s="388" t="n">
        <v>0.07925110345</v>
      </c>
      <c r="D3" s="388" t="n">
        <v>0.08750545516452297</v>
      </c>
      <c r="E3" s="388" t="n">
        <v>0.2043645504329608</v>
      </c>
      <c r="F3" s="388" t="n">
        <v>0.2741209407233005</v>
      </c>
      <c r="G3" s="389" t="n">
        <v>1.054591715623907</v>
      </c>
      <c r="H3" s="389" t="n">
        <v>1.141562642</v>
      </c>
      <c r="I3" s="388" t="n">
        <v>0.094876883804</v>
      </c>
      <c r="J3" s="388" t="n">
        <v>0.422912171</v>
      </c>
      <c r="K3" s="388" t="n">
        <v>0.0491</v>
      </c>
      <c r="L3" s="388" t="n">
        <v>0.1723824128002985</v>
      </c>
      <c r="M3" s="388" t="n">
        <v>0.08490107671919733</v>
      </c>
      <c r="N3" s="389" t="n">
        <v>2.661077751482125</v>
      </c>
      <c r="O3" s="389" t="n">
        <v>1.813088904946649</v>
      </c>
      <c r="P3" s="389" t="n">
        <v>14.50550559154191</v>
      </c>
      <c r="Q3" s="389" t="n">
        <v>20.22459704575705</v>
      </c>
      <c r="R3" s="389" t="n">
        <v>5.008310899678333</v>
      </c>
      <c r="S3" s="389" t="n">
        <v>44.54813001</v>
      </c>
      <c r="T3" s="388" t="n">
        <v>0.2572966506821319</v>
      </c>
      <c r="U3" s="388" t="n">
        <v>0.0333465483475504</v>
      </c>
      <c r="V3" s="388" t="n">
        <v>0.01726888287015845</v>
      </c>
      <c r="W3" s="388" t="n">
        <v>0.6003403415232277</v>
      </c>
      <c r="X3" s="388" t="n">
        <v>0.2195256209056714</v>
      </c>
      <c r="Y3" s="388" t="n">
        <v>0.4228494369492534</v>
      </c>
      <c r="Z3" s="388" t="n">
        <v>0.4228494369492534</v>
      </c>
    </row>
    <row r="4" ht="13" customFormat="1" customHeight="1" s="322">
      <c r="A4" s="386" t="inlineStr">
        <is>
          <t>Air Transport</t>
        </is>
      </c>
      <c r="B4" s="387" t="n">
        <v>155</v>
      </c>
      <c r="C4" s="388" t="n">
        <v>0.06846444444000001</v>
      </c>
      <c r="D4" s="388" t="n">
        <v>0.09909523884525054</v>
      </c>
      <c r="E4" s="388" t="n">
        <v>0.08868670912456204</v>
      </c>
      <c r="F4" s="388" t="n">
        <v>0.2608034358366725</v>
      </c>
      <c r="G4" s="389" t="n">
        <v>0.6360780259958494</v>
      </c>
      <c r="H4" s="389" t="n">
        <v>0.925157557</v>
      </c>
      <c r="I4" s="388" t="n">
        <v>0.081459768534</v>
      </c>
      <c r="J4" s="388" t="n">
        <v>0.326859842</v>
      </c>
      <c r="K4" s="388" t="n">
        <v>0.0461</v>
      </c>
      <c r="L4" s="388" t="n">
        <v>0.4226658800591725</v>
      </c>
      <c r="M4" s="388" t="n">
        <v>0.06171527069936798</v>
      </c>
      <c r="N4" s="389" t="n">
        <v>1.075932995126566</v>
      </c>
      <c r="O4" s="389" t="n">
        <v>1.689798913928304</v>
      </c>
      <c r="P4" s="389" t="n">
        <v>7.557861377332534</v>
      </c>
      <c r="Q4" s="389" t="n">
        <v>16.94762625986085</v>
      </c>
      <c r="R4" s="389" t="n">
        <v>2.433698291625836</v>
      </c>
      <c r="S4" s="389" t="n">
        <v>37.3072957</v>
      </c>
      <c r="T4" s="388" t="n">
        <v>-0.02681597693233321</v>
      </c>
      <c r="U4" s="388" t="n">
        <v>0.1226137956372108</v>
      </c>
      <c r="V4" s="388" t="n">
        <v>0.06625514129973811</v>
      </c>
      <c r="W4" s="388" t="n">
        <v>0.9253884170242804</v>
      </c>
      <c r="X4" s="388" t="n">
        <v>0.1724544162011566</v>
      </c>
      <c r="Y4" s="388" t="n">
        <v>0.3246579923338112</v>
      </c>
      <c r="Z4" s="388" t="n">
        <v>0.3246579923338111</v>
      </c>
    </row>
    <row r="5" ht="13" customFormat="1" customHeight="1" s="322">
      <c r="A5" s="386" t="inlineStr">
        <is>
          <t>Apparel</t>
        </is>
      </c>
      <c r="B5" s="387" t="n">
        <v>1160</v>
      </c>
      <c r="C5" s="388" t="n">
        <v>0.02688047619</v>
      </c>
      <c r="D5" s="388" t="n">
        <v>0.1107846179986601</v>
      </c>
      <c r="E5" s="388" t="n">
        <v>0.14032784805857</v>
      </c>
      <c r="F5" s="388" t="n">
        <v>0.2585432049994951</v>
      </c>
      <c r="G5" s="389" t="n">
        <v>0.8259888043976357</v>
      </c>
      <c r="H5" s="389" t="n">
        <v>0.900268687</v>
      </c>
      <c r="I5" s="388" t="n">
        <v>0.079916658594</v>
      </c>
      <c r="J5" s="388" t="n">
        <v>0.370644854</v>
      </c>
      <c r="K5" s="388" t="n">
        <v>0.0461</v>
      </c>
      <c r="L5" s="388" t="n">
        <v>0.1794238428111491</v>
      </c>
      <c r="M5" s="388" t="n">
        <v>0.07181188829450166</v>
      </c>
      <c r="N5" s="389" t="n">
        <v>1.512618124492453</v>
      </c>
      <c r="O5" s="389" t="n">
        <v>2.043668253912222</v>
      </c>
      <c r="P5" s="389" t="n">
        <v>12.02368307830482</v>
      </c>
      <c r="Q5" s="389" t="n">
        <v>18.10118723331822</v>
      </c>
      <c r="R5" s="389" t="n">
        <v>2.991880529507218</v>
      </c>
      <c r="S5" s="389" t="n">
        <v>66.70289567</v>
      </c>
      <c r="T5" s="388" t="n">
        <v>0.2298201468580114</v>
      </c>
      <c r="U5" s="388" t="n">
        <v>0.03973960046632923</v>
      </c>
      <c r="V5" s="388" t="n">
        <v>0.02538109025466391</v>
      </c>
      <c r="W5" s="388" t="n">
        <v>0.3970412101985509</v>
      </c>
      <c r="X5" s="388" t="n">
        <v>0.1154974298356151</v>
      </c>
      <c r="Y5" s="388" t="n">
        <v>0.5025235175775763</v>
      </c>
      <c r="Z5" s="388" t="n">
        <v>0.5025235175775763</v>
      </c>
    </row>
    <row r="6" ht="13" customFormat="1" customHeight="1" s="322">
      <c r="A6" s="386" t="inlineStr">
        <is>
          <t>Auto &amp; Truck</t>
        </is>
      </c>
      <c r="B6" s="387" t="n">
        <v>133</v>
      </c>
      <c r="C6" s="388" t="n">
        <v>0.05823333333</v>
      </c>
      <c r="D6" s="388" t="n">
        <v>0.06291559939035729</v>
      </c>
      <c r="E6" s="388" t="n">
        <v>0.06510842126605247</v>
      </c>
      <c r="F6" s="388" t="n">
        <v>0.2548344556588267</v>
      </c>
      <c r="G6" s="389" t="n">
        <v>1.030665132730639</v>
      </c>
      <c r="H6" s="389" t="n">
        <v>1.498561479</v>
      </c>
      <c r="I6" s="388" t="n">
        <v>0.117010811698</v>
      </c>
      <c r="J6" s="388" t="n">
        <v>0.308138561</v>
      </c>
      <c r="K6" s="388" t="n">
        <v>0.0461</v>
      </c>
      <c r="L6" s="388" t="n">
        <v>0.4584265140370681</v>
      </c>
      <c r="M6" s="388" t="n">
        <v>0.07929824371996899</v>
      </c>
      <c r="N6" s="389" t="n">
        <v>1.203623348848368</v>
      </c>
      <c r="O6" s="389" t="n">
        <v>0.983246076328894</v>
      </c>
      <c r="P6" s="389" t="n">
        <v>9.367633349525855</v>
      </c>
      <c r="Q6" s="389" t="n">
        <v>16.1615135762741</v>
      </c>
      <c r="R6" s="389" t="n">
        <v>1.385843210436363</v>
      </c>
      <c r="S6" s="389" t="n">
        <v>133.2644732</v>
      </c>
      <c r="T6" s="388" t="n">
        <v>0.0174019237885394</v>
      </c>
      <c r="U6" s="388" t="n">
        <v>0.06997077545039508</v>
      </c>
      <c r="V6" s="388" t="n">
        <v>0.03973479712020046</v>
      </c>
      <c r="W6" s="388" t="n">
        <v>0.9995126532683583</v>
      </c>
      <c r="X6" s="388" t="n">
        <v>0.1254805370834546</v>
      </c>
      <c r="Y6" s="388" t="n">
        <v>0.3392851861694279</v>
      </c>
      <c r="Z6" s="388" t="n">
        <v>0.3392851861694279</v>
      </c>
    </row>
    <row r="7" ht="13" customFormat="1" customHeight="1" s="322">
      <c r="A7" s="386" t="inlineStr">
        <is>
          <t>Auto Parts</t>
        </is>
      </c>
      <c r="B7" s="387" t="n">
        <v>687</v>
      </c>
      <c r="C7" s="388" t="n">
        <v>0.06030930233</v>
      </c>
      <c r="D7" s="388" t="n">
        <v>0.07852888310325656</v>
      </c>
      <c r="E7" s="388" t="n">
        <v>0.1228693383594202</v>
      </c>
      <c r="F7" s="388" t="n">
        <v>0.2351581985163818</v>
      </c>
      <c r="G7" s="389" t="n">
        <v>1.199246318207792</v>
      </c>
      <c r="H7" s="389" t="n">
        <v>1.262370204</v>
      </c>
      <c r="I7" s="388" t="n">
        <v>0.102366952648</v>
      </c>
      <c r="J7" s="388" t="n">
        <v>0.34653859</v>
      </c>
      <c r="K7" s="388" t="n">
        <v>0.0461</v>
      </c>
      <c r="L7" s="388" t="n">
        <v>0.1778820470293794</v>
      </c>
      <c r="M7" s="388" t="n">
        <v>0.09033832267961681</v>
      </c>
      <c r="N7" s="389" t="n">
        <v>1.899277188455749</v>
      </c>
      <c r="O7" s="389" t="n">
        <v>0.9994829697979872</v>
      </c>
      <c r="P7" s="389" t="n">
        <v>8.29082288279767</v>
      </c>
      <c r="Q7" s="389" t="n">
        <v>13.05519005003279</v>
      </c>
      <c r="R7" s="389" t="n">
        <v>1.94365362943947</v>
      </c>
      <c r="S7" s="389" t="n">
        <v>33.36855059</v>
      </c>
      <c r="T7" s="388" t="n">
        <v>0.112447467415268</v>
      </c>
      <c r="U7" s="388" t="n">
        <v>0.05756120346700992</v>
      </c>
      <c r="V7" s="388" t="n">
        <v>0.05024984067206527</v>
      </c>
      <c r="W7" s="388" t="n">
        <v>1.045982876071757</v>
      </c>
      <c r="X7" s="388" t="n">
        <v>0.1370072063453007</v>
      </c>
      <c r="Y7" s="388" t="n">
        <v>0.2486172167714373</v>
      </c>
      <c r="Z7" s="388" t="n">
        <v>0.2486172167714373</v>
      </c>
    </row>
    <row r="8" ht="13" customFormat="1" customHeight="1" s="322">
      <c r="A8" s="386" t="inlineStr">
        <is>
          <t>Bank (Money Center)</t>
        </is>
      </c>
      <c r="B8" s="387" t="n">
        <v>615</v>
      </c>
      <c r="C8" s="388" t="n">
        <v>0.08657977358000001</v>
      </c>
      <c r="D8" s="388" t="n">
        <v>0.0009858896905349374</v>
      </c>
      <c r="E8" s="388" t="n">
        <v>9.529572196844675e-05</v>
      </c>
      <c r="F8" s="388" t="n">
        <v>0.2248869506054192</v>
      </c>
      <c r="G8" s="389" t="n">
        <v>0.49500311089827</v>
      </c>
      <c r="H8" s="389" t="n">
        <v>1.00487834</v>
      </c>
      <c r="I8" s="388" t="n">
        <v>0.08640245708000001</v>
      </c>
      <c r="J8" s="388" t="n">
        <v>0.244974589</v>
      </c>
      <c r="K8" s="388" t="n">
        <v>0.0411</v>
      </c>
      <c r="L8" s="388" t="n">
        <v>0.6973349550404881</v>
      </c>
      <c r="M8" s="388" t="n">
        <v>0.04775239727246655</v>
      </c>
      <c r="N8" s="389" t="n">
        <v>0.1216045905790787</v>
      </c>
      <c r="O8" s="389" t="n">
        <v>8.510354999499649</v>
      </c>
      <c r="P8" s="389" t="inlineStr">
        <is>
          <t>NA</t>
        </is>
      </c>
      <c r="Q8" s="389" t="inlineStr">
        <is>
          <t>NA</t>
        </is>
      </c>
      <c r="R8" s="389" t="n">
        <v>1.079023686903725</v>
      </c>
      <c r="S8" s="389" t="n">
        <v>19.8827885</v>
      </c>
      <c r="T8" s="388" t="inlineStr">
        <is>
          <t>NA</t>
        </is>
      </c>
      <c r="U8" s="388" t="n">
        <v>0.04133650519385026</v>
      </c>
      <c r="V8" s="388" t="n">
        <v>0.02683801227126113</v>
      </c>
      <c r="W8" s="388" t="n">
        <v>34.53143708373684</v>
      </c>
      <c r="X8" s="388" t="n">
        <v>0.1026104673243159</v>
      </c>
      <c r="Y8" s="388" t="n">
        <v>0.3578811473965485</v>
      </c>
      <c r="Z8" s="388" t="n">
        <v>0.3578811473965485</v>
      </c>
    </row>
    <row r="9" ht="13" customFormat="1" customHeight="1" s="322">
      <c r="A9" s="386" t="inlineStr">
        <is>
          <t>Banks (Regional)</t>
        </is>
      </c>
      <c r="B9" s="387" t="n">
        <v>853</v>
      </c>
      <c r="C9" s="388" t="n">
        <v>0.07855870047999999</v>
      </c>
      <c r="D9" s="388" t="n">
        <v>-0.0008181864431702014</v>
      </c>
      <c r="E9" s="388" t="n">
        <v>-0.0001482737435985215</v>
      </c>
      <c r="F9" s="388" t="n">
        <v>0.2644056240704898</v>
      </c>
      <c r="G9" s="389" t="n">
        <v>0.4519200065440412</v>
      </c>
      <c r="H9" s="389" t="n">
        <v>0.616949314</v>
      </c>
      <c r="I9" s="388" t="n">
        <v>0.062350857468</v>
      </c>
      <c r="J9" s="388" t="n">
        <v>0.309430934</v>
      </c>
      <c r="K9" s="388" t="n">
        <v>0.0461</v>
      </c>
      <c r="L9" s="388" t="n">
        <v>0.5631527427031979</v>
      </c>
      <c r="M9" s="388" t="n">
        <v>0.04680486411728559</v>
      </c>
      <c r="N9" s="389" t="n">
        <v>0.2407209902662552</v>
      </c>
      <c r="O9" s="389" t="n">
        <v>5.753490506046428</v>
      </c>
      <c r="P9" s="389" t="inlineStr">
        <is>
          <t>NA</t>
        </is>
      </c>
      <c r="Q9" s="389" t="inlineStr">
        <is>
          <t>NA</t>
        </is>
      </c>
      <c r="R9" s="389" t="n">
        <v>1.123087599180255</v>
      </c>
      <c r="S9" s="389" t="n">
        <v>22.77853682</v>
      </c>
      <c r="T9" s="388" t="inlineStr">
        <is>
          <t>NA</t>
        </is>
      </c>
      <c r="U9" s="388" t="n">
        <v>0.04209641883378291</v>
      </c>
      <c r="V9" s="388" t="n">
        <v>0.04710833970055034</v>
      </c>
      <c r="W9" s="388" t="inlineStr">
        <is>
          <t>NA</t>
        </is>
      </c>
      <c r="X9" s="388" t="n">
        <v>0.08462880124397654</v>
      </c>
      <c r="Y9" s="388" t="n">
        <v>0.3128944159791674</v>
      </c>
      <c r="Z9" s="388" t="n">
        <v>0.3128944159791673</v>
      </c>
    </row>
    <row r="10" ht="13" customFormat="1" customHeight="1" s="322">
      <c r="A10" s="386" t="inlineStr">
        <is>
          <t>Beverage (Alcoholic)</t>
        </is>
      </c>
      <c r="B10" s="387" t="n">
        <v>222</v>
      </c>
      <c r="C10" s="388" t="n">
        <v>0.0312696875</v>
      </c>
      <c r="D10" s="388" t="n">
        <v>0.2092224607090344</v>
      </c>
      <c r="E10" s="388" t="n">
        <v>0.1418863770742536</v>
      </c>
      <c r="F10" s="388" t="n">
        <v>0.2675273730759928</v>
      </c>
      <c r="G10" s="389" t="n">
        <v>0.6689116678500171</v>
      </c>
      <c r="H10" s="389" t="n">
        <v>0.757301821</v>
      </c>
      <c r="I10" s="388" t="n">
        <v>0.07105271290199999</v>
      </c>
      <c r="J10" s="388" t="n">
        <v>0.296474244</v>
      </c>
      <c r="K10" s="388" t="n">
        <v>0.0461</v>
      </c>
      <c r="L10" s="388" t="n">
        <v>0.1862875138098389</v>
      </c>
      <c r="M10" s="388" t="n">
        <v>0.06428914551724788</v>
      </c>
      <c r="N10" s="389" t="n">
        <v>0.8363045534476912</v>
      </c>
      <c r="O10" s="389" t="n">
        <v>4.400157152587294</v>
      </c>
      <c r="P10" s="389" t="n">
        <v>16.5322873877736</v>
      </c>
      <c r="Q10" s="389" t="n">
        <v>20.90877966128574</v>
      </c>
      <c r="R10" s="389" t="n">
        <v>3.7049393081489</v>
      </c>
      <c r="S10" s="389" t="n">
        <v>45.65975585</v>
      </c>
      <c r="T10" s="388" t="n">
        <v>0.09241843929984023</v>
      </c>
      <c r="U10" s="388" t="n">
        <v>0.04195804560243162</v>
      </c>
      <c r="V10" s="388" t="n">
        <v>0.05151351787049627</v>
      </c>
      <c r="W10" s="388" t="n">
        <v>0.2608348982551087</v>
      </c>
      <c r="X10" s="388" t="n">
        <v>0.1714124403846956</v>
      </c>
      <c r="Y10" s="388" t="n">
        <v>0.6258556809582505</v>
      </c>
      <c r="Z10" s="388" t="n">
        <v>0.6258556809582505</v>
      </c>
    </row>
    <row r="11" ht="13" customFormat="1" customHeight="1" s="322">
      <c r="A11" s="386" t="inlineStr">
        <is>
          <t>Beverage (Soft)</t>
        </is>
      </c>
      <c r="B11" s="387" t="n">
        <v>101</v>
      </c>
      <c r="C11" s="388" t="n">
        <v>0.04610383333</v>
      </c>
      <c r="D11" s="388" t="n">
        <v>0.1539197069335664</v>
      </c>
      <c r="E11" s="388" t="n">
        <v>0.2038156958816606</v>
      </c>
      <c r="F11" s="388" t="n">
        <v>0.2705313559594811</v>
      </c>
      <c r="G11" s="389" t="n">
        <v>0.5713463390940842</v>
      </c>
      <c r="H11" s="389" t="n">
        <v>0.640226741</v>
      </c>
      <c r="I11" s="388" t="n">
        <v>0.06379405794199999</v>
      </c>
      <c r="J11" s="388" t="n">
        <v>0.32789652</v>
      </c>
      <c r="K11" s="388" t="n">
        <v>0.0461</v>
      </c>
      <c r="L11" s="388" t="n">
        <v>0.1902769829484525</v>
      </c>
      <c r="M11" s="388" t="n">
        <v>0.05826679929718173</v>
      </c>
      <c r="N11" s="389" t="n">
        <v>1.534533888491941</v>
      </c>
      <c r="O11" s="389" t="n">
        <v>3.186553071977542</v>
      </c>
      <c r="P11" s="389" t="n">
        <v>16.07622733726175</v>
      </c>
      <c r="Q11" s="389" t="n">
        <v>20.69919019708999</v>
      </c>
      <c r="R11" s="389" t="n">
        <v>6.231973112801946</v>
      </c>
      <c r="S11" s="389" t="n">
        <v>176.0476578</v>
      </c>
      <c r="T11" s="388" t="n">
        <v>-0.01006755893653457</v>
      </c>
      <c r="U11" s="388" t="n">
        <v>0.04554760947147036</v>
      </c>
      <c r="V11" s="388" t="n">
        <v>0.03551875263979253</v>
      </c>
      <c r="W11" s="388" t="n">
        <v>0.3738691710045691</v>
      </c>
      <c r="X11" s="388" t="n">
        <v>0.2187407995382937</v>
      </c>
      <c r="Y11" s="388" t="n">
        <v>0.7656845416608438</v>
      </c>
      <c r="Z11" s="388" t="n">
        <v>0.7656845416608438</v>
      </c>
    </row>
    <row r="12" ht="13" customFormat="1" customHeight="1" s="322">
      <c r="A12" s="386" t="inlineStr">
        <is>
          <t>Broadcasting</t>
        </is>
      </c>
      <c r="B12" s="387" t="n">
        <v>139</v>
      </c>
      <c r="C12" s="388" t="n">
        <v>0.06497901786</v>
      </c>
      <c r="D12" s="388" t="n">
        <v>0.1702917177277701</v>
      </c>
      <c r="E12" s="388" t="n">
        <v>0.1544969863706211</v>
      </c>
      <c r="F12" s="388" t="n">
        <v>0.2731255034820776</v>
      </c>
      <c r="G12" s="389" t="n">
        <v>0.8026873024039478</v>
      </c>
      <c r="H12" s="389" t="n">
        <v>1.066725643</v>
      </c>
      <c r="I12" s="388" t="n">
        <v>0.090236989866</v>
      </c>
      <c r="J12" s="388" t="n">
        <v>0.378921696</v>
      </c>
      <c r="K12" s="388" t="n">
        <v>0.0461</v>
      </c>
      <c r="L12" s="388" t="n">
        <v>0.3618349089534836</v>
      </c>
      <c r="M12" s="388" t="n">
        <v>0.07015825701108636</v>
      </c>
      <c r="N12" s="389" t="n">
        <v>1.106359901283731</v>
      </c>
      <c r="O12" s="389" t="n">
        <v>2.359486412862867</v>
      </c>
      <c r="P12" s="389" t="n">
        <v>10.04072440675464</v>
      </c>
      <c r="Q12" s="389" t="n">
        <v>13.81623795988494</v>
      </c>
      <c r="R12" s="389" t="n">
        <v>2.638022608373772</v>
      </c>
      <c r="S12" s="389" t="n">
        <v>95.78030088</v>
      </c>
      <c r="T12" s="388" t="n">
        <v>0.1604338852449944</v>
      </c>
      <c r="U12" s="388" t="n">
        <v>0.03879460503112144</v>
      </c>
      <c r="V12" s="388" t="n">
        <v>0.03077893243687609</v>
      </c>
      <c r="W12" s="388" t="n">
        <v>0.3462136006981025</v>
      </c>
      <c r="X12" s="388" t="n">
        <v>0.1015970789092058</v>
      </c>
      <c r="Y12" s="388" t="n">
        <v>0.5101122722275082</v>
      </c>
      <c r="Z12" s="388" t="n">
        <v>0.5101122722275082</v>
      </c>
    </row>
    <row r="13" ht="13" customFormat="1" customHeight="1" s="322">
      <c r="A13" s="386" t="inlineStr">
        <is>
          <t>Brokerage &amp; Investment Banking</t>
        </is>
      </c>
      <c r="B13" s="387" t="n">
        <v>555</v>
      </c>
      <c r="C13" s="388" t="n">
        <v>0.1329454571</v>
      </c>
      <c r="D13" s="388" t="n">
        <v>0.002998308481320444</v>
      </c>
      <c r="E13" s="388" t="n">
        <v>0.0004368041761155937</v>
      </c>
      <c r="F13" s="388" t="n">
        <v>0.2531728550653013</v>
      </c>
      <c r="G13" s="389" t="n">
        <v>0.4968367110939811</v>
      </c>
      <c r="H13" s="389" t="n">
        <v>1.070381193</v>
      </c>
      <c r="I13" s="388" t="n">
        <v>0.09046363396599999</v>
      </c>
      <c r="J13" s="388" t="n">
        <v>0.37224704</v>
      </c>
      <c r="K13" s="388" t="n">
        <v>0.0461</v>
      </c>
      <c r="L13" s="388" t="n">
        <v>0.6631708079035847</v>
      </c>
      <c r="M13" s="388" t="n">
        <v>0.05351304047084417</v>
      </c>
      <c r="N13" s="389" t="n">
        <v>0.1713105635260063</v>
      </c>
      <c r="O13" s="389" t="n">
        <v>7.628729093193383</v>
      </c>
      <c r="P13" s="389" t="inlineStr">
        <is>
          <t>NA</t>
        </is>
      </c>
      <c r="Q13" s="389" t="inlineStr">
        <is>
          <t>NA</t>
        </is>
      </c>
      <c r="R13" s="389" t="n">
        <v>1.48981524052734</v>
      </c>
      <c r="S13" s="389" t="n">
        <v>45.71682224</v>
      </c>
      <c r="T13" s="388" t="inlineStr">
        <is>
          <t>NA</t>
        </is>
      </c>
      <c r="U13" s="388" t="n">
        <v>0.03773113196980536</v>
      </c>
      <c r="V13" s="388" t="n">
        <v>0.03244592670049817</v>
      </c>
      <c r="W13" s="388" t="n">
        <v>191.5653954886334</v>
      </c>
      <c r="X13" s="388" t="n">
        <v>0.09970438996062897</v>
      </c>
      <c r="Y13" s="388" t="n">
        <v>0.4620236981379052</v>
      </c>
      <c r="Z13" s="388" t="n">
        <v>0.4620236981379052</v>
      </c>
    </row>
    <row r="14" ht="13" customFormat="1" customHeight="1" s="322">
      <c r="A14" s="386" t="inlineStr">
        <is>
          <t>Building Materials</t>
        </is>
      </c>
      <c r="B14" s="387" t="n">
        <v>432</v>
      </c>
      <c r="C14" s="388" t="n">
        <v>0.05900149701</v>
      </c>
      <c r="D14" s="388" t="n">
        <v>0.09318617625544097</v>
      </c>
      <c r="E14" s="388" t="n">
        <v>0.125810365239789</v>
      </c>
      <c r="F14" s="388" t="n">
        <v>0.2603150505763114</v>
      </c>
      <c r="G14" s="389" t="n">
        <v>0.844044331084621</v>
      </c>
      <c r="H14" s="389" t="n">
        <v>0.95040426</v>
      </c>
      <c r="I14" s="388" t="n">
        <v>0.08302506412000001</v>
      </c>
      <c r="J14" s="388" t="n">
        <v>0.341679712</v>
      </c>
      <c r="K14" s="388" t="n">
        <v>0.0461</v>
      </c>
      <c r="L14" s="388" t="n">
        <v>0.20521430059146</v>
      </c>
      <c r="M14" s="388" t="n">
        <v>0.07311742150125469</v>
      </c>
      <c r="N14" s="389" t="n">
        <v>1.671605338625728</v>
      </c>
      <c r="O14" s="389" t="n">
        <v>1.504962047839475</v>
      </c>
      <c r="P14" s="389" t="n">
        <v>10.9310696077822</v>
      </c>
      <c r="Q14" s="389" t="n">
        <v>15.98073417133742</v>
      </c>
      <c r="R14" s="389" t="n">
        <v>2.352863213510545</v>
      </c>
      <c r="S14" s="389" t="n">
        <v>30.40904972</v>
      </c>
      <c r="T14" s="388" t="n">
        <v>0.176281244364873</v>
      </c>
      <c r="U14" s="388" t="n">
        <v>0.04028391080261667</v>
      </c>
      <c r="V14" s="388" t="n">
        <v>0.03309728638234106</v>
      </c>
      <c r="W14" s="388" t="n">
        <v>0.6298499354511434</v>
      </c>
      <c r="X14" s="388" t="n">
        <v>0.1145864152095553</v>
      </c>
      <c r="Y14" s="388" t="n">
        <v>0.3163768908051053</v>
      </c>
      <c r="Z14" s="388" t="n">
        <v>0.3163768908051052</v>
      </c>
    </row>
    <row r="15" ht="13" customFormat="1" customHeight="1" s="322">
      <c r="A15" s="386" t="inlineStr">
        <is>
          <t>Business &amp; Consumer Services</t>
        </is>
      </c>
      <c r="B15" s="387" t="n">
        <v>834</v>
      </c>
      <c r="C15" s="388" t="n">
        <v>0.08914311982999999</v>
      </c>
      <c r="D15" s="388" t="n">
        <v>0.08878767802940279</v>
      </c>
      <c r="E15" s="388" t="n">
        <v>0.2214532805221288</v>
      </c>
      <c r="F15" s="388" t="n">
        <v>0.2770919447834715</v>
      </c>
      <c r="G15" s="389" t="n">
        <v>0.8839054717483916</v>
      </c>
      <c r="H15" s="389" t="n">
        <v>0.991328378</v>
      </c>
      <c r="I15" s="388" t="n">
        <v>0.08556235943599999</v>
      </c>
      <c r="J15" s="388" t="n">
        <v>0.4049824</v>
      </c>
      <c r="K15" s="388" t="n">
        <v>0.0491</v>
      </c>
      <c r="L15" s="388" t="n">
        <v>0.1965897277226318</v>
      </c>
      <c r="M15" s="388" t="n">
        <v>0.07601680967039209</v>
      </c>
      <c r="N15" s="389" t="n">
        <v>3.069226093237203</v>
      </c>
      <c r="O15" s="389" t="n">
        <v>1.761817637210329</v>
      </c>
      <c r="P15" s="389" t="n">
        <v>12.97592912610944</v>
      </c>
      <c r="Q15" s="389" t="n">
        <v>18.86521199071572</v>
      </c>
      <c r="R15" s="389" t="n">
        <v>4.316151834172795</v>
      </c>
      <c r="S15" s="389" t="n">
        <v>59.60036304</v>
      </c>
      <c r="T15" s="388" t="n">
        <v>0.0995520220051604</v>
      </c>
      <c r="U15" s="388" t="n">
        <v>0.02400821466996199</v>
      </c>
      <c r="V15" s="388" t="n">
        <v>0.02151514587482532</v>
      </c>
      <c r="W15" s="388" t="n">
        <v>0.4858522060688053</v>
      </c>
      <c r="X15" s="388" t="n">
        <v>0.1665637198065977</v>
      </c>
      <c r="Y15" s="388" t="n">
        <v>0.4937920710272255</v>
      </c>
      <c r="Z15" s="388" t="n">
        <v>0.4937920710272254</v>
      </c>
    </row>
    <row r="16" ht="13" customFormat="1" customHeight="1" s="322">
      <c r="A16" s="386" t="inlineStr">
        <is>
          <t>Cable TV</t>
        </is>
      </c>
      <c r="B16" s="387" t="n">
        <v>65</v>
      </c>
      <c r="C16" s="388" t="n">
        <v>0.07898355556</v>
      </c>
      <c r="D16" s="388" t="n">
        <v>0.1633444803472258</v>
      </c>
      <c r="E16" s="388" t="n">
        <v>0.1205506578298051</v>
      </c>
      <c r="F16" s="388" t="n">
        <v>0.2800112172816046</v>
      </c>
      <c r="G16" s="389" t="n">
        <v>0.8256875651234651</v>
      </c>
      <c r="H16" s="389" t="n">
        <v>1.150085151</v>
      </c>
      <c r="I16" s="388" t="n">
        <v>0.095405279362</v>
      </c>
      <c r="J16" s="388" t="n">
        <v>0.351682829</v>
      </c>
      <c r="K16" s="388" t="n">
        <v>0.0461</v>
      </c>
      <c r="L16" s="388" t="n">
        <v>0.363876025277226</v>
      </c>
      <c r="M16" s="388" t="n">
        <v>0.0733326654248837</v>
      </c>
      <c r="N16" s="389" t="n">
        <v>0.8430011861592314</v>
      </c>
      <c r="O16" s="389" t="n">
        <v>3.708211559204904</v>
      </c>
      <c r="P16" s="389" t="n">
        <v>10.73356527504549</v>
      </c>
      <c r="Q16" s="389" t="n">
        <v>22.18472348634719</v>
      </c>
      <c r="R16" s="389" t="n">
        <v>3.222341417825936</v>
      </c>
      <c r="S16" s="389" t="n">
        <v>53.35100824</v>
      </c>
      <c r="T16" s="388" t="n">
        <v>-0.01336950672555558</v>
      </c>
      <c r="U16" s="388" t="n">
        <v>0.1293877181739288</v>
      </c>
      <c r="V16" s="388" t="n">
        <v>-0.02566967435545302</v>
      </c>
      <c r="W16" s="388" t="n">
        <v>-0.1946498248749247</v>
      </c>
      <c r="X16" s="388" t="n">
        <v>0.102618760624408</v>
      </c>
      <c r="Y16" s="388" t="n">
        <v>0.35725025847279</v>
      </c>
      <c r="Z16" s="388" t="n">
        <v>0.35725025847279</v>
      </c>
    </row>
    <row r="17" ht="13" customFormat="1" customHeight="1" s="322">
      <c r="A17" s="386" t="inlineStr">
        <is>
          <t>Chemical (Basic)</t>
        </is>
      </c>
      <c r="B17" s="387" t="n">
        <v>787</v>
      </c>
      <c r="C17" s="388" t="n">
        <v>0.06284144578</v>
      </c>
      <c r="D17" s="388" t="n">
        <v>0.106919705244147</v>
      </c>
      <c r="E17" s="388" t="n">
        <v>0.1106676871636209</v>
      </c>
      <c r="F17" s="388" t="n">
        <v>0.1866728755811433</v>
      </c>
      <c r="G17" s="389" t="n">
        <v>1.036879660143495</v>
      </c>
      <c r="H17" s="389" t="n">
        <v>1.135695814</v>
      </c>
      <c r="I17" s="388" t="n">
        <v>0.094513140468</v>
      </c>
      <c r="J17" s="388" t="n">
        <v>0.343644008</v>
      </c>
      <c r="K17" s="388" t="n">
        <v>0.0461</v>
      </c>
      <c r="L17" s="388" t="n">
        <v>0.2042431905008184</v>
      </c>
      <c r="M17" s="388" t="n">
        <v>0.08230602118713318</v>
      </c>
      <c r="N17" s="389" t="n">
        <v>1.252065847841263</v>
      </c>
      <c r="O17" s="389" t="n">
        <v>1.54192455879614</v>
      </c>
      <c r="P17" s="389" t="n">
        <v>9.530466786733859</v>
      </c>
      <c r="Q17" s="389" t="n">
        <v>14.13659877621007</v>
      </c>
      <c r="R17" s="389" t="n">
        <v>1.934119117016239</v>
      </c>
      <c r="S17" s="389" t="n">
        <v>38.07523993</v>
      </c>
      <c r="T17" s="388" t="n">
        <v>0.1416149222872523</v>
      </c>
      <c r="U17" s="388" t="n">
        <v>0.05790190541182154</v>
      </c>
      <c r="V17" s="388" t="n">
        <v>0.03742664975772968</v>
      </c>
      <c r="W17" s="388" t="n">
        <v>0.6602415203789694</v>
      </c>
      <c r="X17" s="388" t="n">
        <v>0.1436433427402615</v>
      </c>
      <c r="Y17" s="388" t="n">
        <v>0.3994911397690845</v>
      </c>
      <c r="Z17" s="388" t="n">
        <v>0.3994911397690846</v>
      </c>
    </row>
    <row r="18" ht="13" customFormat="1" customHeight="1" s="322">
      <c r="A18" s="386" t="inlineStr">
        <is>
          <t>Chemical (Diversified)</t>
        </is>
      </c>
      <c r="B18" s="387" t="n">
        <v>75</v>
      </c>
      <c r="C18" s="388" t="n">
        <v>0.04122843750000001</v>
      </c>
      <c r="D18" s="388" t="n">
        <v>0.1120420722730244</v>
      </c>
      <c r="E18" s="388" t="n">
        <v>0.1191475513841122</v>
      </c>
      <c r="F18" s="388" t="n">
        <v>0.2274145156433219</v>
      </c>
      <c r="G18" s="389" t="n">
        <v>1.314726996508933</v>
      </c>
      <c r="H18" s="389" t="n">
        <v>1.50266922</v>
      </c>
      <c r="I18" s="388" t="n">
        <v>0.11726549164</v>
      </c>
      <c r="J18" s="388" t="n">
        <v>0.337537158</v>
      </c>
      <c r="K18" s="388" t="n">
        <v>0.0461</v>
      </c>
      <c r="L18" s="388" t="n">
        <v>0.2301773819828454</v>
      </c>
      <c r="M18" s="388" t="n">
        <v>0.09827127211547525</v>
      </c>
      <c r="N18" s="389" t="n">
        <v>1.311984342048884</v>
      </c>
      <c r="O18" s="389" t="n">
        <v>1.786296854038824</v>
      </c>
      <c r="P18" s="389" t="n">
        <v>10.21686983818216</v>
      </c>
      <c r="Q18" s="389" t="n">
        <v>16.0250978128681</v>
      </c>
      <c r="R18" s="389" t="n">
        <v>1.773179975675203</v>
      </c>
      <c r="S18" s="389" t="n">
        <v>22.34437945</v>
      </c>
      <c r="T18" s="388" t="n">
        <v>0.2205690715369043</v>
      </c>
      <c r="U18" s="388" t="n">
        <v>0.07163691514947679</v>
      </c>
      <c r="V18" s="388" t="n">
        <v>0.04001968296072547</v>
      </c>
      <c r="W18" s="388" t="n">
        <v>0.5859889052284123</v>
      </c>
      <c r="X18" s="388" t="n">
        <v>0.1410254092942328</v>
      </c>
      <c r="Y18" s="388" t="n">
        <v>0.4152453941398971</v>
      </c>
      <c r="Z18" s="388" t="n">
        <v>0.4152453941398971</v>
      </c>
    </row>
    <row r="19" ht="13" customFormat="1" customHeight="1" s="322">
      <c r="A19" s="386" t="inlineStr">
        <is>
          <t>Chemical (Specialty)</t>
        </is>
      </c>
      <c r="B19" s="387" t="n">
        <v>770</v>
      </c>
      <c r="C19" s="388" t="n">
        <v>0.0581349711</v>
      </c>
      <c r="D19" s="388" t="n">
        <v>0.1132795531542656</v>
      </c>
      <c r="E19" s="388" t="n">
        <v>0.1215775733131307</v>
      </c>
      <c r="F19" s="388" t="n">
        <v>0.2258322640503223</v>
      </c>
      <c r="G19" s="389" t="n">
        <v>1.064353690000574</v>
      </c>
      <c r="H19" s="389" t="n">
        <v>1.174759846</v>
      </c>
      <c r="I19" s="388" t="n">
        <v>0.096935110452</v>
      </c>
      <c r="J19" s="388" t="n">
        <v>0.391574762</v>
      </c>
      <c r="K19" s="388" t="n">
        <v>0.0461</v>
      </c>
      <c r="L19" s="388" t="n">
        <v>0.1846639107942882</v>
      </c>
      <c r="M19" s="388" t="n">
        <v>0.08545094670163408</v>
      </c>
      <c r="N19" s="389" t="n">
        <v>1.283635787892227</v>
      </c>
      <c r="O19" s="389" t="n">
        <v>2.182931527281953</v>
      </c>
      <c r="P19" s="389" t="n">
        <v>12.88122659551446</v>
      </c>
      <c r="Q19" s="389" t="n">
        <v>19.09262360807448</v>
      </c>
      <c r="R19" s="389" t="n">
        <v>2.959575804848922</v>
      </c>
      <c r="S19" s="389" t="n">
        <v>49.74610945</v>
      </c>
      <c r="T19" s="388" t="n">
        <v>0.1566174258751316</v>
      </c>
      <c r="U19" s="388" t="n">
        <v>0.05926218928120268</v>
      </c>
      <c r="V19" s="388" t="n">
        <v>0.05816413267330846</v>
      </c>
      <c r="W19" s="388" t="n">
        <v>0.7980622812947203</v>
      </c>
      <c r="X19" s="388" t="n">
        <v>0.1356452068012977</v>
      </c>
      <c r="Y19" s="388" t="n">
        <v>0.4184597902029734</v>
      </c>
      <c r="Z19" s="388" t="n">
        <v>0.4184597902029734</v>
      </c>
    </row>
    <row r="20" ht="13" customFormat="1" customHeight="1" s="322">
      <c r="A20" s="386" t="inlineStr">
        <is>
          <t>Coal &amp; Related Energy</t>
        </is>
      </c>
      <c r="B20" s="387" t="n">
        <v>254</v>
      </c>
      <c r="C20" s="388" t="n">
        <v>-0.01170099174</v>
      </c>
      <c r="D20" s="388" t="n">
        <v>0.1722714861244521</v>
      </c>
      <c r="E20" s="388" t="n">
        <v>0.1415574142998539</v>
      </c>
      <c r="F20" s="388" t="n">
        <v>0.2180309592903782</v>
      </c>
      <c r="G20" s="389" t="n">
        <v>1.105749979952543</v>
      </c>
      <c r="H20" s="389" t="n">
        <v>1.246981573</v>
      </c>
      <c r="I20" s="388" t="n">
        <v>0.101412857526</v>
      </c>
      <c r="J20" s="388" t="n">
        <v>0.581891854</v>
      </c>
      <c r="K20" s="388" t="n">
        <v>0.0491</v>
      </c>
      <c r="L20" s="388" t="n">
        <v>0.2800458055078419</v>
      </c>
      <c r="M20" s="388" t="n">
        <v>0.08337617486059221</v>
      </c>
      <c r="N20" s="389" t="n">
        <v>0.8976150828597199</v>
      </c>
      <c r="O20" s="389" t="n">
        <v>1.704168528018727</v>
      </c>
      <c r="P20" s="389" t="n">
        <v>6.433325414993819</v>
      </c>
      <c r="Q20" s="389" t="n">
        <v>9.470704110495143</v>
      </c>
      <c r="R20" s="389" t="n">
        <v>1.456931802282532</v>
      </c>
      <c r="S20" s="389" t="n">
        <v>122.6718262</v>
      </c>
      <c r="T20" s="388" t="n">
        <v>0.01276273445363506</v>
      </c>
      <c r="U20" s="388" t="n">
        <v>0.0750986287097397</v>
      </c>
      <c r="V20" s="388" t="n">
        <v>0.02449087709625015</v>
      </c>
      <c r="W20" s="388" t="n">
        <v>0.1180266023690057</v>
      </c>
      <c r="X20" s="388" t="n">
        <v>0.1493408990514707</v>
      </c>
      <c r="Y20" s="388" t="n">
        <v>0.7235549835423472</v>
      </c>
      <c r="Z20" s="388" t="n">
        <v>0.7235549835423472</v>
      </c>
    </row>
    <row r="21" ht="13" customFormat="1" customHeight="1" s="322">
      <c r="A21" s="386" t="inlineStr">
        <is>
          <t>Computer Services</t>
        </is>
      </c>
      <c r="B21" s="387" t="n">
        <v>931</v>
      </c>
      <c r="C21" s="388" t="n">
        <v>0.08190236006</v>
      </c>
      <c r="D21" s="388" t="n">
        <v>0.07569469040950368</v>
      </c>
      <c r="E21" s="388" t="n">
        <v>0.2073607922824417</v>
      </c>
      <c r="F21" s="388" t="n">
        <v>0.2077022724567243</v>
      </c>
      <c r="G21" s="389" t="n">
        <v>1.013585765803528</v>
      </c>
      <c r="H21" s="389" t="n">
        <v>1.083670504</v>
      </c>
      <c r="I21" s="388" t="n">
        <v>0.09128757124800001</v>
      </c>
      <c r="J21" s="388" t="n">
        <v>0.392567921</v>
      </c>
      <c r="K21" s="388" t="n">
        <v>0.0461</v>
      </c>
      <c r="L21" s="388" t="n">
        <v>0.1580256745577907</v>
      </c>
      <c r="M21" s="388" t="n">
        <v>0.08235248335993736</v>
      </c>
      <c r="N21" s="389" t="n">
        <v>3.308502896418052</v>
      </c>
      <c r="O21" s="389" t="n">
        <v>1.289941790942486</v>
      </c>
      <c r="P21" s="389" t="n">
        <v>12.14897402427237</v>
      </c>
      <c r="Q21" s="389" t="n">
        <v>16.80237040555414</v>
      </c>
      <c r="R21" s="389" t="n">
        <v>3.452346583094826</v>
      </c>
      <c r="S21" s="389" t="n">
        <v>49.11076263</v>
      </c>
      <c r="T21" s="388" t="n">
        <v>0.1432377801745836</v>
      </c>
      <c r="U21" s="388" t="n">
        <v>0.01815578464227506</v>
      </c>
      <c r="V21" s="388" t="n">
        <v>0.0192853857296195</v>
      </c>
      <c r="W21" s="388" t="n">
        <v>0.4755740876280123</v>
      </c>
      <c r="X21" s="388" t="n">
        <v>0.1895914571541552</v>
      </c>
      <c r="Y21" s="388" t="n">
        <v>0.3640588013236203</v>
      </c>
      <c r="Z21" s="388" t="n">
        <v>0.3640588013236203</v>
      </c>
    </row>
    <row r="22" ht="13" customFormat="1" customHeight="1" s="322">
      <c r="A22" s="386" t="inlineStr">
        <is>
          <t>Computers/Peripherals</t>
        </is>
      </c>
      <c r="B22" s="387" t="n">
        <v>331</v>
      </c>
      <c r="C22" s="388" t="n">
        <v>0.01993373077</v>
      </c>
      <c r="D22" s="388" t="n">
        <v>0.124545206677085</v>
      </c>
      <c r="E22" s="388" t="n">
        <v>0.1660775587104496</v>
      </c>
      <c r="F22" s="388" t="n">
        <v>0.2396935463579438</v>
      </c>
      <c r="G22" s="389" t="n">
        <v>1.210556213654941</v>
      </c>
      <c r="H22" s="389" t="n">
        <v>1.270387258</v>
      </c>
      <c r="I22" s="388" t="n">
        <v>0.102864009996</v>
      </c>
      <c r="J22" s="388" t="n">
        <v>0.379985455</v>
      </c>
      <c r="K22" s="388" t="n">
        <v>0.0461</v>
      </c>
      <c r="L22" s="388" t="n">
        <v>0.156413087010772</v>
      </c>
      <c r="M22" s="388" t="n">
        <v>0.09220939451386759</v>
      </c>
      <c r="N22" s="389" t="n">
        <v>1.52207376894474</v>
      </c>
      <c r="O22" s="389" t="n">
        <v>1.660886737045043</v>
      </c>
      <c r="P22" s="389" t="n">
        <v>9.453322414850003</v>
      </c>
      <c r="Q22" s="389" t="n">
        <v>13.29744415845405</v>
      </c>
      <c r="R22" s="389" t="n">
        <v>2.885701353992583</v>
      </c>
      <c r="S22" s="389" t="n">
        <v>61.58434583</v>
      </c>
      <c r="T22" s="388" t="n">
        <v>0.05479176859529625</v>
      </c>
      <c r="U22" s="388" t="n">
        <v>0.067349109095434</v>
      </c>
      <c r="V22" s="388" t="n">
        <v>0.0671428090805246</v>
      </c>
      <c r="W22" s="388" t="n">
        <v>0.8465810946354646</v>
      </c>
      <c r="X22" s="388" t="n">
        <v>0.1886077074063141</v>
      </c>
      <c r="Y22" s="388" t="n">
        <v>0.2812203932848961</v>
      </c>
      <c r="Z22" s="388" t="n">
        <v>0.281220393284896</v>
      </c>
    </row>
    <row r="23" ht="13" customFormat="1" customHeight="1" s="322">
      <c r="A23" s="386" t="inlineStr">
        <is>
          <t>Construction Supplies</t>
        </is>
      </c>
      <c r="B23" s="387" t="n">
        <v>763</v>
      </c>
      <c r="C23" s="388" t="n">
        <v>0.05467339559</v>
      </c>
      <c r="D23" s="388" t="n">
        <v>0.08765950344353003</v>
      </c>
      <c r="E23" s="388" t="n">
        <v>0.08551360299015651</v>
      </c>
      <c r="F23" s="388" t="n">
        <v>0.2377608180051972</v>
      </c>
      <c r="G23" s="389" t="n">
        <v>1.05928160323031</v>
      </c>
      <c r="H23" s="389" t="n">
        <v>1.255476603</v>
      </c>
      <c r="I23" s="388" t="n">
        <v>0.101939549386</v>
      </c>
      <c r="J23" s="388" t="n">
        <v>0.346527818</v>
      </c>
      <c r="K23" s="388" t="n">
        <v>0.0461</v>
      </c>
      <c r="L23" s="388" t="n">
        <v>0.2920115676620737</v>
      </c>
      <c r="M23" s="388" t="n">
        <v>0.08231813012804107</v>
      </c>
      <c r="N23" s="389" t="n">
        <v>1.167562030184035</v>
      </c>
      <c r="O23" s="389" t="n">
        <v>1.676282564978971</v>
      </c>
      <c r="P23" s="389" t="n">
        <v>11.85278667848197</v>
      </c>
      <c r="Q23" s="389" t="n">
        <v>18.8695664797345</v>
      </c>
      <c r="R23" s="389" t="n">
        <v>1.928356593102105</v>
      </c>
      <c r="S23" s="389" t="n">
        <v>45.8640652</v>
      </c>
      <c r="T23" s="388" t="n">
        <v>0.1331828291468143</v>
      </c>
      <c r="U23" s="388" t="n">
        <v>0.04601767482614089</v>
      </c>
      <c r="V23" s="388" t="n">
        <v>0.03512862830010331</v>
      </c>
      <c r="W23" s="388" t="n">
        <v>0.758375162931032</v>
      </c>
      <c r="X23" s="388" t="n">
        <v>0.1016560239399706</v>
      </c>
      <c r="Y23" s="388" t="n">
        <v>0.4628403287550746</v>
      </c>
      <c r="Z23" s="388" t="n">
        <v>0.4628403287550746</v>
      </c>
    </row>
    <row r="24" ht="13" customFormat="1" customHeight="1" s="322">
      <c r="A24" s="386" t="inlineStr">
        <is>
          <t>Diversified</t>
        </is>
      </c>
      <c r="B24" s="387" t="n">
        <v>349</v>
      </c>
      <c r="C24" s="388" t="n">
        <v>0.05567748200999999</v>
      </c>
      <c r="D24" s="388" t="n">
        <v>0.130651753773109</v>
      </c>
      <c r="E24" s="388" t="n">
        <v>0.1079591739998525</v>
      </c>
      <c r="F24" s="388" t="n">
        <v>0.2152603766610729</v>
      </c>
      <c r="G24" s="389" t="n">
        <v>0.7580135130429673</v>
      </c>
      <c r="H24" s="389" t="n">
        <v>1.002810088</v>
      </c>
      <c r="I24" s="388" t="n">
        <v>0.086274225456</v>
      </c>
      <c r="J24" s="388" t="n">
        <v>0.270764274</v>
      </c>
      <c r="K24" s="388" t="n">
        <v>0.0461</v>
      </c>
      <c r="L24" s="388" t="n">
        <v>0.3727243929790551</v>
      </c>
      <c r="M24" s="388" t="n">
        <v>0.06706823863013553</v>
      </c>
      <c r="N24" s="389" t="n">
        <v>0.9755685054787452</v>
      </c>
      <c r="O24" s="389" t="n">
        <v>1.688908997088068</v>
      </c>
      <c r="P24" s="389" t="n">
        <v>9.520921999578764</v>
      </c>
      <c r="Q24" s="389" t="n">
        <v>12.73805844910763</v>
      </c>
      <c r="R24" s="389" t="n">
        <v>1.241992806533589</v>
      </c>
      <c r="S24" s="389" t="n">
        <v>27.20915131</v>
      </c>
      <c r="T24" s="388" t="n">
        <v>-0.1370241521578159</v>
      </c>
      <c r="U24" s="388" t="n">
        <v>0.04910127802086411</v>
      </c>
      <c r="V24" s="388" t="n">
        <v>0.04118197641568944</v>
      </c>
      <c r="W24" s="388" t="n">
        <v>0.4697349355902611</v>
      </c>
      <c r="X24" s="388" t="n">
        <v>0.0983898279610084</v>
      </c>
      <c r="Y24" s="388" t="n">
        <v>0.3093694723775056</v>
      </c>
      <c r="Z24" s="388" t="n">
        <v>0.3093694723775056</v>
      </c>
    </row>
    <row r="25" ht="13" customFormat="1" customHeight="1" s="322">
      <c r="A25" s="386" t="inlineStr">
        <is>
          <t>Drugs (Biotechnology)</t>
        </is>
      </c>
      <c r="B25" s="387" t="n">
        <v>952</v>
      </c>
      <c r="C25" s="388" t="n">
        <v>0.2289497654</v>
      </c>
      <c r="D25" s="388" t="n">
        <v>0.2308692944188695</v>
      </c>
      <c r="E25" s="388" t="n">
        <v>0.102634142805896</v>
      </c>
      <c r="F25" s="388" t="n">
        <v>0.2006054210090392</v>
      </c>
      <c r="G25" s="389" t="n">
        <v>1.312621846885624</v>
      </c>
      <c r="H25" s="389" t="n">
        <v>1.383937421</v>
      </c>
      <c r="I25" s="388" t="n">
        <v>0.109904120102</v>
      </c>
      <c r="J25" s="388" t="n">
        <v>0.731585379</v>
      </c>
      <c r="K25" s="388" t="n">
        <v>0.0566</v>
      </c>
      <c r="L25" s="388" t="n">
        <v>0.127135606787064</v>
      </c>
      <c r="M25" s="388" t="n">
        <v>0.1013549243513181</v>
      </c>
      <c r="N25" s="389" t="n">
        <v>0.4546389934542598</v>
      </c>
      <c r="O25" s="389" t="n">
        <v>7.933389689502101</v>
      </c>
      <c r="P25" s="389" t="n">
        <v>14.77154449596769</v>
      </c>
      <c r="Q25" s="389" t="n">
        <v>29.35682511435275</v>
      </c>
      <c r="R25" s="389" t="n">
        <v>5.529830588465887</v>
      </c>
      <c r="S25" s="389" t="n">
        <v>298.1618833</v>
      </c>
      <c r="T25" s="388" t="n">
        <v>0.1915562590791899</v>
      </c>
      <c r="U25" s="388" t="n">
        <v>0.04844255917271153</v>
      </c>
      <c r="V25" s="388" t="n">
        <v>0.04227832190554943</v>
      </c>
      <c r="W25" s="388" t="n">
        <v>0.4218470266575677</v>
      </c>
      <c r="X25" s="388" t="n">
        <v>0.08932574542614979</v>
      </c>
      <c r="Y25" s="388" t="n">
        <v>0.6792070413401189</v>
      </c>
      <c r="Z25" s="388" t="n">
        <v>0.6792070413401189</v>
      </c>
    </row>
    <row r="26" ht="13" customFormat="1" customHeight="1" s="322">
      <c r="A26" s="386" t="inlineStr">
        <is>
          <t>Drugs (Pharmaceutical)</t>
        </is>
      </c>
      <c r="B26" s="387" t="n">
        <v>1036</v>
      </c>
      <c r="C26" s="388" t="n">
        <v>0.1252962823</v>
      </c>
      <c r="D26" s="388" t="n">
        <v>0.1979907296550235</v>
      </c>
      <c r="E26" s="388" t="n">
        <v>0.1277705577371265</v>
      </c>
      <c r="F26" s="388" t="n">
        <v>0.2038409557244832</v>
      </c>
      <c r="G26" s="389" t="n">
        <v>1.062900769374367</v>
      </c>
      <c r="H26" s="389" t="n">
        <v>1.141712379</v>
      </c>
      <c r="I26" s="388" t="n">
        <v>0.094886167498</v>
      </c>
      <c r="J26" s="388" t="n">
        <v>0.430010981</v>
      </c>
      <c r="K26" s="388" t="n">
        <v>0.0491</v>
      </c>
      <c r="L26" s="388" t="n">
        <v>0.1413048421606356</v>
      </c>
      <c r="M26" s="388" t="n">
        <v>0.08670751423970821</v>
      </c>
      <c r="N26" s="389" t="n">
        <v>0.728053709225238</v>
      </c>
      <c r="O26" s="389" t="n">
        <v>3.941729019368615</v>
      </c>
      <c r="P26" s="389" t="n">
        <v>13.96297362911736</v>
      </c>
      <c r="Q26" s="389" t="n">
        <v>20.40544357798436</v>
      </c>
      <c r="R26" s="389" t="n">
        <v>3.435485562895882</v>
      </c>
      <c r="S26" s="389" t="n">
        <v>910.9110356</v>
      </c>
      <c r="T26" s="388" t="n">
        <v>0.1763092479516558</v>
      </c>
      <c r="U26" s="388" t="n">
        <v>0.04377551177448952</v>
      </c>
      <c r="V26" s="388" t="n">
        <v>0.05753903442259749</v>
      </c>
      <c r="W26" s="388" t="n">
        <v>0.444498390680602</v>
      </c>
      <c r="X26" s="388" t="n">
        <v>0.1185715606732359</v>
      </c>
      <c r="Y26" s="388" t="n">
        <v>0.6726873884406491</v>
      </c>
      <c r="Z26" s="388" t="n">
        <v>0.6726873884406491</v>
      </c>
    </row>
    <row r="27" ht="13" customFormat="1" customHeight="1" s="322">
      <c r="A27" s="386" t="inlineStr">
        <is>
          <t>Education</t>
        </is>
      </c>
      <c r="B27" s="387" t="n">
        <v>185</v>
      </c>
      <c r="C27" s="388" t="n">
        <v>0.03845311927</v>
      </c>
      <c r="D27" s="388" t="n">
        <v>0.1106713498239166</v>
      </c>
      <c r="E27" s="388" t="n">
        <v>0.1148058516219958</v>
      </c>
      <c r="F27" s="388" t="n">
        <v>0.1713118508428865</v>
      </c>
      <c r="G27" s="389" t="n">
        <v>0.8505409749525091</v>
      </c>
      <c r="H27" s="389" t="n">
        <v>0.928407333</v>
      </c>
      <c r="I27" s="388" t="n">
        <v>0.08166125464600001</v>
      </c>
      <c r="J27" s="388" t="n">
        <v>0.418947238</v>
      </c>
      <c r="K27" s="388" t="n">
        <v>0.0491</v>
      </c>
      <c r="L27" s="388" t="n">
        <v>0.1950416001082562</v>
      </c>
      <c r="M27" s="388" t="n">
        <v>0.0729517530044746</v>
      </c>
      <c r="N27" s="389" t="n">
        <v>1.230090238932662</v>
      </c>
      <c r="O27" s="389" t="n">
        <v>2.350626765912296</v>
      </c>
      <c r="P27" s="389" t="n">
        <v>11.76483186891514</v>
      </c>
      <c r="Q27" s="389" t="n">
        <v>20.58591041717864</v>
      </c>
      <c r="R27" s="389" t="n">
        <v>2.489231600218268</v>
      </c>
      <c r="S27" s="389" t="n">
        <v>81.64704063000001</v>
      </c>
      <c r="T27" s="388" t="n">
        <v>0.07664336215694456</v>
      </c>
      <c r="U27" s="388" t="n">
        <v>0.05629687088529597</v>
      </c>
      <c r="V27" s="388" t="n">
        <v>0.04612966712302987</v>
      </c>
      <c r="W27" s="388" t="n">
        <v>0.6794050590808473</v>
      </c>
      <c r="X27" s="388" t="n">
        <v>0.08902756427824303</v>
      </c>
      <c r="Y27" s="388" t="n">
        <v>0.4113931880630261</v>
      </c>
      <c r="Z27" s="388" t="n">
        <v>0.4113931880630262</v>
      </c>
    </row>
    <row r="28" ht="13" customFormat="1" customHeight="1" s="322">
      <c r="A28" s="386" t="inlineStr">
        <is>
          <t>Electrical Equipment</t>
        </is>
      </c>
      <c r="B28" s="387" t="n">
        <v>909</v>
      </c>
      <c r="C28" s="388" t="n">
        <v>0.05430443522</v>
      </c>
      <c r="D28" s="388" t="n">
        <v>0.092070565572304</v>
      </c>
      <c r="E28" s="388" t="n">
        <v>0.1244605130339873</v>
      </c>
      <c r="F28" s="388" t="n">
        <v>0.2223338541954526</v>
      </c>
      <c r="G28" s="389" t="n">
        <v>1.125725062672408</v>
      </c>
      <c r="H28" s="389" t="n">
        <v>1.220285272</v>
      </c>
      <c r="I28" s="388" t="n">
        <v>0.09975768686399999</v>
      </c>
      <c r="J28" s="388" t="n">
        <v>0.398721955</v>
      </c>
      <c r="K28" s="388" t="n">
        <v>0.0461</v>
      </c>
      <c r="L28" s="388" t="n">
        <v>0.1928016445267256</v>
      </c>
      <c r="M28" s="388" t="n">
        <v>0.08722324381845711</v>
      </c>
      <c r="N28" s="389" t="n">
        <v>1.555334748384643</v>
      </c>
      <c r="O28" s="389" t="n">
        <v>1.83674304026594</v>
      </c>
      <c r="P28" s="389" t="n">
        <v>12.1931312807674</v>
      </c>
      <c r="Q28" s="389" t="n">
        <v>19.57851168478657</v>
      </c>
      <c r="R28" s="389" t="n">
        <v>2.632597229590479</v>
      </c>
      <c r="S28" s="389" t="n">
        <v>59.80004517</v>
      </c>
      <c r="T28" s="388" t="n">
        <v>0.2144462085847265</v>
      </c>
      <c r="U28" s="388" t="n">
        <v>0.04305030041997929</v>
      </c>
      <c r="V28" s="388" t="n">
        <v>0.04329604684256366</v>
      </c>
      <c r="W28" s="388" t="n">
        <v>0.8082979782385527</v>
      </c>
      <c r="X28" s="388" t="n">
        <v>0.1109186033834558</v>
      </c>
      <c r="Y28" s="388" t="n">
        <v>0.4491042304992576</v>
      </c>
      <c r="Z28" s="388" t="n">
        <v>0.4491042304992576</v>
      </c>
    </row>
    <row r="29" ht="13" customFormat="1" customHeight="1" s="322">
      <c r="A29" s="386" t="inlineStr">
        <is>
          <t>Electronics (Consumer &amp; Office)</t>
        </is>
      </c>
      <c r="B29" s="387" t="n">
        <v>152</v>
      </c>
      <c r="C29" s="388" t="n">
        <v>-0.01741769231</v>
      </c>
      <c r="D29" s="388" t="n">
        <v>0.05106625015928694</v>
      </c>
      <c r="E29" s="388" t="n">
        <v>0.1033685281296308</v>
      </c>
      <c r="F29" s="388" t="n">
        <v>0.3397407916847019</v>
      </c>
      <c r="G29" s="389" t="n">
        <v>1.195963859491682</v>
      </c>
      <c r="H29" s="389" t="n">
        <v>1.26368584</v>
      </c>
      <c r="I29" s="388" t="n">
        <v>0.10244852208</v>
      </c>
      <c r="J29" s="388" t="n">
        <v>0.432333942</v>
      </c>
      <c r="K29" s="388" t="n">
        <v>0.0491</v>
      </c>
      <c r="L29" s="388" t="n">
        <v>0.2357783504105659</v>
      </c>
      <c r="M29" s="388" t="n">
        <v>0.08701875014876534</v>
      </c>
      <c r="N29" s="389" t="n">
        <v>2.269663500903627</v>
      </c>
      <c r="O29" s="389" t="n">
        <v>0.7557639310001865</v>
      </c>
      <c r="P29" s="389" t="n">
        <v>8.634274221031498</v>
      </c>
      <c r="Q29" s="389" t="n">
        <v>15.32691533537665</v>
      </c>
      <c r="R29" s="389" t="n">
        <v>1.922004803849395</v>
      </c>
      <c r="S29" s="389" t="n">
        <v>116.9901261</v>
      </c>
      <c r="T29" s="388" t="n">
        <v>0.01843574909053664</v>
      </c>
      <c r="U29" s="388" t="n">
        <v>0.04600630784943575</v>
      </c>
      <c r="V29" s="388" t="n">
        <v>0.02893637581334286</v>
      </c>
      <c r="W29" s="388" t="n">
        <v>1.106961596508492</v>
      </c>
      <c r="X29" s="388" t="n">
        <v>0.06935474253727233</v>
      </c>
      <c r="Y29" s="388" t="n">
        <v>0.3891321480398205</v>
      </c>
      <c r="Z29" s="388" t="n">
        <v>0.3891321480398204</v>
      </c>
    </row>
    <row r="30" ht="13" customFormat="1" customHeight="1" s="322">
      <c r="A30" s="386" t="inlineStr">
        <is>
          <t>Electronics (General)</t>
        </is>
      </c>
      <c r="B30" s="387" t="n">
        <v>1298</v>
      </c>
      <c r="C30" s="388" t="n">
        <v>0.06123579534</v>
      </c>
      <c r="D30" s="388" t="n">
        <v>0.08258621625410126</v>
      </c>
      <c r="E30" s="388" t="n">
        <v>0.1136559255075539</v>
      </c>
      <c r="F30" s="388" t="n">
        <v>0.2171143564571716</v>
      </c>
      <c r="G30" s="389" t="n">
        <v>1.280538895099683</v>
      </c>
      <c r="H30" s="389" t="n">
        <v>1.268770968</v>
      </c>
      <c r="I30" s="388" t="n">
        <v>0.102763800016</v>
      </c>
      <c r="J30" s="388" t="n">
        <v>0.395319876</v>
      </c>
      <c r="K30" s="388" t="n">
        <v>0.0461</v>
      </c>
      <c r="L30" s="388" t="n">
        <v>0.126982295870823</v>
      </c>
      <c r="M30" s="388" t="n">
        <v>0.0941266890074986</v>
      </c>
      <c r="N30" s="389" t="n">
        <v>1.594278814842406</v>
      </c>
      <c r="O30" s="389" t="n">
        <v>1.531936996227547</v>
      </c>
      <c r="P30" s="389" t="n">
        <v>11.75250839780281</v>
      </c>
      <c r="Q30" s="389" t="n">
        <v>18.6248862211395</v>
      </c>
      <c r="R30" s="389" t="n">
        <v>2.425558527233989</v>
      </c>
      <c r="S30" s="389" t="n">
        <v>67.39932171</v>
      </c>
      <c r="T30" s="388" t="n">
        <v>0.1703420453082034</v>
      </c>
      <c r="U30" s="388" t="n">
        <v>0.05989079507293352</v>
      </c>
      <c r="V30" s="388" t="n">
        <v>0.05553459615583504</v>
      </c>
      <c r="W30" s="388" t="n">
        <v>1.230696758230575</v>
      </c>
      <c r="X30" s="388" t="n">
        <v>0.1151385317366929</v>
      </c>
      <c r="Y30" s="388" t="n">
        <v>0.3544027267363963</v>
      </c>
      <c r="Z30" s="388" t="n">
        <v>0.3544027267363963</v>
      </c>
    </row>
    <row r="31" ht="13" customFormat="1" customHeight="1" s="322">
      <c r="A31" s="386" t="inlineStr">
        <is>
          <t>Engineering/Construction</t>
        </is>
      </c>
      <c r="B31" s="387" t="n">
        <v>1185</v>
      </c>
      <c r="C31" s="388" t="n">
        <v>0.05095203181999999</v>
      </c>
      <c r="D31" s="388" t="n">
        <v>0.04956987189307261</v>
      </c>
      <c r="E31" s="388" t="n">
        <v>0.09500816035711619</v>
      </c>
      <c r="F31" s="388" t="n">
        <v>0.2477996858100764</v>
      </c>
      <c r="G31" s="389" t="n">
        <v>0.9721731274266371</v>
      </c>
      <c r="H31" s="389" t="n">
        <v>1.182273151</v>
      </c>
      <c r="I31" s="388" t="n">
        <v>0.09740093536199999</v>
      </c>
      <c r="J31" s="388" t="n">
        <v>0.367916906</v>
      </c>
      <c r="K31" s="388" t="n">
        <v>0.0461</v>
      </c>
      <c r="L31" s="388" t="n">
        <v>0.393051762821902</v>
      </c>
      <c r="M31" s="388" t="n">
        <v>0.07277413355621556</v>
      </c>
      <c r="N31" s="389" t="n">
        <v>2.319352465952246</v>
      </c>
      <c r="O31" s="389" t="n">
        <v>0.7199234469170598</v>
      </c>
      <c r="P31" s="389" t="n">
        <v>9.569781281123483</v>
      </c>
      <c r="Q31" s="389" t="n">
        <v>14.17441212249072</v>
      </c>
      <c r="R31" s="389" t="n">
        <v>1.52121338231348</v>
      </c>
      <c r="S31" s="389" t="n">
        <v>42.8549158</v>
      </c>
      <c r="T31" s="388" t="n">
        <v>0.1090239110912585</v>
      </c>
      <c r="U31" s="388" t="n">
        <v>0.0299630265421961</v>
      </c>
      <c r="V31" s="388" t="n">
        <v>0.02061856603102237</v>
      </c>
      <c r="W31" s="388" t="n">
        <v>0.5044687819691044</v>
      </c>
      <c r="X31" s="388" t="n">
        <v>0.09978103451427413</v>
      </c>
      <c r="Y31" s="388" t="n">
        <v>0.5054089809971899</v>
      </c>
      <c r="Z31" s="388" t="n">
        <v>0.5054089809971899</v>
      </c>
    </row>
    <row r="32" ht="13" customFormat="1" customHeight="1" s="322">
      <c r="A32" s="386" t="inlineStr">
        <is>
          <t>Entertainment</t>
        </is>
      </c>
      <c r="B32" s="387" t="n">
        <v>374</v>
      </c>
      <c r="C32" s="388" t="n">
        <v>0.07564589109</v>
      </c>
      <c r="D32" s="388" t="n">
        <v>0.165289049122642</v>
      </c>
      <c r="E32" s="388" t="n">
        <v>0.2074623547414817</v>
      </c>
      <c r="F32" s="388" t="n">
        <v>0.2840083013105115</v>
      </c>
      <c r="G32" s="389" t="n">
        <v>1.017852344310268</v>
      </c>
      <c r="H32" s="389" t="n">
        <v>1.191871865</v>
      </c>
      <c r="I32" s="388" t="n">
        <v>0.09799605563</v>
      </c>
      <c r="J32" s="388" t="n">
        <v>0.447747489</v>
      </c>
      <c r="K32" s="388" t="n">
        <v>0.0491</v>
      </c>
      <c r="L32" s="388" t="n">
        <v>0.2391616500746005</v>
      </c>
      <c r="M32" s="388" t="n">
        <v>0.08340973352569307</v>
      </c>
      <c r="N32" s="389" t="n">
        <v>1.397278346370702</v>
      </c>
      <c r="O32" s="389" t="n">
        <v>2.899941577811063</v>
      </c>
      <c r="P32" s="389" t="n">
        <v>11.6979172674404</v>
      </c>
      <c r="Q32" s="389" t="n">
        <v>17.08268653075725</v>
      </c>
      <c r="R32" s="389" t="n">
        <v>2.815161331274753</v>
      </c>
      <c r="S32" s="389" t="n">
        <v>121.6625608</v>
      </c>
      <c r="T32" s="388" t="n">
        <v>0.09822399847467725</v>
      </c>
      <c r="U32" s="388" t="n">
        <v>0.04510031512521185</v>
      </c>
      <c r="V32" s="388" t="n">
        <v>0.0537031089790863</v>
      </c>
      <c r="W32" s="388" t="n">
        <v>1.015546060453962</v>
      </c>
      <c r="X32" s="388" t="n">
        <v>0.1354748363811409</v>
      </c>
      <c r="Y32" s="388" t="n">
        <v>0.337025271637637</v>
      </c>
      <c r="Z32" s="388" t="n">
        <v>0.337025271637637</v>
      </c>
    </row>
    <row r="33" ht="13" customFormat="1" customHeight="1" s="322">
      <c r="A33" s="386" t="inlineStr">
        <is>
          <t>Environmental &amp; Waste Services</t>
        </is>
      </c>
      <c r="B33" s="387" t="n">
        <v>320</v>
      </c>
      <c r="C33" s="388" t="n">
        <v>0.1481845509</v>
      </c>
      <c r="D33" s="388" t="n">
        <v>0.117087935014527</v>
      </c>
      <c r="E33" s="388" t="n">
        <v>0.1596632366880907</v>
      </c>
      <c r="F33" s="388" t="n">
        <v>0.2627447985236428</v>
      </c>
      <c r="G33" s="389" t="n">
        <v>1.034224493597968</v>
      </c>
      <c r="H33" s="389" t="n">
        <v>1.204549971</v>
      </c>
      <c r="I33" s="388" t="n">
        <v>0.098782098202</v>
      </c>
      <c r="J33" s="388" t="n">
        <v>0.462897755</v>
      </c>
      <c r="K33" s="388" t="n">
        <v>0.0491</v>
      </c>
      <c r="L33" s="388" t="n">
        <v>0.2233153940682619</v>
      </c>
      <c r="M33" s="388" t="n">
        <v>0.08498669410933475</v>
      </c>
      <c r="N33" s="389" t="n">
        <v>1.564998108522886</v>
      </c>
      <c r="O33" s="389" t="n">
        <v>2.585819348978605</v>
      </c>
      <c r="P33" s="389" t="n">
        <v>13.37538794416452</v>
      </c>
      <c r="Q33" s="389" t="n">
        <v>21.82302290204085</v>
      </c>
      <c r="R33" s="389" t="n">
        <v>3.285082077012415</v>
      </c>
      <c r="S33" s="389" t="n">
        <v>101.610064</v>
      </c>
      <c r="T33" s="388" t="n">
        <v>0.1154160754896102</v>
      </c>
      <c r="U33" s="388" t="n">
        <v>0.08545954784980053</v>
      </c>
      <c r="V33" s="388" t="n">
        <v>0.05821815356189397</v>
      </c>
      <c r="W33" s="388" t="n">
        <v>1.003572560202582</v>
      </c>
      <c r="X33" s="388" t="n">
        <v>0.1144669323475724</v>
      </c>
      <c r="Y33" s="388" t="n">
        <v>0.4653926625891583</v>
      </c>
      <c r="Z33" s="388" t="n">
        <v>0.4653926625891582</v>
      </c>
    </row>
    <row r="34" ht="13" customFormat="1" customHeight="1" s="322">
      <c r="A34" s="386" t="inlineStr">
        <is>
          <t>Farming/Agriculture</t>
        </is>
      </c>
      <c r="B34" s="387" t="n">
        <v>412</v>
      </c>
      <c r="C34" s="388" t="n">
        <v>0.09867820896</v>
      </c>
      <c r="D34" s="388" t="n">
        <v>0.05657699607220271</v>
      </c>
      <c r="E34" s="388" t="n">
        <v>0.06927760228400801</v>
      </c>
      <c r="F34" s="388" t="n">
        <v>0.2359126022220688</v>
      </c>
      <c r="G34" s="389" t="n">
        <v>0.6937784804985407</v>
      </c>
      <c r="H34" s="389" t="n">
        <v>0.892977523</v>
      </c>
      <c r="I34" s="388" t="n">
        <v>0.07946460642599999</v>
      </c>
      <c r="J34" s="388" t="n">
        <v>0.344788949</v>
      </c>
      <c r="K34" s="388" t="n">
        <v>0.0461</v>
      </c>
      <c r="L34" s="388" t="n">
        <v>0.3337539478879787</v>
      </c>
      <c r="M34" s="388" t="n">
        <v>0.06453945147307616</v>
      </c>
      <c r="N34" s="389" t="n">
        <v>1.41334230602247</v>
      </c>
      <c r="O34" s="389" t="n">
        <v>1.19627917806183</v>
      </c>
      <c r="P34" s="389" t="n">
        <v>13.07277541835334</v>
      </c>
      <c r="Q34" s="389" t="n">
        <v>20.67635929831174</v>
      </c>
      <c r="R34" s="389" t="n">
        <v>1.926608135680777</v>
      </c>
      <c r="S34" s="389" t="n">
        <v>51.72107482</v>
      </c>
      <c r="T34" s="388" t="n">
        <v>0.1496203805608232</v>
      </c>
      <c r="U34" s="388" t="n">
        <v>0.04472744371215343</v>
      </c>
      <c r="V34" s="388" t="n">
        <v>0.02626503291708458</v>
      </c>
      <c r="W34" s="388" t="n">
        <v>0.8677000759234462</v>
      </c>
      <c r="X34" s="388" t="n">
        <v>0.1032597750022045</v>
      </c>
      <c r="Y34" s="388" t="n">
        <v>0.3753659485205169</v>
      </c>
      <c r="Z34" s="388" t="n">
        <v>0.375365948520517</v>
      </c>
    </row>
    <row r="35" ht="13" customFormat="1" customHeight="1" s="322">
      <c r="A35" s="386" t="inlineStr">
        <is>
          <t>Financial Svcs. (Non-bank &amp; Insurance)</t>
        </is>
      </c>
      <c r="B35" s="387" t="n">
        <v>1030</v>
      </c>
      <c r="C35" s="388" t="n">
        <v>0.1542272404</v>
      </c>
      <c r="D35" s="388" t="n">
        <v>0.07531987911849941</v>
      </c>
      <c r="E35" s="388" t="n">
        <v>0.004005614591831603</v>
      </c>
      <c r="F35" s="388" t="n">
        <v>0.238335392592187</v>
      </c>
      <c r="G35" s="389" t="n">
        <v>0.1545167344474115</v>
      </c>
      <c r="H35" s="389" t="n">
        <v>0.821530556</v>
      </c>
      <c r="I35" s="388" t="n">
        <v>0.075034894472</v>
      </c>
      <c r="J35" s="388" t="n">
        <v>0.359757745</v>
      </c>
      <c r="K35" s="388" t="n">
        <v>0.0461</v>
      </c>
      <c r="L35" s="388" t="n">
        <v>0.8642890219120772</v>
      </c>
      <c r="M35" s="388" t="n">
        <v>0.0402132736305968</v>
      </c>
      <c r="N35" s="389" t="n">
        <v>0.06482249487052762</v>
      </c>
      <c r="O35" s="389" t="n">
        <v>16.26325987776898</v>
      </c>
      <c r="P35" s="389" t="n">
        <v>148.8930968817391</v>
      </c>
      <c r="Q35" s="389" t="inlineStr">
        <is>
          <t>NA</t>
        </is>
      </c>
      <c r="R35" s="389" t="n">
        <v>1.46478692944492</v>
      </c>
      <c r="S35" s="389" t="n">
        <v>125.5874652</v>
      </c>
      <c r="T35" s="388" t="inlineStr">
        <is>
          <t>NA</t>
        </is>
      </c>
      <c r="U35" s="388" t="n">
        <v>0.07266434776249299</v>
      </c>
      <c r="V35" s="388" t="n">
        <v>0.1017995622929643</v>
      </c>
      <c r="W35" s="388" t="n">
        <v>2.059435619731014</v>
      </c>
      <c r="X35" s="388" t="n">
        <v>0.2080604849258064</v>
      </c>
      <c r="Y35" s="388" t="n">
        <v>0.2277748808388084</v>
      </c>
      <c r="Z35" s="388" t="n">
        <v>0.2277748808388084</v>
      </c>
    </row>
    <row r="36" ht="13" customFormat="1" customHeight="1" s="322">
      <c r="A36" s="386" t="inlineStr">
        <is>
          <t>Food Processing</t>
        </is>
      </c>
      <c r="B36" s="387" t="n">
        <v>1270</v>
      </c>
      <c r="C36" s="388" t="n">
        <v>0.07048174009000001</v>
      </c>
      <c r="D36" s="388" t="n">
        <v>0.09082050014106501</v>
      </c>
      <c r="E36" s="388" t="n">
        <v>0.1398993025792195</v>
      </c>
      <c r="F36" s="388" t="n">
        <v>0.2526343390840574</v>
      </c>
      <c r="G36" s="389" t="n">
        <v>0.715795353830656</v>
      </c>
      <c r="H36" s="389" t="n">
        <v>0.81145831</v>
      </c>
      <c r="I36" s="388" t="n">
        <v>0.07441041522</v>
      </c>
      <c r="J36" s="388" t="n">
        <v>0.338141432</v>
      </c>
      <c r="K36" s="388" t="n">
        <v>0.0461</v>
      </c>
      <c r="L36" s="388" t="n">
        <v>0.1990263723188327</v>
      </c>
      <c r="M36" s="388" t="n">
        <v>0.0665160649672754</v>
      </c>
      <c r="N36" s="389" t="n">
        <v>1.850534927640794</v>
      </c>
      <c r="O36" s="389" t="n">
        <v>1.689359305732266</v>
      </c>
      <c r="P36" s="389" t="n">
        <v>13.01476097185881</v>
      </c>
      <c r="Q36" s="389" t="n">
        <v>18.41434921372656</v>
      </c>
      <c r="R36" s="389" t="n">
        <v>2.77462179878894</v>
      </c>
      <c r="S36" s="389" t="n">
        <v>45.32420511</v>
      </c>
      <c r="T36" s="388" t="n">
        <v>0.1051646350507161</v>
      </c>
      <c r="U36" s="388" t="n">
        <v>0.04334269456906267</v>
      </c>
      <c r="V36" s="388" t="n">
        <v>0.04739708435586842</v>
      </c>
      <c r="W36" s="388" t="n">
        <v>0.7307322996359702</v>
      </c>
      <c r="X36" s="388" t="n">
        <v>0.1215358231601269</v>
      </c>
      <c r="Y36" s="388" t="n">
        <v>0.5194881584083627</v>
      </c>
      <c r="Z36" s="388" t="n">
        <v>0.5194881584083627</v>
      </c>
    </row>
    <row r="37" ht="13" customFormat="1" customHeight="1" s="322">
      <c r="A37" s="386" t="inlineStr">
        <is>
          <t>Food Wholesalers</t>
        </is>
      </c>
      <c r="B37" s="387" t="n">
        <v>148</v>
      </c>
      <c r="C37" s="388" t="n">
        <v>0.1429478788</v>
      </c>
      <c r="D37" s="388" t="n">
        <v>0.02706722162576085</v>
      </c>
      <c r="E37" s="388" t="n">
        <v>0.1240011599611422</v>
      </c>
      <c r="F37" s="388" t="n">
        <v>0.2841866829411083</v>
      </c>
      <c r="G37" s="389" t="n">
        <v>0.6220548978656029</v>
      </c>
      <c r="H37" s="389" t="n">
        <v>0.835996544</v>
      </c>
      <c r="I37" s="388" t="n">
        <v>0.075931785728</v>
      </c>
      <c r="J37" s="388" t="n">
        <v>0.334391746</v>
      </c>
      <c r="K37" s="388" t="n">
        <v>0.0461</v>
      </c>
      <c r="L37" s="388" t="n">
        <v>0.3728617225523881</v>
      </c>
      <c r="M37" s="388" t="n">
        <v>0.06057502238624365</v>
      </c>
      <c r="N37" s="389" t="n">
        <v>5.605100113418781</v>
      </c>
      <c r="O37" s="389" t="n">
        <v>0.4610373106221478</v>
      </c>
      <c r="P37" s="389" t="n">
        <v>10.42662749783422</v>
      </c>
      <c r="Q37" s="389" t="n">
        <v>16.92360445293432</v>
      </c>
      <c r="R37" s="389" t="n">
        <v>1.939831570241158</v>
      </c>
      <c r="S37" s="389" t="n">
        <v>62.9319471</v>
      </c>
      <c r="T37" s="388" t="n">
        <v>0.04737914369809472</v>
      </c>
      <c r="U37" s="388" t="n">
        <v>0.01474431529740049</v>
      </c>
      <c r="V37" s="388" t="n">
        <v>0.008306173369475462</v>
      </c>
      <c r="W37" s="388" t="n">
        <v>0.2798028201080476</v>
      </c>
      <c r="X37" s="388" t="n">
        <v>0.1053544008777773</v>
      </c>
      <c r="Y37" s="388" t="n">
        <v>0.4743194806460393</v>
      </c>
      <c r="Z37" s="388" t="n">
        <v>0.4743194806460393</v>
      </c>
    </row>
    <row r="38" ht="13" customFormat="1" customHeight="1" s="322">
      <c r="A38" s="386" t="inlineStr">
        <is>
          <t>Furn/Home Furnishings</t>
        </is>
      </c>
      <c r="B38" s="387" t="n">
        <v>316</v>
      </c>
      <c r="C38" s="388" t="n">
        <v>0.06943668085</v>
      </c>
      <c r="D38" s="388" t="n">
        <v>0.08202877348024458</v>
      </c>
      <c r="E38" s="388" t="n">
        <v>0.1926161456396049</v>
      </c>
      <c r="F38" s="388" t="n">
        <v>0.1802965196558262</v>
      </c>
      <c r="G38" s="389" t="n">
        <v>0.9337853687961019</v>
      </c>
      <c r="H38" s="389" t="n">
        <v>0.962388298</v>
      </c>
      <c r="I38" s="388" t="n">
        <v>0.083768074476</v>
      </c>
      <c r="J38" s="388" t="n">
        <v>0.333988461</v>
      </c>
      <c r="K38" s="388" t="n">
        <v>0.0461</v>
      </c>
      <c r="L38" s="388" t="n">
        <v>0.1768358387870618</v>
      </c>
      <c r="M38" s="388" t="n">
        <v>0.07509913877754404</v>
      </c>
      <c r="N38" s="389" t="n">
        <v>2.80617405545999</v>
      </c>
      <c r="O38" s="389" t="n">
        <v>1.408341554345495</v>
      </c>
      <c r="P38" s="389" t="n">
        <v>11.94602418321375</v>
      </c>
      <c r="Q38" s="389" t="n">
        <v>17.28395230841258</v>
      </c>
      <c r="R38" s="389" t="n">
        <v>2.840308790391385</v>
      </c>
      <c r="S38" s="389" t="n">
        <v>58.12226916</v>
      </c>
      <c r="T38" s="388" t="n">
        <v>0.08048399297884569</v>
      </c>
      <c r="U38" s="388" t="n">
        <v>0.03380195318562905</v>
      </c>
      <c r="V38" s="388" t="n">
        <v>0.06037721219633133</v>
      </c>
      <c r="W38" s="388" t="n">
        <v>0.8619882975871226</v>
      </c>
      <c r="X38" s="388" t="n">
        <v>0.2083153323814594</v>
      </c>
      <c r="Y38" s="388" t="n">
        <v>0.4051392897783242</v>
      </c>
      <c r="Z38" s="388" t="n">
        <v>0.4051392897783241</v>
      </c>
    </row>
    <row r="39" ht="13" customFormat="1" customHeight="1" s="322">
      <c r="A39" s="386" t="inlineStr">
        <is>
          <t>Green &amp; Renewable Energy</t>
        </is>
      </c>
      <c r="B39" s="387" t="n">
        <v>181</v>
      </c>
      <c r="C39" s="388" t="n">
        <v>0.09293132529999999</v>
      </c>
      <c r="D39" s="388" t="n">
        <v>0.3586091735528975</v>
      </c>
      <c r="E39" s="388" t="n">
        <v>0.07460152276505455</v>
      </c>
      <c r="F39" s="388" t="n">
        <v>0.1745338048821872</v>
      </c>
      <c r="G39" s="389" t="n">
        <v>0.75692622224627</v>
      </c>
      <c r="H39" s="389" t="n">
        <v>1.153201883</v>
      </c>
      <c r="I39" s="388" t="n">
        <v>0.09559851674599999</v>
      </c>
      <c r="J39" s="388" t="n">
        <v>0.380770285</v>
      </c>
      <c r="K39" s="388" t="n">
        <v>0.0461</v>
      </c>
      <c r="L39" s="388" t="n">
        <v>0.4356593403100023</v>
      </c>
      <c r="M39" s="388" t="n">
        <v>0.06908736211071793</v>
      </c>
      <c r="N39" s="389" t="n">
        <v>0.2321969731672387</v>
      </c>
      <c r="O39" s="389" t="n">
        <v>7.369379479743789</v>
      </c>
      <c r="P39" s="389" t="n">
        <v>11.71465840599258</v>
      </c>
      <c r="Q39" s="389" t="n">
        <v>20.34980403374033</v>
      </c>
      <c r="R39" s="389" t="n">
        <v>1.648253401296245</v>
      </c>
      <c r="S39" s="389" t="n">
        <v>90.27241257999999</v>
      </c>
      <c r="T39" s="388" t="n">
        <v>-0.06577993794168338</v>
      </c>
      <c r="U39" s="388" t="n">
        <v>0.3026632836641732</v>
      </c>
      <c r="V39" s="388" t="n">
        <v>0.1085828833129707</v>
      </c>
      <c r="W39" s="388" t="n">
        <v>0.4626843315895822</v>
      </c>
      <c r="X39" s="388" t="n">
        <v>0.1011999847731053</v>
      </c>
      <c r="Y39" s="388" t="n">
        <v>0.9061797793777884</v>
      </c>
      <c r="Z39" s="388" t="n">
        <v>0.9061797793777884</v>
      </c>
    </row>
    <row r="40" ht="13" customFormat="1" customHeight="1" s="322">
      <c r="A40" s="386" t="inlineStr">
        <is>
          <t>Healthcare Products</t>
        </is>
      </c>
      <c r="B40" s="387" t="n">
        <v>696</v>
      </c>
      <c r="C40" s="388" t="n">
        <v>0.1155881622</v>
      </c>
      <c r="D40" s="388" t="n">
        <v>0.1537987727568696</v>
      </c>
      <c r="E40" s="388" t="n">
        <v>0.1529081621599061</v>
      </c>
      <c r="F40" s="388" t="n">
        <v>0.171786431939022</v>
      </c>
      <c r="G40" s="389" t="n">
        <v>1.002875992650533</v>
      </c>
      <c r="H40" s="389" t="n">
        <v>1.06541712</v>
      </c>
      <c r="I40" s="388" t="n">
        <v>0.09015586144</v>
      </c>
      <c r="J40" s="388" t="n">
        <v>0.499240525</v>
      </c>
      <c r="K40" s="388" t="n">
        <v>0.0491</v>
      </c>
      <c r="L40" s="388" t="n">
        <v>0.1387861400739681</v>
      </c>
      <c r="M40" s="388" t="n">
        <v>0.08277949031199001</v>
      </c>
      <c r="N40" s="389" t="n">
        <v>1.076419232392707</v>
      </c>
      <c r="O40" s="389" t="n">
        <v>4.095408404944676</v>
      </c>
      <c r="P40" s="389" t="n">
        <v>17.20530047042284</v>
      </c>
      <c r="Q40" s="389" t="n">
        <v>26.70678534310461</v>
      </c>
      <c r="R40" s="389" t="n">
        <v>3.668310090530094</v>
      </c>
      <c r="S40" s="389" t="n">
        <v>63.82263974</v>
      </c>
      <c r="T40" s="388" t="n">
        <v>0.2477777897283151</v>
      </c>
      <c r="U40" s="388" t="n">
        <v>0.04694449834694264</v>
      </c>
      <c r="V40" s="388" t="n">
        <v>0.09329650785273166</v>
      </c>
      <c r="W40" s="388" t="n">
        <v>0.8565823745095573</v>
      </c>
      <c r="X40" s="388" t="n">
        <v>0.1069392720153577</v>
      </c>
      <c r="Y40" s="388" t="n">
        <v>0.3985950148447852</v>
      </c>
      <c r="Z40" s="388" t="n">
        <v>0.3985950148447852</v>
      </c>
    </row>
    <row r="41" ht="13" customFormat="1" customHeight="1" s="322">
      <c r="A41" s="386" t="inlineStr">
        <is>
          <t>Healthcare Support Services</t>
        </is>
      </c>
      <c r="B41" s="387" t="n">
        <v>355</v>
      </c>
      <c r="C41" s="388" t="n">
        <v>0.1554689623</v>
      </c>
      <c r="D41" s="388" t="n">
        <v>0.04848475921830464</v>
      </c>
      <c r="E41" s="388" t="n">
        <v>0.3517923259375842</v>
      </c>
      <c r="F41" s="388" t="n">
        <v>0.3069240221222349</v>
      </c>
      <c r="G41" s="389" t="n">
        <v>0.8712994197323489</v>
      </c>
      <c r="H41" s="389" t="n">
        <v>0.961655923</v>
      </c>
      <c r="I41" s="388" t="n">
        <v>0.083722667226</v>
      </c>
      <c r="J41" s="388" t="n">
        <v>0.423862322</v>
      </c>
      <c r="K41" s="388" t="n">
        <v>0.0491</v>
      </c>
      <c r="L41" s="388" t="n">
        <v>0.2092603424420781</v>
      </c>
      <c r="M41" s="388" t="n">
        <v>0.07394686164896408</v>
      </c>
      <c r="N41" s="389" t="n">
        <v>8.769723968867456</v>
      </c>
      <c r="O41" s="389" t="n">
        <v>0.6906148245792806</v>
      </c>
      <c r="P41" s="389" t="n">
        <v>10.97264136894188</v>
      </c>
      <c r="Q41" s="389" t="n">
        <v>14.07954968869606</v>
      </c>
      <c r="R41" s="389" t="n">
        <v>2.897912784349101</v>
      </c>
      <c r="S41" s="389" t="n">
        <v>84.7230237</v>
      </c>
      <c r="T41" s="388" t="n">
        <v>-0.01849276878941409</v>
      </c>
      <c r="U41" s="388" t="n">
        <v>0.009810074111631983</v>
      </c>
      <c r="V41" s="388" t="n">
        <v>0.01967311447963628</v>
      </c>
      <c r="W41" s="388" t="n">
        <v>0.6772916943048561</v>
      </c>
      <c r="X41" s="388" t="n">
        <v>0.1475603088845082</v>
      </c>
      <c r="Y41" s="388" t="n">
        <v>0.2567120741140554</v>
      </c>
      <c r="Z41" s="388" t="n">
        <v>0.2567120741140554</v>
      </c>
    </row>
    <row r="42" ht="13" customFormat="1" customHeight="1" s="322">
      <c r="A42" s="386" t="inlineStr">
        <is>
          <t>Heathcare Information and Technology</t>
        </is>
      </c>
      <c r="B42" s="387" t="n">
        <v>339</v>
      </c>
      <c r="C42" s="388" t="n">
        <v>0.1074004375</v>
      </c>
      <c r="D42" s="388" t="n">
        <v>0.134435465094501</v>
      </c>
      <c r="E42" s="388" t="n">
        <v>0.1518185058147813</v>
      </c>
      <c r="F42" s="388" t="n">
        <v>0.1910358315776496</v>
      </c>
      <c r="G42" s="389" t="n">
        <v>0.9816134396348499</v>
      </c>
      <c r="H42" s="389" t="n">
        <v>1.049431259</v>
      </c>
      <c r="I42" s="388" t="n">
        <v>0.08916473805799999</v>
      </c>
      <c r="J42" s="388" t="n">
        <v>0.503753357</v>
      </c>
      <c r="K42" s="388" t="n">
        <v>0.0491</v>
      </c>
      <c r="L42" s="388" t="n">
        <v>0.1325484288743156</v>
      </c>
      <c r="M42" s="388" t="n">
        <v>0.08225126808379246</v>
      </c>
      <c r="N42" s="389" t="n">
        <v>1.218251392774634</v>
      </c>
      <c r="O42" s="389" t="n">
        <v>5.050501824392422</v>
      </c>
      <c r="P42" s="389" t="n">
        <v>21.64614546695103</v>
      </c>
      <c r="Q42" s="389" t="n">
        <v>37.42266516225938</v>
      </c>
      <c r="R42" s="389" t="n">
        <v>4.42531870109821</v>
      </c>
      <c r="S42" s="389" t="n">
        <v>124.8769532</v>
      </c>
      <c r="T42" s="388" t="n">
        <v>0.1961199902554719</v>
      </c>
      <c r="U42" s="388" t="n">
        <v>0.05148647543846502</v>
      </c>
      <c r="V42" s="388" t="n">
        <v>0.1067623644443155</v>
      </c>
      <c r="W42" s="388" t="n">
        <v>1.217482527222519</v>
      </c>
      <c r="X42" s="388" t="n">
        <v>0.1006819266895832</v>
      </c>
      <c r="Y42" s="388" t="n">
        <v>0.1698112911553474</v>
      </c>
      <c r="Z42" s="388" t="n">
        <v>0.1698112911553474</v>
      </c>
    </row>
    <row r="43" ht="13" customFormat="1" customHeight="1" s="322">
      <c r="A43" s="386" t="inlineStr">
        <is>
          <t>Homebuilding</t>
        </is>
      </c>
      <c r="B43" s="387" t="n">
        <v>171</v>
      </c>
      <c r="C43" s="388" t="n">
        <v>0.08773032519999999</v>
      </c>
      <c r="D43" s="388" t="n">
        <v>0.09512657087384764</v>
      </c>
      <c r="E43" s="388" t="n">
        <v>0.09542984875302361</v>
      </c>
      <c r="F43" s="388" t="n">
        <v>0.2828248934942383</v>
      </c>
      <c r="G43" s="389" t="n">
        <v>0.9299991939598784</v>
      </c>
      <c r="H43" s="389" t="n">
        <v>1.101658185</v>
      </c>
      <c r="I43" s="388" t="n">
        <v>0.09240280747</v>
      </c>
      <c r="J43" s="388" t="n">
        <v>0.386600094</v>
      </c>
      <c r="K43" s="388" t="n">
        <v>0.0461</v>
      </c>
      <c r="L43" s="388" t="n">
        <v>0.2821040742000439</v>
      </c>
      <c r="M43" s="388" t="n">
        <v>0.07613746587259358</v>
      </c>
      <c r="N43" s="389" t="n">
        <v>1.281647952317758</v>
      </c>
      <c r="O43" s="389" t="n">
        <v>1.338755868302806</v>
      </c>
      <c r="P43" s="389" t="n">
        <v>10.28510638305522</v>
      </c>
      <c r="Q43" s="389" t="n">
        <v>13.48783358081449</v>
      </c>
      <c r="R43" s="389" t="n">
        <v>1.860568135238809</v>
      </c>
      <c r="S43" s="389" t="n">
        <v>17.63384964</v>
      </c>
      <c r="T43" s="388" t="n">
        <v>0.6197734356629375</v>
      </c>
      <c r="U43" s="388" t="n">
        <v>0.009398257602582269</v>
      </c>
      <c r="V43" s="388" t="n">
        <v>0.01323824422282295</v>
      </c>
      <c r="W43" s="388" t="n">
        <v>0.5192760049545238</v>
      </c>
      <c r="X43" s="388" t="n">
        <v>0.1244795950033596</v>
      </c>
      <c r="Y43" s="388" t="n">
        <v>0.2303565573781961</v>
      </c>
      <c r="Z43" s="388" t="n">
        <v>0.230356557378196</v>
      </c>
    </row>
    <row r="44" ht="13" customFormat="1" customHeight="1" s="322">
      <c r="A44" s="386" t="inlineStr">
        <is>
          <t>Hospitals/Healthcare Facilities</t>
        </is>
      </c>
      <c r="B44" s="387" t="n">
        <v>198</v>
      </c>
      <c r="C44" s="388" t="n">
        <v>0.08466098361</v>
      </c>
      <c r="D44" s="388" t="n">
        <v>0.08248217058052409</v>
      </c>
      <c r="E44" s="388" t="n">
        <v>0.08377021733406184</v>
      </c>
      <c r="F44" s="388" t="n">
        <v>0.2525356878521957</v>
      </c>
      <c r="G44" s="389" t="n">
        <v>0.577423478147815</v>
      </c>
      <c r="H44" s="389" t="n">
        <v>0.9034676619999999</v>
      </c>
      <c r="I44" s="388" t="n">
        <v>0.08011499504399999</v>
      </c>
      <c r="J44" s="388" t="n">
        <v>0.377226684</v>
      </c>
      <c r="K44" s="388" t="n">
        <v>0.0461</v>
      </c>
      <c r="L44" s="388" t="n">
        <v>0.4469404365190208</v>
      </c>
      <c r="M44" s="388" t="n">
        <v>0.05983756441021764</v>
      </c>
      <c r="N44" s="389" t="n">
        <v>1.212457520463137</v>
      </c>
      <c r="O44" s="389" t="n">
        <v>1.905275470403275</v>
      </c>
      <c r="P44" s="389" t="n">
        <v>11.25480896943087</v>
      </c>
      <c r="Q44" s="389" t="n">
        <v>22.98465315947683</v>
      </c>
      <c r="R44" s="389" t="n">
        <v>3.107303023312239</v>
      </c>
      <c r="S44" s="389" t="n">
        <v>45.74741849</v>
      </c>
      <c r="T44" s="388" t="n">
        <v>0.07796636594885385</v>
      </c>
      <c r="U44" s="388" t="n">
        <v>0.06183784860191236</v>
      </c>
      <c r="V44" s="388" t="n">
        <v>0.04424677960945925</v>
      </c>
      <c r="W44" s="388" t="n">
        <v>1.278770242746743</v>
      </c>
      <c r="X44" s="388" t="n">
        <v>0.1017682087972503</v>
      </c>
      <c r="Y44" s="388" t="n">
        <v>0.4644648456525539</v>
      </c>
      <c r="Z44" s="388" t="n">
        <v>0.464464845652554</v>
      </c>
    </row>
    <row r="45" ht="13" customFormat="1" customHeight="1" s="322">
      <c r="A45" s="386" t="inlineStr">
        <is>
          <t>Hotel/Gaming</t>
        </is>
      </c>
      <c r="B45" s="387" t="n">
        <v>658</v>
      </c>
      <c r="C45" s="388" t="n">
        <v>0.1418157667</v>
      </c>
      <c r="D45" s="388" t="n">
        <v>0.1363538636071968</v>
      </c>
      <c r="E45" s="388" t="n">
        <v>0.0915369472796905</v>
      </c>
      <c r="F45" s="388" t="n">
        <v>0.1733231938821419</v>
      </c>
      <c r="G45" s="389" t="n">
        <v>0.8274290460630648</v>
      </c>
      <c r="H45" s="389" t="n">
        <v>0.983557879</v>
      </c>
      <c r="I45" s="388" t="n">
        <v>0.085080588498</v>
      </c>
      <c r="J45" s="388" t="n">
        <v>0.352588386</v>
      </c>
      <c r="K45" s="388" t="n">
        <v>0.0461</v>
      </c>
      <c r="L45" s="388" t="n">
        <v>0.2619853447451578</v>
      </c>
      <c r="M45" s="388" t="n">
        <v>0.07189355132404757</v>
      </c>
      <c r="N45" s="389" t="n">
        <v>0.7789746852563526</v>
      </c>
      <c r="O45" s="389" t="n">
        <v>3.140958776779187</v>
      </c>
      <c r="P45" s="389" t="n">
        <v>13.22874492190663</v>
      </c>
      <c r="Q45" s="389" t="n">
        <v>22.75106017938956</v>
      </c>
      <c r="R45" s="389" t="n">
        <v>2.680723468886607</v>
      </c>
      <c r="S45" s="389" t="n">
        <v>152.9703312</v>
      </c>
      <c r="T45" s="388" t="n">
        <v>-0.02448979758315243</v>
      </c>
      <c r="U45" s="388" t="n">
        <v>0.08904017877627517</v>
      </c>
      <c r="V45" s="388" t="n">
        <v>0.03252467183392369</v>
      </c>
      <c r="W45" s="388" t="n">
        <v>0.2825103299674576</v>
      </c>
      <c r="X45" s="388" t="n">
        <v>0.09524049114611259</v>
      </c>
      <c r="Y45" s="388" t="n">
        <v>0.5586189824140484</v>
      </c>
      <c r="Z45" s="388" t="n">
        <v>0.5586189824140484</v>
      </c>
    </row>
    <row r="46" ht="13" customFormat="1" customHeight="1" s="322">
      <c r="A46" s="386" t="inlineStr">
        <is>
          <t>Household Products</t>
        </is>
      </c>
      <c r="B46" s="387" t="n">
        <v>531</v>
      </c>
      <c r="C46" s="388" t="n">
        <v>0.08987979381000001</v>
      </c>
      <c r="D46" s="388" t="n">
        <v>0.1574154520123016</v>
      </c>
      <c r="E46" s="388" t="n">
        <v>0.2852534125753706</v>
      </c>
      <c r="F46" s="388" t="n">
        <v>0.2703251611886299</v>
      </c>
      <c r="G46" s="389" t="n">
        <v>0.9116592430815615</v>
      </c>
      <c r="H46" s="389" t="n">
        <v>0.980041454</v>
      </c>
      <c r="I46" s="388" t="n">
        <v>0.084862570148</v>
      </c>
      <c r="J46" s="388" t="n">
        <v>0.39931656</v>
      </c>
      <c r="K46" s="388" t="n">
        <v>0.0461</v>
      </c>
      <c r="L46" s="388" t="n">
        <v>0.1299031470527282</v>
      </c>
      <c r="M46" s="388" t="n">
        <v>0.07835221410793275</v>
      </c>
      <c r="N46" s="389" t="n">
        <v>2.125895914814361</v>
      </c>
      <c r="O46" s="389" t="n">
        <v>3.070711902773847</v>
      </c>
      <c r="P46" s="389" t="n">
        <v>16.23544856596322</v>
      </c>
      <c r="Q46" s="389" t="n">
        <v>19.50068754587667</v>
      </c>
      <c r="R46" s="389" t="n">
        <v>5.408264192031742</v>
      </c>
      <c r="S46" s="389" t="n">
        <v>61.99894649</v>
      </c>
      <c r="T46" s="388" t="n">
        <v>0.07015591635999051</v>
      </c>
      <c r="U46" s="388" t="n">
        <v>0.03943606969960881</v>
      </c>
      <c r="V46" s="388" t="n">
        <v>0.08544853195655547</v>
      </c>
      <c r="W46" s="388" t="n">
        <v>0.7735188239286979</v>
      </c>
      <c r="X46" s="388" t="n">
        <v>0.2525401903518236</v>
      </c>
      <c r="Y46" s="388" t="n">
        <v>0.4871203746727247</v>
      </c>
      <c r="Z46" s="388" t="n">
        <v>0.4871203746727246</v>
      </c>
    </row>
    <row r="47" ht="13" customFormat="1" customHeight="1" s="322">
      <c r="A47" s="386" t="inlineStr">
        <is>
          <t>Information Services</t>
        </is>
      </c>
      <c r="B47" s="387" t="n">
        <v>193</v>
      </c>
      <c r="C47" s="388" t="n">
        <v>0.1253055372</v>
      </c>
      <c r="D47" s="388" t="n">
        <v>0.2407970646063917</v>
      </c>
      <c r="E47" s="388" t="n">
        <v>0.3147510206394874</v>
      </c>
      <c r="F47" s="388" t="n">
        <v>0.3135540062865269</v>
      </c>
      <c r="G47" s="389" t="n">
        <v>1.233962792315755</v>
      </c>
      <c r="H47" s="389" t="n">
        <v>1.316351916</v>
      </c>
      <c r="I47" s="388" t="n">
        <v>0.105713818792</v>
      </c>
      <c r="J47" s="388" t="n">
        <v>0.406628451</v>
      </c>
      <c r="K47" s="388" t="n">
        <v>0.0491</v>
      </c>
      <c r="L47" s="388" t="n">
        <v>0.1335393429036823</v>
      </c>
      <c r="M47" s="388" t="n">
        <v>0.09653871128953079</v>
      </c>
      <c r="N47" s="389" t="n">
        <v>1.575456466247082</v>
      </c>
      <c r="O47" s="389" t="n">
        <v>5.644125860830955</v>
      </c>
      <c r="P47" s="389" t="n">
        <v>18.34382219145452</v>
      </c>
      <c r="Q47" s="389" t="n">
        <v>23.20027732419259</v>
      </c>
      <c r="R47" s="389" t="n">
        <v>7.138616579538084</v>
      </c>
      <c r="S47" s="389" t="n">
        <v>43.91017891</v>
      </c>
      <c r="T47" s="388" t="n">
        <v>-0.02737544479285037</v>
      </c>
      <c r="U47" s="388" t="n">
        <v>0.03207216396533502</v>
      </c>
      <c r="V47" s="388" t="n">
        <v>0.01382692240131951</v>
      </c>
      <c r="W47" s="388" t="n">
        <v>0.1437726900757395</v>
      </c>
      <c r="X47" s="388" t="n">
        <v>0.2097342814260733</v>
      </c>
      <c r="Y47" s="388" t="n">
        <v>0.2805268631141792</v>
      </c>
      <c r="Z47" s="388" t="n">
        <v>0.2805268631141792</v>
      </c>
    </row>
    <row r="48" ht="13" customFormat="1" customHeight="1" s="322">
      <c r="A48" s="386" t="inlineStr">
        <is>
          <t>Insurance (General)</t>
        </is>
      </c>
      <c r="B48" s="387" t="n">
        <v>220</v>
      </c>
      <c r="C48" s="388" t="n">
        <v>0.08922049080000001</v>
      </c>
      <c r="D48" s="388" t="n">
        <v>0.07922074715023297</v>
      </c>
      <c r="E48" s="388" t="n">
        <v>0.09963395576410058</v>
      </c>
      <c r="F48" s="388" t="n">
        <v>0.2471355916982269</v>
      </c>
      <c r="G48" s="389" t="n">
        <v>0.7165142312583136</v>
      </c>
      <c r="H48" s="389" t="n">
        <v>0.782227912</v>
      </c>
      <c r="I48" s="388" t="n">
        <v>0.07259813054399999</v>
      </c>
      <c r="J48" s="388" t="n">
        <v>0.27384119</v>
      </c>
      <c r="K48" s="388" t="n">
        <v>0.0461</v>
      </c>
      <c r="L48" s="388" t="n">
        <v>0.2921699650758877</v>
      </c>
      <c r="M48" s="388" t="n">
        <v>0.06153874925182659</v>
      </c>
      <c r="N48" s="389" t="n">
        <v>1.492778766855374</v>
      </c>
      <c r="O48" s="389" t="n">
        <v>0.9712963271323729</v>
      </c>
      <c r="P48" s="389" t="n">
        <v>9.906561585992522</v>
      </c>
      <c r="Q48" s="389" t="n">
        <v>11.96497200671885</v>
      </c>
      <c r="R48" s="389" t="n">
        <v>1.25780816254272</v>
      </c>
      <c r="S48" s="389" t="n">
        <v>24.69944165</v>
      </c>
      <c r="T48" s="388" t="n">
        <v>-0.04651584916206362</v>
      </c>
      <c r="U48" s="388" t="n">
        <v>0.008355809317624691</v>
      </c>
      <c r="V48" s="388" t="n">
        <v>0.00622445092608666</v>
      </c>
      <c r="W48" s="388" t="n">
        <v>0.2310580893485103</v>
      </c>
      <c r="X48" s="388" t="n">
        <v>0.07745973759697711</v>
      </c>
      <c r="Y48" s="388" t="n">
        <v>0.5057422162564877</v>
      </c>
      <c r="Z48" s="388" t="n">
        <v>0.5057422162564877</v>
      </c>
    </row>
    <row r="49" ht="13" customFormat="1" customHeight="1" s="322">
      <c r="A49" s="386" t="inlineStr">
        <is>
          <t>Insurance (Life)</t>
        </is>
      </c>
      <c r="B49" s="387" t="n">
        <v>128</v>
      </c>
      <c r="C49" s="388" t="n">
        <v>0.06911369565</v>
      </c>
      <c r="D49" s="388" t="n">
        <v>0.08286447140228383</v>
      </c>
      <c r="E49" s="388" t="n">
        <v>0.1096783523891283</v>
      </c>
      <c r="F49" s="388" t="n">
        <v>0.2402349387663054</v>
      </c>
      <c r="G49" s="389" t="n">
        <v>0.9960123500408945</v>
      </c>
      <c r="H49" s="389" t="n">
        <v>0.996172986</v>
      </c>
      <c r="I49" s="388" t="n">
        <v>0.085862725132</v>
      </c>
      <c r="J49" s="388" t="n">
        <v>0.27745576</v>
      </c>
      <c r="K49" s="388" t="n">
        <v>0.0461</v>
      </c>
      <c r="L49" s="388" t="n">
        <v>0.4109189842023973</v>
      </c>
      <c r="M49" s="388" t="n">
        <v>0.06485771566984219</v>
      </c>
      <c r="N49" s="389" t="n">
        <v>1.576470385703539</v>
      </c>
      <c r="O49" s="389" t="n">
        <v>0.9519327957212035</v>
      </c>
      <c r="P49" s="389" t="n">
        <v>9.426276076874807</v>
      </c>
      <c r="Q49" s="389" t="n">
        <v>10.48866696381524</v>
      </c>
      <c r="R49" s="389" t="n">
        <v>1.259444527373881</v>
      </c>
      <c r="S49" s="389" t="n">
        <v>53.33906877</v>
      </c>
      <c r="T49" s="388" t="n">
        <v>-0.9652877964416973</v>
      </c>
      <c r="U49" s="388" t="n">
        <v>0.006413318465410023</v>
      </c>
      <c r="V49" s="388" t="n">
        <v>0.004524798081321407</v>
      </c>
      <c r="W49" s="388" t="n">
        <v>0.1286538052016165</v>
      </c>
      <c r="X49" s="388" t="n">
        <v>0.0781752886519238</v>
      </c>
      <c r="Y49" s="388" t="n">
        <v>0.4108516032509877</v>
      </c>
      <c r="Z49" s="388" t="n">
        <v>0.4108516032509877</v>
      </c>
    </row>
    <row r="50" ht="13" customFormat="1" customHeight="1" s="322">
      <c r="A50" s="386" t="inlineStr">
        <is>
          <t>Insurance (Prop/Cas.)</t>
        </is>
      </c>
      <c r="B50" s="387" t="n">
        <v>225</v>
      </c>
      <c r="C50" s="388" t="n">
        <v>0.06975105882</v>
      </c>
      <c r="D50" s="388" t="n">
        <v>0.08198519934866944</v>
      </c>
      <c r="E50" s="388" t="n">
        <v>0.0923945951362261</v>
      </c>
      <c r="F50" s="388" t="n">
        <v>0.2322763709988039</v>
      </c>
      <c r="G50" s="389" t="n">
        <v>0.6394355018775597</v>
      </c>
      <c r="H50" s="389" t="n">
        <v>0.6960613879999999</v>
      </c>
      <c r="I50" s="388" t="n">
        <v>0.067255806056</v>
      </c>
      <c r="J50" s="388" t="n">
        <v>0.306472967</v>
      </c>
      <c r="K50" s="388" t="n">
        <v>0.0461</v>
      </c>
      <c r="L50" s="388" t="n">
        <v>0.2098714507935224</v>
      </c>
      <c r="M50" s="388" t="n">
        <v>0.0604328356492874</v>
      </c>
      <c r="N50" s="389" t="n">
        <v>1.358098583585439</v>
      </c>
      <c r="O50" s="389" t="n">
        <v>1.127972996950926</v>
      </c>
      <c r="P50" s="389" t="n">
        <v>11.10965304828657</v>
      </c>
      <c r="Q50" s="389" t="n">
        <v>13.26333258508898</v>
      </c>
      <c r="R50" s="389" t="n">
        <v>1.389075047785632</v>
      </c>
      <c r="S50" s="389" t="n">
        <v>27.50766842</v>
      </c>
      <c r="T50" s="388" t="n">
        <v>-0.3619839221606249</v>
      </c>
      <c r="U50" s="388" t="n">
        <v>0.005851196239947791</v>
      </c>
      <c r="V50" s="388" t="n">
        <v>0.005380003929437909</v>
      </c>
      <c r="W50" s="388" t="n">
        <v>0.2953233122992722</v>
      </c>
      <c r="X50" s="388" t="n">
        <v>0.08333836950732346</v>
      </c>
      <c r="Y50" s="388" t="n">
        <v>0.4035840204524649</v>
      </c>
      <c r="Z50" s="388" t="n">
        <v>0.4035840204524649</v>
      </c>
    </row>
    <row r="51" ht="13" customFormat="1" customHeight="1" s="322">
      <c r="A51" s="386" t="inlineStr">
        <is>
          <t>Investments &amp; Asset Management</t>
        </is>
      </c>
      <c r="B51" s="387" t="n">
        <v>1065</v>
      </c>
      <c r="C51" s="388" t="n">
        <v>0.12686074</v>
      </c>
      <c r="D51" s="388" t="n">
        <v>0.1926793631403892</v>
      </c>
      <c r="E51" s="388" t="n">
        <v>0.07046928480801715</v>
      </c>
      <c r="F51" s="388" t="n">
        <v>0.2062833546755274</v>
      </c>
      <c r="G51" s="389" t="n">
        <v>0.6568245976473156</v>
      </c>
      <c r="H51" s="389" t="n">
        <v>0.882462941</v>
      </c>
      <c r="I51" s="388" t="n">
        <v>0.078812702342</v>
      </c>
      <c r="J51" s="388" t="n">
        <v>0.383670171</v>
      </c>
      <c r="K51" s="388" t="n">
        <v>0.0461</v>
      </c>
      <c r="L51" s="388" t="n">
        <v>0.4174625936579791</v>
      </c>
      <c r="M51" s="388" t="n">
        <v>0.06041632297943927</v>
      </c>
      <c r="N51" s="389" t="n">
        <v>0.3977144603681359</v>
      </c>
      <c r="O51" s="389" t="n">
        <v>5.013680309897977</v>
      </c>
      <c r="P51" s="389" t="n">
        <v>21.35450306574549</v>
      </c>
      <c r="Q51" s="389" t="n">
        <v>23.85819133809159</v>
      </c>
      <c r="R51" s="389" t="n">
        <v>1.606273370230916</v>
      </c>
      <c r="S51" s="389" t="n">
        <v>158.4211404</v>
      </c>
      <c r="T51" s="388" t="inlineStr">
        <is>
          <t>NA</t>
        </is>
      </c>
      <c r="U51" s="388" t="n">
        <v>0.02189834117198724</v>
      </c>
      <c r="V51" s="388" t="n">
        <v>0.06843333865276266</v>
      </c>
      <c r="W51" s="388" t="n">
        <v>0.5273049640909052</v>
      </c>
      <c r="X51" s="388" t="n">
        <v>0.1223595203408427</v>
      </c>
      <c r="Y51" s="388" t="n">
        <v>0.3773411774457722</v>
      </c>
      <c r="Z51" s="388" t="n">
        <v>0.3773411774457722</v>
      </c>
    </row>
    <row r="52" ht="13" customFormat="1" customHeight="1" s="322">
      <c r="A52" s="386" t="inlineStr">
        <is>
          <t>Machinery</t>
        </is>
      </c>
      <c r="B52" s="387" t="n">
        <v>1309</v>
      </c>
      <c r="C52" s="388" t="n">
        <v>0.03835241026</v>
      </c>
      <c r="D52" s="388" t="n">
        <v>0.09945159259227218</v>
      </c>
      <c r="E52" s="388" t="n">
        <v>0.1303234330910505</v>
      </c>
      <c r="F52" s="388" t="n">
        <v>0.2561092044956029</v>
      </c>
      <c r="G52" s="389" t="n">
        <v>1.126653202513207</v>
      </c>
      <c r="H52" s="389" t="n">
        <v>1.17000631</v>
      </c>
      <c r="I52" s="388" t="n">
        <v>0.09664039122</v>
      </c>
      <c r="J52" s="388" t="n">
        <v>0.354393534</v>
      </c>
      <c r="K52" s="388" t="n">
        <v>0.0461</v>
      </c>
      <c r="L52" s="388" t="n">
        <v>0.1403249047256186</v>
      </c>
      <c r="M52" s="388" t="n">
        <v>0.08795500632929429</v>
      </c>
      <c r="N52" s="389" t="n">
        <v>1.603631894020441</v>
      </c>
      <c r="O52" s="389" t="n">
        <v>2.015392364711305</v>
      </c>
      <c r="P52" s="389" t="n">
        <v>14.23467027035978</v>
      </c>
      <c r="Q52" s="389" t="n">
        <v>20.06510707214812</v>
      </c>
      <c r="R52" s="389" t="n">
        <v>3.013348063654443</v>
      </c>
      <c r="S52" s="389" t="n">
        <v>43.76052846</v>
      </c>
      <c r="T52" s="388" t="n">
        <v>0.2475340494595199</v>
      </c>
      <c r="U52" s="388" t="n">
        <v>0.03658787216632184</v>
      </c>
      <c r="V52" s="388" t="n">
        <v>0.04536946534494249</v>
      </c>
      <c r="W52" s="388" t="n">
        <v>0.8424529537860307</v>
      </c>
      <c r="X52" s="388" t="n">
        <v>0.1221577882914794</v>
      </c>
      <c r="Y52" s="388" t="n">
        <v>0.3893557254368659</v>
      </c>
      <c r="Z52" s="388" t="n">
        <v>0.3893557254368659</v>
      </c>
    </row>
    <row r="53" ht="13" customFormat="1" customHeight="1" s="322">
      <c r="A53" s="386" t="inlineStr">
        <is>
          <t>Metals &amp; Mining</t>
        </is>
      </c>
      <c r="B53" s="387" t="n">
        <v>1594</v>
      </c>
      <c r="C53" s="388" t="n">
        <v>0.0250229375</v>
      </c>
      <c r="D53" s="388" t="n">
        <v>0.1246458488077894</v>
      </c>
      <c r="E53" s="388" t="n">
        <v>0.1185606910597554</v>
      </c>
      <c r="F53" s="388" t="n">
        <v>0.3262332052849412</v>
      </c>
      <c r="G53" s="389" t="n">
        <v>1.333842932769491</v>
      </c>
      <c r="H53" s="389" t="n">
        <v>1.551812996</v>
      </c>
      <c r="I53" s="388" t="n">
        <v>0.120312405752</v>
      </c>
      <c r="J53" s="388" t="n">
        <v>0.732494556</v>
      </c>
      <c r="K53" s="388" t="n">
        <v>0.0566</v>
      </c>
      <c r="L53" s="388" t="n">
        <v>0.2559732116081951</v>
      </c>
      <c r="M53" s="388" t="n">
        <v>0.1004353215980951</v>
      </c>
      <c r="N53" s="389" t="n">
        <v>0.9965438520503639</v>
      </c>
      <c r="O53" s="389" t="n">
        <v>1.820014401664638</v>
      </c>
      <c r="P53" s="389" t="n">
        <v>8.617026562486604</v>
      </c>
      <c r="Q53" s="389" t="n">
        <v>14.08919796923805</v>
      </c>
      <c r="R53" s="389" t="n">
        <v>1.893714426248833</v>
      </c>
      <c r="S53" s="389" t="n">
        <v>57.41613832</v>
      </c>
      <c r="T53" s="388" t="n">
        <v>0.09125280271925228</v>
      </c>
      <c r="U53" s="388" t="n">
        <v>0.07060422359923123</v>
      </c>
      <c r="V53" s="388" t="n">
        <v>0.02176457569060176</v>
      </c>
      <c r="W53" s="388" t="n">
        <v>0.4768187324815265</v>
      </c>
      <c r="X53" s="388" t="n">
        <v>0.09934858576580184</v>
      </c>
      <c r="Y53" s="388" t="n">
        <v>0.4412325129033908</v>
      </c>
      <c r="Z53" s="388" t="n">
        <v>0.4412325129033907</v>
      </c>
    </row>
    <row r="54" ht="13" customFormat="1" customHeight="1" s="322">
      <c r="A54" s="386" t="inlineStr">
        <is>
          <t>Office Equipment &amp; Services</t>
        </is>
      </c>
      <c r="B54" s="387" t="n">
        <v>157</v>
      </c>
      <c r="C54" s="388" t="n">
        <v>0.02570470085</v>
      </c>
      <c r="D54" s="388" t="n">
        <v>0.08554518944946497</v>
      </c>
      <c r="E54" s="388" t="n">
        <v>0.1385446971590766</v>
      </c>
      <c r="F54" s="388" t="n">
        <v>0.2959695010951353</v>
      </c>
      <c r="G54" s="389" t="n">
        <v>0.853767027369861</v>
      </c>
      <c r="H54" s="389" t="n">
        <v>0.95412823</v>
      </c>
      <c r="I54" s="388" t="n">
        <v>0.08325595026</v>
      </c>
      <c r="J54" s="388" t="n">
        <v>0.381713836</v>
      </c>
      <c r="K54" s="388" t="n">
        <v>0.0461</v>
      </c>
      <c r="L54" s="388" t="n">
        <v>0.2415253674701596</v>
      </c>
      <c r="M54" s="388" t="n">
        <v>0.07153946284158633</v>
      </c>
      <c r="N54" s="389" t="n">
        <v>1.97833914888528</v>
      </c>
      <c r="O54" s="389" t="n">
        <v>1.24626703398679</v>
      </c>
      <c r="P54" s="389" t="n">
        <v>9.122535048814404</v>
      </c>
      <c r="Q54" s="389" t="n">
        <v>14.48634175147731</v>
      </c>
      <c r="R54" s="389" t="n">
        <v>2.565729314603569</v>
      </c>
      <c r="S54" s="389" t="n">
        <v>49.87105646</v>
      </c>
      <c r="T54" s="388" t="n">
        <v>0.1230854733390195</v>
      </c>
      <c r="U54" s="388" t="n">
        <v>0.03651477888740155</v>
      </c>
      <c r="V54" s="388" t="n">
        <v>0.02886319620156541</v>
      </c>
      <c r="W54" s="388" t="n">
        <v>0.4689996036260066</v>
      </c>
      <c r="X54" s="388" t="n">
        <v>0.08108950166633898</v>
      </c>
      <c r="Y54" s="388" t="n">
        <v>0.5590295140440827</v>
      </c>
      <c r="Z54" s="388" t="n">
        <v>0.5590295140440827</v>
      </c>
    </row>
    <row r="55" ht="13" customFormat="1" customHeight="1" s="322">
      <c r="A55" s="386" t="inlineStr">
        <is>
          <t>Oil/Gas (Integrated)</t>
        </is>
      </c>
      <c r="B55" s="387" t="n">
        <v>48</v>
      </c>
      <c r="C55" s="388" t="n">
        <v>-0.02829342105</v>
      </c>
      <c r="D55" s="388" t="n">
        <v>0.05677090420856758</v>
      </c>
      <c r="E55" s="388" t="n">
        <v>0.04626322742221187</v>
      </c>
      <c r="F55" s="388" t="n">
        <v>0.2870841128528573</v>
      </c>
      <c r="G55" s="389" t="n">
        <v>1.220341787650444</v>
      </c>
      <c r="H55" s="389" t="n">
        <v>1.464006211</v>
      </c>
      <c r="I55" s="388" t="n">
        <v>0.114868385082</v>
      </c>
      <c r="J55" s="388" t="n">
        <v>0.278698676</v>
      </c>
      <c r="K55" s="388" t="n">
        <v>0.0461</v>
      </c>
      <c r="L55" s="388" t="n">
        <v>0.2741778946491772</v>
      </c>
      <c r="M55" s="388" t="n">
        <v>0.0929004803294519</v>
      </c>
      <c r="N55" s="389" t="n">
        <v>1.047405840424873</v>
      </c>
      <c r="O55" s="389" t="n">
        <v>1.156536983727221</v>
      </c>
      <c r="P55" s="389" t="n">
        <v>7.162390528528656</v>
      </c>
      <c r="Q55" s="389" t="n">
        <v>20.31155813651685</v>
      </c>
      <c r="R55" s="389" t="n">
        <v>1.168983869753335</v>
      </c>
      <c r="S55" s="389" t="n">
        <v>42.68400548</v>
      </c>
      <c r="T55" s="388" t="n">
        <v>0.02554370027979687</v>
      </c>
      <c r="U55" s="388" t="n">
        <v>0.0928475152455954</v>
      </c>
      <c r="V55" s="388" t="n">
        <v>0.009166737606887328</v>
      </c>
      <c r="W55" s="388" t="n">
        <v>0.3243981303238594</v>
      </c>
      <c r="X55" s="388" t="n">
        <v>0.06216988620533974</v>
      </c>
      <c r="Y55" s="388" t="n">
        <v>0.674524012923655</v>
      </c>
      <c r="Z55" s="388" t="n">
        <v>0.674524012923655</v>
      </c>
    </row>
    <row r="56" ht="13" customFormat="1" customHeight="1" s="322">
      <c r="A56" s="386" t="inlineStr">
        <is>
          <t>Oil/Gas (Production and Exploration)</t>
        </is>
      </c>
      <c r="B56" s="387" t="n">
        <v>928</v>
      </c>
      <c r="C56" s="388" t="n">
        <v>-0.00111018561</v>
      </c>
      <c r="D56" s="388" t="n">
        <v>0.08096414537404317</v>
      </c>
      <c r="E56" s="388" t="n">
        <v>0.02873340727721798</v>
      </c>
      <c r="F56" s="388" t="n">
        <v>0.1812467999516829</v>
      </c>
      <c r="G56" s="389" t="n">
        <v>1.326981809558509</v>
      </c>
      <c r="H56" s="389" t="n">
        <v>1.66673184</v>
      </c>
      <c r="I56" s="388" t="n">
        <v>0.12743737408</v>
      </c>
      <c r="J56" s="388" t="n">
        <v>0.708286719</v>
      </c>
      <c r="K56" s="388" t="n">
        <v>0.0566</v>
      </c>
      <c r="L56" s="388" t="n">
        <v>0.3037627978544795</v>
      </c>
      <c r="M56" s="388" t="n">
        <v>0.1016849855522806</v>
      </c>
      <c r="N56" s="389" t="n">
        <v>0.3676481206928912</v>
      </c>
      <c r="O56" s="389" t="n">
        <v>3.869663334369156</v>
      </c>
      <c r="P56" s="389" t="n">
        <v>8.47392469461758</v>
      </c>
      <c r="Q56" s="389" t="n">
        <v>46.40501689519519</v>
      </c>
      <c r="R56" s="389" t="n">
        <v>1.524863190173782</v>
      </c>
      <c r="S56" s="389" t="n">
        <v>84.75785969</v>
      </c>
      <c r="T56" s="388" t="n">
        <v>0.01100570993800042</v>
      </c>
      <c r="U56" s="388" t="n">
        <v>0.422984298866976</v>
      </c>
      <c r="V56" s="388" t="n">
        <v>0.1560813178347209</v>
      </c>
      <c r="W56" s="388" t="n">
        <v>3.279849983163394</v>
      </c>
      <c r="X56" s="388" t="n">
        <v>-0.006784666711343534</v>
      </c>
      <c r="Y56" s="388" t="n">
        <v>0.005570469380000001</v>
      </c>
      <c r="Z56" s="388" t="n">
        <v>0.005570469380000054</v>
      </c>
    </row>
    <row r="57" ht="13" customFormat="1" customHeight="1" s="322">
      <c r="A57" s="386" t="inlineStr">
        <is>
          <t>Oil/Gas Distribution</t>
        </is>
      </c>
      <c r="B57" s="387" t="n">
        <v>143</v>
      </c>
      <c r="C57" s="388" t="n">
        <v>0.1020587255</v>
      </c>
      <c r="D57" s="388" t="n">
        <v>0.1291427089283347</v>
      </c>
      <c r="E57" s="388" t="n">
        <v>0.06414536948813529</v>
      </c>
      <c r="F57" s="388" t="n">
        <v>0.2437210198955821</v>
      </c>
      <c r="G57" s="389" t="n">
        <v>1.080514726612119</v>
      </c>
      <c r="H57" s="389" t="n">
        <v>1.681048168</v>
      </c>
      <c r="I57" s="388" t="n">
        <v>0.128324986416</v>
      </c>
      <c r="J57" s="388" t="n">
        <v>0.398624978</v>
      </c>
      <c r="K57" s="388" t="n">
        <v>0.0461</v>
      </c>
      <c r="L57" s="388" t="n">
        <v>0.444141034705609</v>
      </c>
      <c r="M57" s="388" t="n">
        <v>0.08676252758185073</v>
      </c>
      <c r="N57" s="389" t="n">
        <v>0.5698529554775554</v>
      </c>
      <c r="O57" s="389" t="n">
        <v>2.965671958942016</v>
      </c>
      <c r="P57" s="389" t="n">
        <v>13.44806935067478</v>
      </c>
      <c r="Q57" s="389" t="n">
        <v>22.53409785929521</v>
      </c>
      <c r="R57" s="389" t="n">
        <v>1.562786948056866</v>
      </c>
      <c r="S57" s="389" t="n">
        <v>29.93418334</v>
      </c>
      <c r="T57" s="388" t="n">
        <v>0.02288786548105498</v>
      </c>
      <c r="U57" s="388" t="n">
        <v>0.1641617660524302</v>
      </c>
      <c r="V57" s="388" t="n">
        <v>0.0948525333357953</v>
      </c>
      <c r="W57" s="388" t="n">
        <v>1.053517338668438</v>
      </c>
      <c r="X57" s="388" t="n">
        <v>0.06978633236936707</v>
      </c>
      <c r="Y57" s="388" t="n">
        <v>1.121185522284656</v>
      </c>
      <c r="Z57" s="388" t="n">
        <v>1.121185522284656</v>
      </c>
    </row>
    <row r="58" ht="13" customFormat="1" customHeight="1" s="322">
      <c r="A58" s="386" t="inlineStr">
        <is>
          <t>Oilfield Svcs/Equip.</t>
        </is>
      </c>
      <c r="B58" s="387" t="n">
        <v>524</v>
      </c>
      <c r="C58" s="388" t="n">
        <v>-0.03458433702</v>
      </c>
      <c r="D58" s="388" t="n">
        <v>0.05293249621125062</v>
      </c>
      <c r="E58" s="388" t="n">
        <v>0.09145515354931605</v>
      </c>
      <c r="F58" s="388" t="n">
        <v>0.2613084473654141</v>
      </c>
      <c r="G58" s="389" t="n">
        <v>1.172195960965597</v>
      </c>
      <c r="H58" s="389" t="n">
        <v>1.418245619</v>
      </c>
      <c r="I58" s="388" t="n">
        <v>0.112031228378</v>
      </c>
      <c r="J58" s="388" t="n">
        <v>0.474180005</v>
      </c>
      <c r="K58" s="388" t="n">
        <v>0.0491</v>
      </c>
      <c r="L58" s="388" t="n">
        <v>0.2800116720713665</v>
      </c>
      <c r="M58" s="388" t="n">
        <v>0.09102347634016035</v>
      </c>
      <c r="N58" s="389" t="n">
        <v>1.927679114976462</v>
      </c>
      <c r="O58" s="389" t="n">
        <v>0.9493003811287227</v>
      </c>
      <c r="P58" s="389" t="n">
        <v>9.516737905861481</v>
      </c>
      <c r="Q58" s="389" t="n">
        <v>17.15852070134393</v>
      </c>
      <c r="R58" s="389" t="n">
        <v>1.735519268191433</v>
      </c>
      <c r="S58" s="389" t="n">
        <v>51.70649875</v>
      </c>
      <c r="T58" s="388" t="n">
        <v>0.0646124278580089</v>
      </c>
      <c r="U58" s="388" t="n">
        <v>0.03544677976734813</v>
      </c>
      <c r="V58" s="388" t="n">
        <v>0.01193119646478173</v>
      </c>
      <c r="W58" s="388" t="n">
        <v>0.6432953952265235</v>
      </c>
      <c r="X58" s="388" t="n">
        <v>0.07008902473171277</v>
      </c>
      <c r="Y58" s="388" t="n">
        <v>0.7453322917133153</v>
      </c>
      <c r="Z58" s="388" t="n">
        <v>0.7453322917133153</v>
      </c>
    </row>
    <row r="59" ht="13" customFormat="1" customHeight="1" s="322">
      <c r="A59" s="386" t="inlineStr">
        <is>
          <t>Packaging &amp; Container</t>
        </is>
      </c>
      <c r="B59" s="387" t="n">
        <v>390</v>
      </c>
      <c r="C59" s="388" t="n">
        <v>0.05759707483</v>
      </c>
      <c r="D59" s="388" t="n">
        <v>0.09054987590935794</v>
      </c>
      <c r="E59" s="388" t="n">
        <v>0.1204309174536019</v>
      </c>
      <c r="F59" s="388" t="n">
        <v>0.2526968284617606</v>
      </c>
      <c r="G59" s="389" t="n">
        <v>0.6198380372865312</v>
      </c>
      <c r="H59" s="389" t="n">
        <v>0.78632057</v>
      </c>
      <c r="I59" s="388" t="n">
        <v>0.07285187534</v>
      </c>
      <c r="J59" s="388" t="n">
        <v>0.322641371</v>
      </c>
      <c r="K59" s="388" t="n">
        <v>0.0461</v>
      </c>
      <c r="L59" s="388" t="n">
        <v>0.3048658196030836</v>
      </c>
      <c r="M59" s="388" t="n">
        <v>0.06123456533047554</v>
      </c>
      <c r="N59" s="389" t="n">
        <v>1.637971860430712</v>
      </c>
      <c r="O59" s="389" t="n">
        <v>1.525525325899405</v>
      </c>
      <c r="P59" s="389" t="n">
        <v>10.24769707100081</v>
      </c>
      <c r="Q59" s="389" t="n">
        <v>16.75481909855476</v>
      </c>
      <c r="R59" s="389" t="n">
        <v>2.745448310243122</v>
      </c>
      <c r="S59" s="389" t="n">
        <v>27.28227983</v>
      </c>
      <c r="T59" s="388" t="n">
        <v>0.1314794637958478</v>
      </c>
      <c r="U59" s="388" t="n">
        <v>0.05779159883101612</v>
      </c>
      <c r="V59" s="388" t="n">
        <v>0.06500403658484256</v>
      </c>
      <c r="W59" s="388" t="n">
        <v>1.069722290605986</v>
      </c>
      <c r="X59" s="388" t="n">
        <v>0.1459467926878385</v>
      </c>
      <c r="Y59" s="388" t="n">
        <v>0.4163054150971542</v>
      </c>
      <c r="Z59" s="388" t="n">
        <v>0.4163054150971541</v>
      </c>
    </row>
    <row r="60" ht="13" customFormat="1" customHeight="1" s="322">
      <c r="A60" s="386" t="inlineStr">
        <is>
          <t>Paper/Forest Products</t>
        </is>
      </c>
      <c r="B60" s="387" t="n">
        <v>295</v>
      </c>
      <c r="C60" s="388" t="n">
        <v>0.0332739749</v>
      </c>
      <c r="D60" s="388" t="n">
        <v>0.08854789117548054</v>
      </c>
      <c r="E60" s="388" t="n">
        <v>0.07743271469278711</v>
      </c>
      <c r="F60" s="388" t="n">
        <v>0.221240683152542</v>
      </c>
      <c r="G60" s="389" t="n">
        <v>0.804934351007082</v>
      </c>
      <c r="H60" s="389" t="n">
        <v>1.037892376</v>
      </c>
      <c r="I60" s="388" t="n">
        <v>0.088449327312</v>
      </c>
      <c r="J60" s="388" t="n">
        <v>0.360061065</v>
      </c>
      <c r="K60" s="388" t="n">
        <v>0.0461</v>
      </c>
      <c r="L60" s="388" t="n">
        <v>0.3291024075375985</v>
      </c>
      <c r="M60" s="388" t="n">
        <v>0.07077529148680589</v>
      </c>
      <c r="N60" s="389" t="n">
        <v>1.032148374988128</v>
      </c>
      <c r="O60" s="389" t="n">
        <v>1.424819471343044</v>
      </c>
      <c r="P60" s="389" t="n">
        <v>9.253257868250635</v>
      </c>
      <c r="Q60" s="389" t="n">
        <v>15.86280911663491</v>
      </c>
      <c r="R60" s="389" t="n">
        <v>1.61432181248899</v>
      </c>
      <c r="S60" s="389" t="n">
        <v>297.1126241</v>
      </c>
      <c r="T60" s="388" t="n">
        <v>0.1803947953030234</v>
      </c>
      <c r="U60" s="388" t="n">
        <v>0.07061994534289945</v>
      </c>
      <c r="V60" s="388" t="n">
        <v>0.03963469019899057</v>
      </c>
      <c r="W60" s="388" t="n">
        <v>0.6212444921432004</v>
      </c>
      <c r="X60" s="388" t="n">
        <v>0.09319348561999116</v>
      </c>
      <c r="Y60" s="388" t="n">
        <v>0.4197048336619426</v>
      </c>
      <c r="Z60" s="388" t="n">
        <v>0.4197048336619426</v>
      </c>
    </row>
    <row r="61" ht="13" customFormat="1" customHeight="1" s="322">
      <c r="A61" s="386" t="inlineStr">
        <is>
          <t>Power</t>
        </is>
      </c>
      <c r="B61" s="387" t="n">
        <v>563</v>
      </c>
      <c r="C61" s="388" t="n">
        <v>0.06127903153</v>
      </c>
      <c r="D61" s="388" t="n">
        <v>0.12101678415489</v>
      </c>
      <c r="E61" s="388" t="n">
        <v>0.06354435827351233</v>
      </c>
      <c r="F61" s="388" t="n">
        <v>0.2026150484818826</v>
      </c>
      <c r="G61" s="389" t="n">
        <v>0.5771357441906974</v>
      </c>
      <c r="H61" s="389" t="n">
        <v>0.928569302</v>
      </c>
      <c r="I61" s="388" t="n">
        <v>0.081671296724</v>
      </c>
      <c r="J61" s="388" t="n">
        <v>0.283703835</v>
      </c>
      <c r="K61" s="388" t="n">
        <v>0.0461</v>
      </c>
      <c r="L61" s="388" t="n">
        <v>0.4736900376641445</v>
      </c>
      <c r="M61" s="388" t="n">
        <v>0.05944304746469109</v>
      </c>
      <c r="N61" s="389" t="n">
        <v>0.6452703512037938</v>
      </c>
      <c r="O61" s="389" t="n">
        <v>2.143453309045754</v>
      </c>
      <c r="P61" s="389" t="n">
        <v>9.37341079661887</v>
      </c>
      <c r="Q61" s="389" t="n">
        <v>17.6502775595928</v>
      </c>
      <c r="R61" s="389" t="n">
        <v>1.350494652421199</v>
      </c>
      <c r="S61" s="389" t="n">
        <v>31.32070916</v>
      </c>
      <c r="T61" s="388" t="n">
        <v>0.01222544844779032</v>
      </c>
      <c r="U61" s="388" t="n">
        <v>0.1559625997375216</v>
      </c>
      <c r="V61" s="388" t="n">
        <v>0.08743322503213145</v>
      </c>
      <c r="W61" s="388" t="n">
        <v>1.007146624778748</v>
      </c>
      <c r="X61" s="388" t="n">
        <v>0.1056534457747625</v>
      </c>
      <c r="Y61" s="388" t="n">
        <v>0.5459122145928685</v>
      </c>
      <c r="Z61" s="388" t="n">
        <v>0.5459122145928685</v>
      </c>
    </row>
    <row r="62" ht="13" customFormat="1" customHeight="1" s="322">
      <c r="A62" s="386" t="inlineStr">
        <is>
          <t>Precious Metals</t>
        </is>
      </c>
      <c r="B62" s="387" t="n">
        <v>961</v>
      </c>
      <c r="C62" s="388" t="n">
        <v>0.05786497835</v>
      </c>
      <c r="D62" s="388" t="n">
        <v>0.1224386895103286</v>
      </c>
      <c r="E62" s="388" t="n">
        <v>0.07830331886653073</v>
      </c>
      <c r="F62" s="388" t="n">
        <v>0.2755044784742131</v>
      </c>
      <c r="G62" s="389" t="n">
        <v>1.223551525680583</v>
      </c>
      <c r="H62" s="389" t="n">
        <v>1.332910134</v>
      </c>
      <c r="I62" s="388" t="n">
        <v>0.106740428308</v>
      </c>
      <c r="J62" s="388" t="n">
        <v>0.8696489630000001</v>
      </c>
      <c r="K62" s="388" t="n">
        <v>0.0791</v>
      </c>
      <c r="L62" s="388" t="n">
        <v>0.183953749424992</v>
      </c>
      <c r="M62" s="388" t="n">
        <v>0.09807202023399571</v>
      </c>
      <c r="N62" s="389" t="n">
        <v>0.6632037183581244</v>
      </c>
      <c r="O62" s="389" t="n">
        <v>2.703867067589685</v>
      </c>
      <c r="P62" s="389" t="n">
        <v>8.52155756115163</v>
      </c>
      <c r="Q62" s="389" t="n">
        <v>20.47129913023388</v>
      </c>
      <c r="R62" s="389" t="n">
        <v>1.704524114491906</v>
      </c>
      <c r="S62" s="389" t="n">
        <v>39.29704561</v>
      </c>
      <c r="T62" s="388" t="n">
        <v>0.13055827694098</v>
      </c>
      <c r="U62" s="388" t="n">
        <v>0.1896426390794559</v>
      </c>
      <c r="V62" s="388" t="n">
        <v>0.09687193441245473</v>
      </c>
      <c r="W62" s="388" t="n">
        <v>1.295890601056805</v>
      </c>
      <c r="X62" s="388" t="n">
        <v>0.04293637303422908</v>
      </c>
      <c r="Y62" s="388" t="n">
        <v>0.7146699815220867</v>
      </c>
      <c r="Z62" s="388" t="n">
        <v>0.7146699815220867</v>
      </c>
    </row>
    <row r="63" ht="13" customFormat="1" customHeight="1" s="322">
      <c r="A63" s="386" t="inlineStr">
        <is>
          <t>Publishing &amp; Newspapers</t>
        </is>
      </c>
      <c r="B63" s="387" t="n">
        <v>371</v>
      </c>
      <c r="C63" s="388" t="n">
        <v>-0.00295736434</v>
      </c>
      <c r="D63" s="388" t="n">
        <v>0.07167105843906059</v>
      </c>
      <c r="E63" s="388" t="n">
        <v>0.1005460081328946</v>
      </c>
      <c r="F63" s="388" t="n">
        <v>0.2412129055089243</v>
      </c>
      <c r="G63" s="389" t="n">
        <v>0.8962788266607991</v>
      </c>
      <c r="H63" s="389" t="n">
        <v>0.97585724</v>
      </c>
      <c r="I63" s="388" t="n">
        <v>0.08460314887999999</v>
      </c>
      <c r="J63" s="388" t="n">
        <v>0.394374863</v>
      </c>
      <c r="K63" s="388" t="n">
        <v>0.0461</v>
      </c>
      <c r="L63" s="388" t="n">
        <v>0.2212565871279351</v>
      </c>
      <c r="M63" s="388" t="n">
        <v>0.07357183113454938</v>
      </c>
      <c r="N63" s="389" t="n">
        <v>1.64985843761606</v>
      </c>
      <c r="O63" s="389" t="n">
        <v>1.293248409594002</v>
      </c>
      <c r="P63" s="389" t="n">
        <v>9.938758760744063</v>
      </c>
      <c r="Q63" s="389" t="n">
        <v>17.34575537139868</v>
      </c>
      <c r="R63" s="389" t="n">
        <v>1.705144621865619</v>
      </c>
      <c r="S63" s="389" t="n">
        <v>79.45068946000001</v>
      </c>
      <c r="T63" s="388" t="n">
        <v>0.1107049505912538</v>
      </c>
      <c r="U63" s="388" t="n">
        <v>0.03019338857256891</v>
      </c>
      <c r="V63" s="388" t="n">
        <v>0.02006814800146486</v>
      </c>
      <c r="W63" s="388" t="n">
        <v>0.3810372736956916</v>
      </c>
      <c r="X63" s="388" t="n">
        <v>0.008593553326854388</v>
      </c>
      <c r="Y63" s="388" t="n">
        <v>4.714049629934741</v>
      </c>
      <c r="Z63" s="388" t="n">
        <v>4.714049629934741</v>
      </c>
    </row>
    <row r="64" ht="13" customFormat="1" customHeight="1" s="322">
      <c r="A64" s="386" t="inlineStr">
        <is>
          <t>R.E.I.T.</t>
        </is>
      </c>
      <c r="B64" s="387" t="n">
        <v>714</v>
      </c>
      <c r="C64" s="388" t="n">
        <v>0.1168769565</v>
      </c>
      <c r="D64" s="388" t="n">
        <v>0.3176209468039644</v>
      </c>
      <c r="E64" s="388" t="n">
        <v>0.03699299201998982</v>
      </c>
      <c r="F64" s="388" t="n">
        <v>0.03064261607165915</v>
      </c>
      <c r="G64" s="389" t="n">
        <v>0.4462955568787683</v>
      </c>
      <c r="H64" s="389" t="n">
        <v>0.675857778</v>
      </c>
      <c r="I64" s="388" t="n">
        <v>0.066003182236</v>
      </c>
      <c r="J64" s="388" t="n">
        <v>0.237168378</v>
      </c>
      <c r="K64" s="388" t="n">
        <v>0.0411</v>
      </c>
      <c r="L64" s="388" t="n">
        <v>0.4219014728603944</v>
      </c>
      <c r="M64" s="388" t="n">
        <v>0.05122561389505812</v>
      </c>
      <c r="N64" s="389" t="n">
        <v>0.119716961632131</v>
      </c>
      <c r="O64" s="389" t="n">
        <v>12.19623483955351</v>
      </c>
      <c r="P64" s="389" t="n">
        <v>21.41488610142309</v>
      </c>
      <c r="Q64" s="389" t="n">
        <v>34.31758061129752</v>
      </c>
      <c r="R64" s="389" t="n">
        <v>1.584588216855663</v>
      </c>
      <c r="S64" s="389" t="n">
        <v>112.516243</v>
      </c>
      <c r="T64" s="388" t="n">
        <v>0.3869420332127924</v>
      </c>
      <c r="U64" s="388" t="n">
        <v>0.06463056389097432</v>
      </c>
      <c r="V64" s="388" t="n">
        <v>0.0210252056074184</v>
      </c>
      <c r="W64" s="388" t="n">
        <v>0.1127686308249914</v>
      </c>
      <c r="X64" s="388" t="n">
        <v>0.1009200028239207</v>
      </c>
      <c r="Y64" s="388" t="n">
        <v>0.7478252284275276</v>
      </c>
      <c r="Z64" s="388" t="n">
        <v>0.7478252284275276</v>
      </c>
    </row>
    <row r="65" ht="13" customFormat="1" customHeight="1" s="322">
      <c r="A65" s="386" t="inlineStr">
        <is>
          <t>Real Estate (Development)</t>
        </is>
      </c>
      <c r="B65" s="387" t="n">
        <v>784</v>
      </c>
      <c r="C65" s="388" t="n">
        <v>0.1422046403</v>
      </c>
      <c r="D65" s="388" t="n">
        <v>0.1805920239299021</v>
      </c>
      <c r="E65" s="388" t="n">
        <v>0.07950431440924877</v>
      </c>
      <c r="F65" s="388" t="n">
        <v>0.3368167811318198</v>
      </c>
      <c r="G65" s="389" t="n">
        <v>0.7626528235380685</v>
      </c>
      <c r="H65" s="389" t="n">
        <v>1.147271237</v>
      </c>
      <c r="I65" s="388" t="n">
        <v>0.09523081669399999</v>
      </c>
      <c r="J65" s="388" t="n">
        <v>0.325100929</v>
      </c>
      <c r="K65" s="388" t="n">
        <v>0.0461</v>
      </c>
      <c r="L65" s="388" t="n">
        <v>0.5217646938360756</v>
      </c>
      <c r="M65" s="388" t="n">
        <v>0.06367175047110558</v>
      </c>
      <c r="N65" s="389" t="n">
        <v>0.5435809907875635</v>
      </c>
      <c r="O65" s="389" t="n">
        <v>2.676874019322231</v>
      </c>
      <c r="P65" s="389" t="n">
        <v>13.19650560081205</v>
      </c>
      <c r="Q65" s="389" t="n">
        <v>14.21470512124334</v>
      </c>
      <c r="R65" s="389" t="n">
        <v>1.161744328013446</v>
      </c>
      <c r="S65" s="389" t="n">
        <v>203.7720123</v>
      </c>
      <c r="T65" s="388" t="n">
        <v>1.569163102257213</v>
      </c>
      <c r="U65" s="388" t="n">
        <v>0.02830141293727954</v>
      </c>
      <c r="V65" s="388" t="n">
        <v>0.07850291951322787</v>
      </c>
      <c r="W65" s="388" t="n">
        <v>0.7815032219091252</v>
      </c>
      <c r="X65" s="388" t="n">
        <v>0.1189357491824832</v>
      </c>
      <c r="Y65" s="388" t="n">
        <v>0.5377364644934997</v>
      </c>
      <c r="Z65" s="388" t="n">
        <v>0.5377364644934997</v>
      </c>
    </row>
    <row r="66" ht="13" customFormat="1" customHeight="1" s="322">
      <c r="A66" s="386" t="inlineStr">
        <is>
          <t>Real Estate (General/Diversified)</t>
        </is>
      </c>
      <c r="B66" s="387" t="n">
        <v>415</v>
      </c>
      <c r="C66" s="388" t="n">
        <v>0.1357896667</v>
      </c>
      <c r="D66" s="388" t="n">
        <v>0.2096626445557897</v>
      </c>
      <c r="E66" s="388" t="n">
        <v>0.05429046235187843</v>
      </c>
      <c r="F66" s="388" t="n">
        <v>0.2017157187463246</v>
      </c>
      <c r="G66" s="389" t="n">
        <v>0.7756004929769235</v>
      </c>
      <c r="H66" s="389" t="n">
        <v>1.091719893</v>
      </c>
      <c r="I66" s="388" t="n">
        <v>0.091786633366</v>
      </c>
      <c r="J66" s="388" t="n">
        <v>0.326585049</v>
      </c>
      <c r="K66" s="388" t="n">
        <v>0.0461</v>
      </c>
      <c r="L66" s="388" t="n">
        <v>0.4269981165189958</v>
      </c>
      <c r="M66" s="388" t="n">
        <v>0.06743020674447731</v>
      </c>
      <c r="N66" s="389" t="n">
        <v>0.30408948498413</v>
      </c>
      <c r="O66" s="389" t="n">
        <v>3.494556636708794</v>
      </c>
      <c r="P66" s="389" t="n">
        <v>13.08234221748941</v>
      </c>
      <c r="Q66" s="389" t="n">
        <v>16.18235343219454</v>
      </c>
      <c r="R66" s="389" t="n">
        <v>0.8769850590295051</v>
      </c>
      <c r="S66" s="389" t="n">
        <v>49.92906374</v>
      </c>
      <c r="T66" s="388" t="n">
        <v>0.71215750375105</v>
      </c>
      <c r="U66" s="388" t="n">
        <v>0.0825012428217418</v>
      </c>
      <c r="V66" s="388" t="n">
        <v>0.1049062311266127</v>
      </c>
      <c r="W66" s="388" t="n">
        <v>0.4752564463685496</v>
      </c>
      <c r="X66" s="388" t="n">
        <v>0.09010865811060664</v>
      </c>
      <c r="Y66" s="388" t="n">
        <v>0.3027700440376461</v>
      </c>
      <c r="Z66" s="388" t="n">
        <v>0.3027700440376462</v>
      </c>
    </row>
    <row r="67" ht="13" customFormat="1" customHeight="1" s="322">
      <c r="A67" s="386" t="inlineStr">
        <is>
          <t>Real Estate (Operations &amp; Services)</t>
        </is>
      </c>
      <c r="B67" s="387" t="n">
        <v>628</v>
      </c>
      <c r="C67" s="388" t="n">
        <v>0.08784066998000001</v>
      </c>
      <c r="D67" s="388" t="n">
        <v>0.2785648884092847</v>
      </c>
      <c r="E67" s="388" t="n">
        <v>0.05434201633628713</v>
      </c>
      <c r="F67" s="388" t="n">
        <v>0.1997736001100683</v>
      </c>
      <c r="G67" s="389" t="n">
        <v>0.6431069067574641</v>
      </c>
      <c r="H67" s="389" t="n">
        <v>0.900449123</v>
      </c>
      <c r="I67" s="388" t="n">
        <v>0.079927845626</v>
      </c>
      <c r="J67" s="388" t="n">
        <v>0.328324756</v>
      </c>
      <c r="K67" s="388" t="n">
        <v>0.0461</v>
      </c>
      <c r="L67" s="388" t="n">
        <v>0.3844205413480255</v>
      </c>
      <c r="M67" s="388" t="n">
        <v>0.06255885077051739</v>
      </c>
      <c r="N67" s="389" t="n">
        <v>0.2259296697754131</v>
      </c>
      <c r="O67" s="389" t="n">
        <v>6.393015608548242</v>
      </c>
      <c r="P67" s="389" t="n">
        <v>18.22606268540498</v>
      </c>
      <c r="Q67" s="389" t="n">
        <v>21.50896310097086</v>
      </c>
      <c r="R67" s="389" t="n">
        <v>1.171508778569697</v>
      </c>
      <c r="S67" s="389" t="n">
        <v>56.33280663</v>
      </c>
      <c r="T67" s="388" t="n">
        <v>0.1972815994310324</v>
      </c>
      <c r="U67" s="388" t="n">
        <v>0.05347012566584753</v>
      </c>
      <c r="V67" s="388" t="n">
        <v>0.09216524260530769</v>
      </c>
      <c r="W67" s="388" t="n">
        <v>0.5087541050040065</v>
      </c>
      <c r="X67" s="388" t="n">
        <v>0.1488386671288439</v>
      </c>
      <c r="Y67" s="388" t="n">
        <v>0.2421272386221124</v>
      </c>
      <c r="Z67" s="388" t="n">
        <v>0.2421272386221124</v>
      </c>
    </row>
    <row r="68" ht="13" customFormat="1" customHeight="1" s="322">
      <c r="A68" s="386" t="inlineStr">
        <is>
          <t>Recreation</t>
        </is>
      </c>
      <c r="B68" s="387" t="n">
        <v>321</v>
      </c>
      <c r="C68" s="388" t="n">
        <v>0.02943923445</v>
      </c>
      <c r="D68" s="388" t="n">
        <v>0.1078948594787982</v>
      </c>
      <c r="E68" s="388" t="n">
        <v>0.100805324861061</v>
      </c>
      <c r="F68" s="388" t="n">
        <v>0.3048365334651246</v>
      </c>
      <c r="G68" s="389" t="n">
        <v>0.8153318358837881</v>
      </c>
      <c r="H68" s="389" t="n">
        <v>0.877523173</v>
      </c>
      <c r="I68" s="388" t="n">
        <v>0.07850643672600001</v>
      </c>
      <c r="J68" s="388" t="n">
        <v>0.367556426</v>
      </c>
      <c r="K68" s="388" t="n">
        <v>0.0461</v>
      </c>
      <c r="L68" s="388" t="n">
        <v>0.1986937613953597</v>
      </c>
      <c r="M68" s="388" t="n">
        <v>0.06981142551429002</v>
      </c>
      <c r="N68" s="389" t="n">
        <v>1.113232525554438</v>
      </c>
      <c r="O68" s="389" t="n">
        <v>2.277782468385023</v>
      </c>
      <c r="P68" s="389" t="n">
        <v>12.90966242402992</v>
      </c>
      <c r="Q68" s="389" t="n">
        <v>20.70624527612012</v>
      </c>
      <c r="R68" s="389" t="n">
        <v>2.724195740742668</v>
      </c>
      <c r="S68" s="389" t="n">
        <v>40.13277435</v>
      </c>
      <c r="T68" s="388" t="n">
        <v>0.1827068807615554</v>
      </c>
      <c r="U68" s="388" t="n">
        <v>0.07315393857774305</v>
      </c>
      <c r="V68" s="388" t="n">
        <v>0.05320681794718908</v>
      </c>
      <c r="W68" s="388" t="n">
        <v>0.7619906459908165</v>
      </c>
      <c r="X68" s="388" t="n">
        <v>0.08554619187551557</v>
      </c>
      <c r="Y68" s="388" t="n">
        <v>0.560163441484226</v>
      </c>
      <c r="Z68" s="388" t="n">
        <v>0.560163441484226</v>
      </c>
    </row>
    <row r="69" ht="13" customFormat="1" customHeight="1" s="322">
      <c r="A69" s="386" t="inlineStr">
        <is>
          <t>Reinsurance</t>
        </is>
      </c>
      <c r="B69" s="387" t="n">
        <v>38</v>
      </c>
      <c r="C69" s="388" t="n">
        <v>0.08595896551999999</v>
      </c>
      <c r="D69" s="388" t="n">
        <v>0.05424987414961839</v>
      </c>
      <c r="E69" s="388" t="n">
        <v>0.06531198737165192</v>
      </c>
      <c r="F69" s="388" t="n">
        <v>0.1866592829152243</v>
      </c>
      <c r="G69" s="389" t="n">
        <v>1.158710809982205</v>
      </c>
      <c r="H69" s="389" t="n">
        <v>1.183170037</v>
      </c>
      <c r="I69" s="388" t="n">
        <v>0.097456542294</v>
      </c>
      <c r="J69" s="388" t="n">
        <v>0.281887047</v>
      </c>
      <c r="K69" s="388" t="n">
        <v>0.0461</v>
      </c>
      <c r="L69" s="388" t="n">
        <v>0.1847039483943862</v>
      </c>
      <c r="M69" s="388" t="n">
        <v>0.08587357810364725</v>
      </c>
      <c r="N69" s="389" t="n">
        <v>1.395011526323066</v>
      </c>
      <c r="O69" s="389" t="n">
        <v>0.7926310777684037</v>
      </c>
      <c r="P69" s="389" t="n">
        <v>12.05648777904623</v>
      </c>
      <c r="Q69" s="389" t="n">
        <v>13.63255586013688</v>
      </c>
      <c r="R69" s="389" t="n">
        <v>1.020962871423613</v>
      </c>
      <c r="S69" s="389" t="n">
        <v>63.33179696</v>
      </c>
      <c r="T69" s="388" t="n">
        <v>-0.3855906456292879</v>
      </c>
      <c r="U69" s="388" t="n">
        <v>0.001185961834227001</v>
      </c>
      <c r="V69" s="388" t="n">
        <v>0.001484608450074578</v>
      </c>
      <c r="W69" s="388" t="n">
        <v>0.1851050705358541</v>
      </c>
      <c r="X69" s="388" t="n">
        <v>0.05552375113570775</v>
      </c>
      <c r="Y69" s="388" t="n">
        <v>0.6482247030063688</v>
      </c>
      <c r="Z69" s="388" t="n">
        <v>0.6482247030063688</v>
      </c>
    </row>
    <row r="70" ht="13" customFormat="1" customHeight="1" s="322">
      <c r="A70" s="386" t="inlineStr">
        <is>
          <t>Restaurant/Dining</t>
        </is>
      </c>
      <c r="B70" s="387" t="n">
        <v>364</v>
      </c>
      <c r="C70" s="388" t="n">
        <v>0.07333770213</v>
      </c>
      <c r="D70" s="388" t="n">
        <v>0.1102233134474311</v>
      </c>
      <c r="E70" s="388" t="n">
        <v>0.14493213531059</v>
      </c>
      <c r="F70" s="388" t="n">
        <v>0.2854419303905315</v>
      </c>
      <c r="G70" s="389" t="n">
        <v>0.7035608715301472</v>
      </c>
      <c r="H70" s="389" t="n">
        <v>0.8507846</v>
      </c>
      <c r="I70" s="388" t="n">
        <v>0.0768486452</v>
      </c>
      <c r="J70" s="388" t="n">
        <v>0.344749588</v>
      </c>
      <c r="K70" s="388" t="n">
        <v>0.0461</v>
      </c>
      <c r="L70" s="388" t="n">
        <v>0.2563802914554325</v>
      </c>
      <c r="M70" s="388" t="n">
        <v>0.066054246509054</v>
      </c>
      <c r="N70" s="389" t="n">
        <v>1.641282845378989</v>
      </c>
      <c r="O70" s="389" t="n">
        <v>2.453135010845439</v>
      </c>
      <c r="P70" s="389" t="n">
        <v>12.69207078295519</v>
      </c>
      <c r="Q70" s="389" t="n">
        <v>22.12163071641515</v>
      </c>
      <c r="R70" s="389" t="n">
        <v>7.563258016234031</v>
      </c>
      <c r="S70" s="389" t="n">
        <v>55.74414817</v>
      </c>
      <c r="T70" s="388" t="n">
        <v>-0.01094712204323387</v>
      </c>
      <c r="U70" s="388" t="n">
        <v>0.04939482774413611</v>
      </c>
      <c r="V70" s="388" t="n">
        <v>0.03204137865445513</v>
      </c>
      <c r="W70" s="388" t="n">
        <v>0.429835610329038</v>
      </c>
      <c r="X70" s="388" t="n">
        <v>0.3086820452597782</v>
      </c>
      <c r="Y70" s="388" t="n">
        <v>0.5570061747736105</v>
      </c>
      <c r="Z70" s="388" t="n">
        <v>0.5570061747736105</v>
      </c>
    </row>
    <row r="71" ht="13" customFormat="1" customHeight="1" s="322">
      <c r="A71" s="386" t="inlineStr">
        <is>
          <t>Retail (Automotive)</t>
        </is>
      </c>
      <c r="B71" s="387" t="n">
        <v>169</v>
      </c>
      <c r="C71" s="388" t="n">
        <v>0.05435537815</v>
      </c>
      <c r="D71" s="388" t="n">
        <v>0.04397342024908832</v>
      </c>
      <c r="E71" s="388" t="n">
        <v>0.1022093338430677</v>
      </c>
      <c r="F71" s="388" t="n">
        <v>0.2998339077764067</v>
      </c>
      <c r="G71" s="389" t="n">
        <v>0.6777504232908775</v>
      </c>
      <c r="H71" s="389" t="n">
        <v>0.9596531109999999</v>
      </c>
      <c r="I71" s="388" t="n">
        <v>0.083598492882</v>
      </c>
      <c r="J71" s="388" t="n">
        <v>0.33451371</v>
      </c>
      <c r="K71" s="388" t="n">
        <v>0.0461</v>
      </c>
      <c r="L71" s="388" t="n">
        <v>0.3939940625644689</v>
      </c>
      <c r="M71" s="388" t="n">
        <v>0.06435073132757212</v>
      </c>
      <c r="N71" s="389" t="n">
        <v>2.904018663625352</v>
      </c>
      <c r="O71" s="389" t="n">
        <v>0.7552068435927465</v>
      </c>
      <c r="P71" s="389" t="n">
        <v>10.39773547360151</v>
      </c>
      <c r="Q71" s="389" t="n">
        <v>16.4219161830997</v>
      </c>
      <c r="R71" s="389" t="n">
        <v>2.894472787757571</v>
      </c>
      <c r="S71" s="389" t="n">
        <v>36.4832786</v>
      </c>
      <c r="T71" s="388" t="n">
        <v>0.1075216023616971</v>
      </c>
      <c r="U71" s="388" t="n">
        <v>0.02265247805776766</v>
      </c>
      <c r="V71" s="388" t="n">
        <v>0.02102030087888724</v>
      </c>
      <c r="W71" s="388" t="n">
        <v>1.03146505387368</v>
      </c>
      <c r="X71" s="388" t="n">
        <v>0.1926011177911515</v>
      </c>
      <c r="Y71" s="388" t="n">
        <v>0.2862566136134371</v>
      </c>
      <c r="Z71" s="388" t="n">
        <v>0.286256613613437</v>
      </c>
    </row>
    <row r="72" ht="13" customFormat="1" customHeight="1" s="322">
      <c r="A72" s="386" t="inlineStr">
        <is>
          <t>Retail (Building Supply)</t>
        </is>
      </c>
      <c r="B72" s="387" t="n">
        <v>53</v>
      </c>
      <c r="C72" s="388" t="n">
        <v>0.04130974359</v>
      </c>
      <c r="D72" s="388" t="n">
        <v>0.09764562855969615</v>
      </c>
      <c r="E72" s="388" t="n">
        <v>0.1972131175713024</v>
      </c>
      <c r="F72" s="388" t="n">
        <v>0.3484107920400158</v>
      </c>
      <c r="G72" s="389" t="n">
        <v>0.6604522182669124</v>
      </c>
      <c r="H72" s="389" t="n">
        <v>0.75116196</v>
      </c>
      <c r="I72" s="388" t="n">
        <v>0.07067204152000001</v>
      </c>
      <c r="J72" s="388" t="n">
        <v>0.309848511</v>
      </c>
      <c r="K72" s="388" t="n">
        <v>0.0461</v>
      </c>
      <c r="L72" s="388" t="n">
        <v>0.1744474317145713</v>
      </c>
      <c r="M72" s="388" t="n">
        <v>0.06440476083276932</v>
      </c>
      <c r="N72" s="389" t="n">
        <v>2.607259891176987</v>
      </c>
      <c r="O72" s="389" t="n">
        <v>1.734487346510793</v>
      </c>
      <c r="P72" s="389" t="n">
        <v>12.63642453396754</v>
      </c>
      <c r="Q72" s="389" t="n">
        <v>17.7451095905131</v>
      </c>
      <c r="R72" s="389" t="n">
        <v>9.547794936805058</v>
      </c>
      <c r="S72" s="389" t="n">
        <v>28.0440534</v>
      </c>
      <c r="T72" s="388" t="n">
        <v>0.06398748347317751</v>
      </c>
      <c r="U72" s="388" t="n">
        <v>0.02042300247475119</v>
      </c>
      <c r="V72" s="388" t="n">
        <v>0.004402870940353259</v>
      </c>
      <c r="W72" s="388" t="n">
        <v>0.1092041346110286</v>
      </c>
      <c r="X72" s="388" t="n">
        <v>0.3618144913294577</v>
      </c>
      <c r="Y72" s="388" t="n">
        <v>0.4282695954835921</v>
      </c>
      <c r="Z72" s="388" t="n">
        <v>0.4282695954835921</v>
      </c>
    </row>
    <row r="73" ht="13" customFormat="1" customHeight="1" s="322">
      <c r="A73" s="386" t="inlineStr">
        <is>
          <t>Retail (Distributors)</t>
        </is>
      </c>
      <c r="B73" s="387" t="n">
        <v>976</v>
      </c>
      <c r="C73" s="388" t="n">
        <v>0.07751012766</v>
      </c>
      <c r="D73" s="388" t="n">
        <v>0.04187346959438581</v>
      </c>
      <c r="E73" s="388" t="n">
        <v>0.06260053689987718</v>
      </c>
      <c r="F73" s="388" t="n">
        <v>0.249142596774085</v>
      </c>
      <c r="G73" s="389" t="n">
        <v>0.6353111501164159</v>
      </c>
      <c r="H73" s="389" t="n">
        <v>0.899610548</v>
      </c>
      <c r="I73" s="388" t="n">
        <v>0.079875853976</v>
      </c>
      <c r="J73" s="388" t="n">
        <v>0.374045595</v>
      </c>
      <c r="K73" s="388" t="n">
        <v>0.0461</v>
      </c>
      <c r="L73" s="388" t="n">
        <v>0.4242827314599453</v>
      </c>
      <c r="M73" s="388" t="n">
        <v>0.06072785381909972</v>
      </c>
      <c r="N73" s="389" t="n">
        <v>1.823037997299527</v>
      </c>
      <c r="O73" s="389" t="n">
        <v>0.8030173439979059</v>
      </c>
      <c r="P73" s="389" t="n">
        <v>12.16277995314864</v>
      </c>
      <c r="Q73" s="389" t="n">
        <v>18.59679919639977</v>
      </c>
      <c r="R73" s="389" t="n">
        <v>1.496959197624312</v>
      </c>
      <c r="S73" s="389" t="n">
        <v>66.26370468</v>
      </c>
      <c r="T73" s="388" t="n">
        <v>0.1520904517374021</v>
      </c>
      <c r="U73" s="388" t="n">
        <v>0.02731980181447444</v>
      </c>
      <c r="V73" s="388" t="n">
        <v>0.0232056447081107</v>
      </c>
      <c r="W73" s="388" t="n">
        <v>1.101347393829809</v>
      </c>
      <c r="X73" s="388" t="n">
        <v>0.1019094550127158</v>
      </c>
      <c r="Y73" s="388" t="n">
        <v>0.3764867452209603</v>
      </c>
      <c r="Z73" s="388" t="n">
        <v>0.3764867452209604</v>
      </c>
    </row>
    <row r="74" ht="13" customFormat="1" customHeight="1" s="322">
      <c r="A74" s="386" t="inlineStr">
        <is>
          <t>Retail (General)</t>
        </is>
      </c>
      <c r="B74" s="387" t="n">
        <v>217</v>
      </c>
      <c r="C74" s="388" t="n">
        <v>0.03694784946</v>
      </c>
      <c r="D74" s="388" t="n">
        <v>0.04118189432690061</v>
      </c>
      <c r="E74" s="388" t="n">
        <v>0.08335192910385593</v>
      </c>
      <c r="F74" s="388" t="n">
        <v>0.3121493292559592</v>
      </c>
      <c r="G74" s="389" t="n">
        <v>0.9233555039957709</v>
      </c>
      <c r="H74" s="389" t="n">
        <v>1.177052937</v>
      </c>
      <c r="I74" s="388" t="n">
        <v>0.097077282094</v>
      </c>
      <c r="J74" s="388" t="n">
        <v>0.306129225</v>
      </c>
      <c r="K74" s="388" t="n">
        <v>0.0461</v>
      </c>
      <c r="L74" s="388" t="n">
        <v>0.3121539192860602</v>
      </c>
      <c r="M74" s="388" t="n">
        <v>0.07762019386804758</v>
      </c>
      <c r="N74" s="389" t="n">
        <v>2.623045095802315</v>
      </c>
      <c r="O74" s="389" t="n">
        <v>0.8185310045540226</v>
      </c>
      <c r="P74" s="389" t="n">
        <v>9.718186581976857</v>
      </c>
      <c r="Q74" s="389" t="n">
        <v>19.70117404976873</v>
      </c>
      <c r="R74" s="389" t="n">
        <v>2.540694159703938</v>
      </c>
      <c r="S74" s="389" t="n">
        <v>35.1571743</v>
      </c>
      <c r="T74" s="388" t="n">
        <v>0.003962912642146615</v>
      </c>
      <c r="U74" s="388" t="n">
        <v>0.02983482471108861</v>
      </c>
      <c r="V74" s="388" t="n">
        <v>0.008785213929522417</v>
      </c>
      <c r="W74" s="388" t="n">
        <v>0.2867896458909509</v>
      </c>
      <c r="X74" s="388" t="n">
        <v>0.1164069846685094</v>
      </c>
      <c r="Y74" s="388" t="n">
        <v>0.4967892998986703</v>
      </c>
      <c r="Z74" s="388" t="n">
        <v>0.4967892998986703</v>
      </c>
    </row>
    <row r="75" ht="13" customFormat="1" customHeight="1" s="322">
      <c r="A75" s="386" t="inlineStr">
        <is>
          <t>Retail (Grocery and Food)</t>
        </is>
      </c>
      <c r="B75" s="387" t="n">
        <v>168</v>
      </c>
      <c r="C75" s="388" t="n">
        <v>0.1068180451</v>
      </c>
      <c r="D75" s="388" t="n">
        <v>0.03439103649639898</v>
      </c>
      <c r="E75" s="388" t="n">
        <v>0.08885955078618049</v>
      </c>
      <c r="F75" s="388" t="n">
        <v>0.266392244517009</v>
      </c>
      <c r="G75" s="389" t="n">
        <v>0.681553770635821</v>
      </c>
      <c r="H75" s="389" t="n">
        <v>0.891991358</v>
      </c>
      <c r="I75" s="388" t="n">
        <v>0.079403464196</v>
      </c>
      <c r="J75" s="388" t="n">
        <v>0.289715264</v>
      </c>
      <c r="K75" s="388" t="n">
        <v>0.0461</v>
      </c>
      <c r="L75" s="388" t="n">
        <v>0.3547892202793138</v>
      </c>
      <c r="M75" s="388" t="n">
        <v>0.06355932473488507</v>
      </c>
      <c r="N75" s="389" t="n">
        <v>3.386989803476693</v>
      </c>
      <c r="O75" s="389" t="n">
        <v>0.6420201728080084</v>
      </c>
      <c r="P75" s="389" t="n">
        <v>8.398176535556788</v>
      </c>
      <c r="Q75" s="389" t="n">
        <v>18.49433628481946</v>
      </c>
      <c r="R75" s="389" t="n">
        <v>2.072295862502184</v>
      </c>
      <c r="S75" s="389" t="n">
        <v>36.17867031</v>
      </c>
      <c r="T75" s="388" t="n">
        <v>-0.03071990531493809</v>
      </c>
      <c r="U75" s="388" t="n">
        <v>0.02934802707011477</v>
      </c>
      <c r="V75" s="388" t="n">
        <v>0.01326109701575466</v>
      </c>
      <c r="W75" s="388" t="n">
        <v>0.3744482804723012</v>
      </c>
      <c r="X75" s="388" t="n">
        <v>0.1197631651980522</v>
      </c>
      <c r="Y75" s="388" t="n">
        <v>0.4265428317046397</v>
      </c>
      <c r="Z75" s="388" t="n">
        <v>0.4265428317046397</v>
      </c>
    </row>
    <row r="76" ht="13" customFormat="1" customHeight="1" s="322">
      <c r="A76" s="386" t="inlineStr">
        <is>
          <t>Retail (Online)</t>
        </is>
      </c>
      <c r="B76" s="387" t="n">
        <v>200</v>
      </c>
      <c r="C76" s="388" t="n">
        <v>0.1329456383</v>
      </c>
      <c r="D76" s="388" t="n">
        <v>0.04468537781815528</v>
      </c>
      <c r="E76" s="388" t="n">
        <v>0.1275369241499565</v>
      </c>
      <c r="F76" s="388" t="n">
        <v>0.2542798568243601</v>
      </c>
      <c r="G76" s="389" t="n">
        <v>1.18101963081705</v>
      </c>
      <c r="H76" s="389" t="n">
        <v>1.236099867</v>
      </c>
      <c r="I76" s="388" t="n">
        <v>0.100738191754</v>
      </c>
      <c r="J76" s="388" t="n">
        <v>0.499550877</v>
      </c>
      <c r="K76" s="388" t="n">
        <v>0.0491</v>
      </c>
      <c r="L76" s="388" t="n">
        <v>0.1087438778164316</v>
      </c>
      <c r="M76" s="388" t="n">
        <v>0.09380777893932778</v>
      </c>
      <c r="N76" s="389" t="n">
        <v>3.272463341197599</v>
      </c>
      <c r="O76" s="389" t="n">
        <v>3.160261221264886</v>
      </c>
      <c r="P76" s="389" t="n">
        <v>29.71895522077331</v>
      </c>
      <c r="Q76" s="389" t="n">
        <v>74.59334263306933</v>
      </c>
      <c r="R76" s="389" t="n">
        <v>7.837077258696818</v>
      </c>
      <c r="S76" s="389" t="n">
        <v>65.24705634999999</v>
      </c>
      <c r="T76" s="388" t="n">
        <v>0.009456395556577303</v>
      </c>
      <c r="U76" s="388" t="n">
        <v>0.04338656328443101</v>
      </c>
      <c r="V76" s="388" t="n">
        <v>0.04138755784592666</v>
      </c>
      <c r="W76" s="388" t="n">
        <v>1.557811835695358</v>
      </c>
      <c r="X76" s="388" t="n">
        <v>0.1409835434747034</v>
      </c>
      <c r="Y76" s="388" t="n">
        <v>0.1150658563635589</v>
      </c>
      <c r="Z76" s="388" t="n">
        <v>0.1150658563635589</v>
      </c>
    </row>
    <row r="77" ht="13" customFormat="1" customHeight="1" s="322">
      <c r="A77" s="386" t="inlineStr">
        <is>
          <t>Retail (Special Lines)</t>
        </is>
      </c>
      <c r="B77" s="387" t="n">
        <v>503</v>
      </c>
      <c r="C77" s="388" t="n">
        <v>0.03374327824</v>
      </c>
      <c r="D77" s="388" t="n">
        <v>0.0622290593213219</v>
      </c>
      <c r="E77" s="388" t="n">
        <v>0.1195248320644547</v>
      </c>
      <c r="F77" s="388" t="n">
        <v>0.3012251105456471</v>
      </c>
      <c r="G77" s="389" t="n">
        <v>0.8186150412222202</v>
      </c>
      <c r="H77" s="389" t="n">
        <v>0.982198576</v>
      </c>
      <c r="I77" s="388" t="n">
        <v>0.08499631171200001</v>
      </c>
      <c r="J77" s="388" t="n">
        <v>0.393998923</v>
      </c>
      <c r="K77" s="388" t="n">
        <v>0.0461</v>
      </c>
      <c r="L77" s="388" t="n">
        <v>0.264735736625164</v>
      </c>
      <c r="M77" s="388" t="n">
        <v>0.07169314458891284</v>
      </c>
      <c r="N77" s="389" t="n">
        <v>2.443710811613628</v>
      </c>
      <c r="O77" s="389" t="n">
        <v>1.051230467803191</v>
      </c>
      <c r="P77" s="389" t="n">
        <v>9.014663618568155</v>
      </c>
      <c r="Q77" s="389" t="n">
        <v>16.78859236942515</v>
      </c>
      <c r="R77" s="389" t="n">
        <v>3.187537365080356</v>
      </c>
      <c r="S77" s="389" t="n">
        <v>41.90819517</v>
      </c>
      <c r="T77" s="388" t="n">
        <v>0.06809432398294098</v>
      </c>
      <c r="U77" s="388" t="n">
        <v>0.02022241595800724</v>
      </c>
      <c r="V77" s="388" t="n">
        <v>0.00617198369680525</v>
      </c>
      <c r="W77" s="388" t="n">
        <v>0.1245775708544092</v>
      </c>
      <c r="X77" s="388" t="n">
        <v>0.1460596491542002</v>
      </c>
      <c r="Y77" s="388" t="n">
        <v>0.4120521339186055</v>
      </c>
      <c r="Z77" s="388" t="n">
        <v>0.4120521339186054</v>
      </c>
    </row>
    <row r="78" ht="13" customFormat="1" customHeight="1" s="322">
      <c r="A78" s="386" t="inlineStr">
        <is>
          <t>Rubber&amp; Tires</t>
        </is>
      </c>
      <c r="B78" s="387" t="n">
        <v>94</v>
      </c>
      <c r="C78" s="388" t="n">
        <v>-0.00933271429</v>
      </c>
      <c r="D78" s="388" t="n">
        <v>0.1000542114417117</v>
      </c>
      <c r="E78" s="388" t="n">
        <v>0.1111673144299105</v>
      </c>
      <c r="F78" s="388" t="n">
        <v>0.2621075321577332</v>
      </c>
      <c r="G78" s="389" t="n">
        <v>0.8229620456538914</v>
      </c>
      <c r="H78" s="389" t="n">
        <v>0.966575657</v>
      </c>
      <c r="I78" s="388" t="n">
        <v>0.084027690734</v>
      </c>
      <c r="J78" s="388" t="n">
        <v>0.292550197</v>
      </c>
      <c r="K78" s="388" t="n">
        <v>0.0461</v>
      </c>
      <c r="L78" s="388" t="n">
        <v>0.2529241092027452</v>
      </c>
      <c r="M78" s="388" t="n">
        <v>0.07156305424773092</v>
      </c>
      <c r="N78" s="389" t="n">
        <v>1.346991991651918</v>
      </c>
      <c r="O78" s="389" t="n">
        <v>1.25373039355793</v>
      </c>
      <c r="P78" s="389" t="n">
        <v>7.76833726393748</v>
      </c>
      <c r="Q78" s="389" t="n">
        <v>12.47503837790106</v>
      </c>
      <c r="R78" s="389" t="n">
        <v>1.827991173339246</v>
      </c>
      <c r="S78" s="389" t="n">
        <v>29.83560923</v>
      </c>
      <c r="T78" s="388" t="n">
        <v>0.2061379495500122</v>
      </c>
      <c r="U78" s="388" t="n">
        <v>0.04909667274209874</v>
      </c>
      <c r="V78" s="388" t="n">
        <v>0.0210493784215994</v>
      </c>
      <c r="W78" s="388" t="n">
        <v>0.4827301862569164</v>
      </c>
      <c r="X78" s="388" t="n">
        <v>0.1207881722631997</v>
      </c>
      <c r="Y78" s="388" t="n">
        <v>0.3578365275141369</v>
      </c>
      <c r="Z78" s="388" t="n">
        <v>0.3578365275141369</v>
      </c>
    </row>
    <row r="79" ht="13" customFormat="1" customHeight="1" s="322">
      <c r="A79" s="386" t="inlineStr">
        <is>
          <t>Semiconductor</t>
        </is>
      </c>
      <c r="B79" s="387" t="n">
        <v>542</v>
      </c>
      <c r="C79" s="388" t="n">
        <v>0.06035064439</v>
      </c>
      <c r="D79" s="388" t="n">
        <v>0.2077966177954781</v>
      </c>
      <c r="E79" s="388" t="n">
        <v>0.1471350260764478</v>
      </c>
      <c r="F79" s="388" t="n">
        <v>0.1644302281954968</v>
      </c>
      <c r="G79" s="389" t="n">
        <v>1.457383822728731</v>
      </c>
      <c r="H79" s="389" t="n">
        <v>1.493767061</v>
      </c>
      <c r="I79" s="388" t="n">
        <v>0.116713557782</v>
      </c>
      <c r="J79" s="388" t="n">
        <v>0.379360197</v>
      </c>
      <c r="K79" s="388" t="n">
        <v>0.0461</v>
      </c>
      <c r="L79" s="388" t="n">
        <v>0.1352775016228759</v>
      </c>
      <c r="M79" s="388" t="n">
        <v>0.1056251331817966</v>
      </c>
      <c r="N79" s="389" t="n">
        <v>0.7878853087472117</v>
      </c>
      <c r="O79" s="389" t="n">
        <v>3.866289342267083</v>
      </c>
      <c r="P79" s="389" t="n">
        <v>11.18359529413914</v>
      </c>
      <c r="Q79" s="389" t="n">
        <v>18.46434433808788</v>
      </c>
      <c r="R79" s="389" t="n">
        <v>3.075168164235</v>
      </c>
      <c r="S79" s="389" t="n">
        <v>54.90621113</v>
      </c>
      <c r="T79" s="388" t="n">
        <v>0.1979096489127462</v>
      </c>
      <c r="U79" s="388" t="n">
        <v>0.1531641748033025</v>
      </c>
      <c r="V79" s="388" t="n">
        <v>0.148141440735432</v>
      </c>
      <c r="W79" s="388" t="n">
        <v>1.089100403936206</v>
      </c>
      <c r="X79" s="388" t="n">
        <v>0.1742348330929582</v>
      </c>
      <c r="Y79" s="388" t="n">
        <v>0.3846379228544951</v>
      </c>
      <c r="Z79" s="388" t="n">
        <v>0.3846379228544951</v>
      </c>
    </row>
    <row r="80" ht="13" customFormat="1" customHeight="1" s="322">
      <c r="A80" s="386" t="inlineStr">
        <is>
          <t>Semiconductor Equip</t>
        </is>
      </c>
      <c r="B80" s="387" t="n">
        <v>284</v>
      </c>
      <c r="C80" s="388" t="n">
        <v>0.07921815534</v>
      </c>
      <c r="D80" s="388" t="n">
        <v>0.1931020666168958</v>
      </c>
      <c r="E80" s="388" t="n">
        <v>0.2022695022520669</v>
      </c>
      <c r="F80" s="388" t="n">
        <v>0.1549643344523237</v>
      </c>
      <c r="G80" s="389" t="n">
        <v>1.286846507831186</v>
      </c>
      <c r="H80" s="389" t="n">
        <v>1.283290379</v>
      </c>
      <c r="I80" s="388" t="n">
        <v>0.103664003498</v>
      </c>
      <c r="J80" s="388" t="n">
        <v>0.438838163</v>
      </c>
      <c r="K80" s="388" t="n">
        <v>0.0491</v>
      </c>
      <c r="L80" s="388" t="n">
        <v>0.09498578730629718</v>
      </c>
      <c r="M80" s="388" t="n">
        <v>0.09733250419595406</v>
      </c>
      <c r="N80" s="389" t="n">
        <v>1.188935313353398</v>
      </c>
      <c r="O80" s="389" t="n">
        <v>3.198502884409649</v>
      </c>
      <c r="P80" s="389" t="n">
        <v>13.31986650613989</v>
      </c>
      <c r="Q80" s="389" t="n">
        <v>17.09537651549849</v>
      </c>
      <c r="R80" s="389" t="n">
        <v>3.923846535386837</v>
      </c>
      <c r="S80" s="389" t="n">
        <v>39.93052676</v>
      </c>
      <c r="T80" s="388" t="n">
        <v>0.2599113513567486</v>
      </c>
      <c r="U80" s="388" t="n">
        <v>0.05519589403265785</v>
      </c>
      <c r="V80" s="388" t="n">
        <v>0.07720215759570274</v>
      </c>
      <c r="W80" s="388" t="n">
        <v>0.6806067479841151</v>
      </c>
      <c r="X80" s="388" t="n">
        <v>0.2357588100246241</v>
      </c>
      <c r="Y80" s="388" t="n">
        <v>0.2148530212129374</v>
      </c>
      <c r="Z80" s="388" t="n">
        <v>0.2148530212129374</v>
      </c>
    </row>
    <row r="81" ht="13" customFormat="1" customHeight="1" s="322">
      <c r="A81" s="386" t="inlineStr">
        <is>
          <t>Shipbuilding &amp; Marine</t>
        </is>
      </c>
      <c r="B81" s="387" t="n">
        <v>342</v>
      </c>
      <c r="C81" s="388" t="n">
        <v>0.02042768939</v>
      </c>
      <c r="D81" s="388" t="n">
        <v>0.06929243288467962</v>
      </c>
      <c r="E81" s="388" t="n">
        <v>0.04515050568270511</v>
      </c>
      <c r="F81" s="388" t="n">
        <v>0.1798025955586443</v>
      </c>
      <c r="G81" s="389" t="n">
        <v>0.9690684737690237</v>
      </c>
      <c r="H81" s="389" t="n">
        <v>1.353015795</v>
      </c>
      <c r="I81" s="388" t="n">
        <v>0.10798697929</v>
      </c>
      <c r="J81" s="388" t="n">
        <v>0.35848375</v>
      </c>
      <c r="K81" s="388" t="n">
        <v>0.0461</v>
      </c>
      <c r="L81" s="388" t="n">
        <v>0.4148388510530114</v>
      </c>
      <c r="M81" s="388" t="n">
        <v>0.07760359721063305</v>
      </c>
      <c r="N81" s="389" t="n">
        <v>0.749343035117404</v>
      </c>
      <c r="O81" s="389" t="n">
        <v>1.818665936298089</v>
      </c>
      <c r="P81" s="389" t="n">
        <v>10.85068318950085</v>
      </c>
      <c r="Q81" s="389" t="n">
        <v>25.68938635076882</v>
      </c>
      <c r="R81" s="389" t="n">
        <v>1.343361749397543</v>
      </c>
      <c r="S81" s="389" t="n">
        <v>36.15553683</v>
      </c>
      <c r="T81" s="388" t="n">
        <v>0.05259080089150074</v>
      </c>
      <c r="U81" s="388" t="n">
        <v>0.1038763665480603</v>
      </c>
      <c r="V81" s="388" t="n">
        <v>0.07255662543489567</v>
      </c>
      <c r="W81" s="388" t="n">
        <v>1.352564656867212</v>
      </c>
      <c r="X81" s="388" t="n">
        <v>0.01186348578200797</v>
      </c>
      <c r="Y81" s="388" t="n">
        <v>4.684047262396414</v>
      </c>
      <c r="Z81" s="388" t="n">
        <v>4.684047262396414</v>
      </c>
    </row>
    <row r="82" ht="13" customFormat="1" customHeight="1" s="322">
      <c r="A82" s="386" t="inlineStr">
        <is>
          <t>Shoe</t>
        </is>
      </c>
      <c r="B82" s="387" t="n">
        <v>85</v>
      </c>
      <c r="C82" s="388" t="n">
        <v>0.01318476923</v>
      </c>
      <c r="D82" s="388" t="n">
        <v>0.09612760532301119</v>
      </c>
      <c r="E82" s="388" t="n">
        <v>0.146741785132137</v>
      </c>
      <c r="F82" s="388" t="n">
        <v>0.1635873422488552</v>
      </c>
      <c r="G82" s="389" t="n">
        <v>1.079411418198962</v>
      </c>
      <c r="H82" s="389" t="n">
        <v>1.107486093</v>
      </c>
      <c r="I82" s="388" t="n">
        <v>0.092764137766</v>
      </c>
      <c r="J82" s="388" t="n">
        <v>0.379340221</v>
      </c>
      <c r="K82" s="388" t="n">
        <v>0.0461</v>
      </c>
      <c r="L82" s="388" t="n">
        <v>0.1116792608587187</v>
      </c>
      <c r="M82" s="388" t="n">
        <v>0.08628466700181164</v>
      </c>
      <c r="N82" s="389" t="n">
        <v>1.866301927919615</v>
      </c>
      <c r="O82" s="389" t="n">
        <v>2.042202167239929</v>
      </c>
      <c r="P82" s="389" t="n">
        <v>14.66651722433117</v>
      </c>
      <c r="Q82" s="389" t="n">
        <v>21.16930585926929</v>
      </c>
      <c r="R82" s="389" t="n">
        <v>4.052945907210672</v>
      </c>
      <c r="S82" s="389" t="n">
        <v>36.44947283</v>
      </c>
      <c r="T82" s="388" t="n">
        <v>0.1963053207872016</v>
      </c>
      <c r="U82" s="388" t="n">
        <v>0.01728506468251622</v>
      </c>
      <c r="V82" s="388" t="n">
        <v>-0.003744216435418101</v>
      </c>
      <c r="W82" s="388" t="n">
        <v>0.03396303789255838</v>
      </c>
      <c r="X82" s="388" t="n">
        <v>0.1769864581525342</v>
      </c>
      <c r="Y82" s="388" t="n">
        <v>0.35851545522913</v>
      </c>
      <c r="Z82" s="388" t="n">
        <v>0.3585154552291301</v>
      </c>
    </row>
    <row r="83" ht="13" customFormat="1" customHeight="1" s="322">
      <c r="A83" s="386" t="inlineStr">
        <is>
          <t>Software (Entertainment)</t>
        </is>
      </c>
      <c r="B83" s="387" t="n">
        <v>128</v>
      </c>
      <c r="C83" s="388" t="n">
        <v>0.1000020588</v>
      </c>
      <c r="D83" s="388" t="n">
        <v>0.2041569327956261</v>
      </c>
      <c r="E83" s="388" t="n">
        <v>0.1926407573742958</v>
      </c>
      <c r="F83" s="388" t="n">
        <v>0.2047958787988595</v>
      </c>
      <c r="G83" s="389" t="n">
        <v>1.355435540552253</v>
      </c>
      <c r="H83" s="389" t="n">
        <v>1.266291958</v>
      </c>
      <c r="I83" s="388" t="n">
        <v>0.102610101396</v>
      </c>
      <c r="J83" s="388" t="n">
        <v>0.514927263</v>
      </c>
      <c r="K83" s="388" t="n">
        <v>0.0491</v>
      </c>
      <c r="L83" s="388" t="n">
        <v>0.04182270048255959</v>
      </c>
      <c r="M83" s="388" t="n">
        <v>0.09986638873409695</v>
      </c>
      <c r="N83" s="389" t="n">
        <v>1.048700595261368</v>
      </c>
      <c r="O83" s="389" t="n">
        <v>5.283168295059148</v>
      </c>
      <c r="P83" s="389" t="n">
        <v>21.10630109282454</v>
      </c>
      <c r="Q83" s="389" t="n">
        <v>26.24787255552285</v>
      </c>
      <c r="R83" s="389" t="n">
        <v>4.326918167812893</v>
      </c>
      <c r="S83" s="389" t="n">
        <v>55.13649558</v>
      </c>
      <c r="T83" s="388" t="n">
        <v>0.1339998608797931</v>
      </c>
      <c r="U83" s="388" t="n">
        <v>0.02830921287904179</v>
      </c>
      <c r="V83" s="388" t="n">
        <v>0.02459066877791351</v>
      </c>
      <c r="W83" s="388" t="n">
        <v>0.3144308950573932</v>
      </c>
      <c r="X83" s="388" t="n">
        <v>0.1382225693672101</v>
      </c>
      <c r="Y83" s="388" t="n">
        <v>0.2343286534841794</v>
      </c>
      <c r="Z83" s="388" t="n">
        <v>0.2343286534841794</v>
      </c>
    </row>
    <row r="84" ht="13" customFormat="1" customHeight="1" s="322">
      <c r="A84" s="386" t="inlineStr">
        <is>
          <t>Software (Internet)</t>
        </is>
      </c>
      <c r="B84" s="387" t="n">
        <v>880</v>
      </c>
      <c r="C84" s="388" t="n">
        <v>0.1385314917</v>
      </c>
      <c r="D84" s="388" t="n">
        <v>0.235280479894786</v>
      </c>
      <c r="E84" s="388" t="n">
        <v>0.1740511318446096</v>
      </c>
      <c r="F84" s="388" t="n">
        <v>0.1797668726272534</v>
      </c>
      <c r="G84" s="389" t="n">
        <v>1.247913118321584</v>
      </c>
      <c r="H84" s="389" t="n">
        <v>1.24456798</v>
      </c>
      <c r="I84" s="388" t="n">
        <v>0.10126321476</v>
      </c>
      <c r="J84" s="388" t="n">
        <v>0.5728897509999999</v>
      </c>
      <c r="K84" s="388" t="n">
        <v>0.0491</v>
      </c>
      <c r="L84" s="388" t="n">
        <v>0.03730929853230654</v>
      </c>
      <c r="M84" s="388" t="n">
        <v>0.09886584814889464</v>
      </c>
      <c r="N84" s="389" t="n">
        <v>0.8006711645026428</v>
      </c>
      <c r="O84" s="389" t="n">
        <v>7.815213018506125</v>
      </c>
      <c r="P84" s="389" t="n">
        <v>24.2438875089501</v>
      </c>
      <c r="Q84" s="389" t="n">
        <v>33.9455128579436</v>
      </c>
      <c r="R84" s="389" t="n">
        <v>5.581616674888693</v>
      </c>
      <c r="S84" s="389" t="n">
        <v>95.10775605000001</v>
      </c>
      <c r="T84" s="388" t="n">
        <v>0.05097176702977736</v>
      </c>
      <c r="U84" s="388" t="n">
        <v>0.08012864005043502</v>
      </c>
      <c r="V84" s="388" t="n">
        <v>0.06080316107278355</v>
      </c>
      <c r="W84" s="388" t="n">
        <v>0.4525764217715033</v>
      </c>
      <c r="X84" s="388" t="n">
        <v>0.1856965558834138</v>
      </c>
      <c r="Y84" s="388" t="n">
        <v>0.05470029980378353</v>
      </c>
      <c r="Z84" s="388" t="n">
        <v>0.05470029980378355</v>
      </c>
    </row>
    <row r="85" ht="13" customFormat="1" customHeight="1" s="322">
      <c r="A85" s="386" t="inlineStr">
        <is>
          <t>Software (System &amp; Application)</t>
        </is>
      </c>
      <c r="B85" s="387" t="n">
        <v>1075</v>
      </c>
      <c r="C85" s="388" t="n">
        <v>0.1388290345</v>
      </c>
      <c r="D85" s="388" t="n">
        <v>0.1927666104889258</v>
      </c>
      <c r="E85" s="388" t="n">
        <v>0.1544873553783802</v>
      </c>
      <c r="F85" s="388" t="n">
        <v>0.1689807548826029</v>
      </c>
      <c r="G85" s="389" t="n">
        <v>1.111414438304829</v>
      </c>
      <c r="H85" s="389" t="n">
        <v>1.158174271</v>
      </c>
      <c r="I85" s="388" t="n">
        <v>0.09590680480199999</v>
      </c>
      <c r="J85" s="388" t="n">
        <v>0.485876565</v>
      </c>
      <c r="K85" s="388" t="n">
        <v>0.0491</v>
      </c>
      <c r="L85" s="388" t="n">
        <v>0.1060371149572034</v>
      </c>
      <c r="M85" s="388" t="n">
        <v>0.08966120443700555</v>
      </c>
      <c r="N85" s="389" t="n">
        <v>0.8812558119624019</v>
      </c>
      <c r="O85" s="389" t="n">
        <v>6.364026128798643</v>
      </c>
      <c r="P85" s="389" t="n">
        <v>22.53754820778792</v>
      </c>
      <c r="Q85" s="389" t="n">
        <v>33.4982671600926</v>
      </c>
      <c r="R85" s="389" t="n">
        <v>5.896794907128454</v>
      </c>
      <c r="S85" s="389" t="n">
        <v>97.06852841</v>
      </c>
      <c r="T85" s="388" t="n">
        <v>0.1395733677474982</v>
      </c>
      <c r="U85" s="388" t="n">
        <v>0.05142735443478483</v>
      </c>
      <c r="V85" s="388" t="n">
        <v>0.1417844587414198</v>
      </c>
      <c r="W85" s="388" t="n">
        <v>1.047677891815483</v>
      </c>
      <c r="X85" s="388" t="n">
        <v>0.1506945529349306</v>
      </c>
      <c r="Y85" s="388" t="n">
        <v>0.47517957927414</v>
      </c>
      <c r="Z85" s="388" t="n">
        <v>0.47517957927414</v>
      </c>
    </row>
    <row r="86" ht="13" customFormat="1" customHeight="1" s="322">
      <c r="A86" s="386" t="inlineStr">
        <is>
          <t>Steel</t>
        </is>
      </c>
      <c r="B86" s="387" t="n">
        <v>735</v>
      </c>
      <c r="C86" s="388" t="n">
        <v>-0.01326323689</v>
      </c>
      <c r="D86" s="388" t="n">
        <v>0.08114264751613702</v>
      </c>
      <c r="E86" s="388" t="n">
        <v>0.08894043951954697</v>
      </c>
      <c r="F86" s="388" t="n">
        <v>0.217709273151065</v>
      </c>
      <c r="G86" s="389" t="n">
        <v>1.001234166483521</v>
      </c>
      <c r="H86" s="389" t="n">
        <v>1.309974071</v>
      </c>
      <c r="I86" s="388" t="n">
        <v>0.105318392402</v>
      </c>
      <c r="J86" s="388" t="n">
        <v>0.430885622</v>
      </c>
      <c r="K86" s="388" t="n">
        <v>0.0491</v>
      </c>
      <c r="L86" s="388" t="n">
        <v>0.3560562190378147</v>
      </c>
      <c r="M86" s="388" t="n">
        <v>0.0809955788075831</v>
      </c>
      <c r="N86" s="389" t="n">
        <v>1.277229777648825</v>
      </c>
      <c r="O86" s="389" t="n">
        <v>1.023155807477273</v>
      </c>
      <c r="P86" s="389" t="n">
        <v>7.420795000403462</v>
      </c>
      <c r="Q86" s="389" t="n">
        <v>12.23215039102034</v>
      </c>
      <c r="R86" s="389" t="n">
        <v>1.286672109920524</v>
      </c>
      <c r="S86" s="389" t="n">
        <v>39.94378849</v>
      </c>
      <c r="T86" s="388" t="n">
        <v>0.1426786688664103</v>
      </c>
      <c r="U86" s="388" t="n">
        <v>0.04705788932352996</v>
      </c>
      <c r="V86" s="388" t="n">
        <v>0.02209311535390702</v>
      </c>
      <c r="W86" s="388" t="n">
        <v>0.7177281841625287</v>
      </c>
      <c r="X86" s="388" t="n">
        <v>0.0962271362377476</v>
      </c>
      <c r="Y86" s="388" t="n">
        <v>0.3488830133260725</v>
      </c>
      <c r="Z86" s="388" t="n">
        <v>0.3488830133260725</v>
      </c>
    </row>
    <row r="87" ht="13" customFormat="1" customHeight="1" s="322">
      <c r="A87" s="386" t="inlineStr">
        <is>
          <t>Telecom (Wireless)</t>
        </is>
      </c>
      <c r="B87" s="387" t="n">
        <v>106</v>
      </c>
      <c r="C87" s="388" t="n">
        <v>0.01630283951</v>
      </c>
      <c r="D87" s="388" t="n">
        <v>0.1351698112151319</v>
      </c>
      <c r="E87" s="388" t="n">
        <v>0.08407576222417591</v>
      </c>
      <c r="F87" s="388" t="n">
        <v>0.3294815911569585</v>
      </c>
      <c r="G87" s="389" t="n">
        <v>0.8733903511078336</v>
      </c>
      <c r="H87" s="389" t="n">
        <v>1.195693217</v>
      </c>
      <c r="I87" s="388" t="n">
        <v>0.098232979454</v>
      </c>
      <c r="J87" s="388" t="n">
        <v>0.308768673</v>
      </c>
      <c r="K87" s="388" t="n">
        <v>0.0461</v>
      </c>
      <c r="L87" s="388" t="n">
        <v>0.3676469946189588</v>
      </c>
      <c r="M87" s="388" t="n">
        <v>0.07489202417209363</v>
      </c>
      <c r="N87" s="389" t="n">
        <v>0.7389599726413884</v>
      </c>
      <c r="O87" s="389" t="n">
        <v>2.26614335560622</v>
      </c>
      <c r="P87" s="389" t="n">
        <v>6.618747782487987</v>
      </c>
      <c r="Q87" s="389" t="n">
        <v>16.84433346443966</v>
      </c>
      <c r="R87" s="389" t="n">
        <v>1.738993181452984</v>
      </c>
      <c r="S87" s="389" t="n">
        <v>37.84901457</v>
      </c>
      <c r="T87" s="388" t="n">
        <v>-0.01514457812592301</v>
      </c>
      <c r="U87" s="388" t="n">
        <v>0.1213251425993331</v>
      </c>
      <c r="V87" s="388" t="n">
        <v>-0.02560202218765624</v>
      </c>
      <c r="W87" s="388" t="n">
        <v>-0.09933520245740962</v>
      </c>
      <c r="X87" s="388" t="n">
        <v>0.09067324121195859</v>
      </c>
      <c r="Y87" s="388" t="n">
        <v>0.6185578041987275</v>
      </c>
      <c r="Z87" s="388" t="n">
        <v>0.6185578041987275</v>
      </c>
    </row>
    <row r="88" ht="13" customFormat="1" customHeight="1" s="322">
      <c r="A88" s="386" t="inlineStr">
        <is>
          <t>Telecom. Equipment</t>
        </is>
      </c>
      <c r="B88" s="387" t="n">
        <v>505</v>
      </c>
      <c r="C88" s="388" t="n">
        <v>0.04985705202</v>
      </c>
      <c r="D88" s="388" t="n">
        <v>0.1019375210507182</v>
      </c>
      <c r="E88" s="388" t="n">
        <v>0.09489541845550659</v>
      </c>
      <c r="F88" s="388" t="n">
        <v>0.2066970211388113</v>
      </c>
      <c r="G88" s="389" t="n">
        <v>1.219089370822169</v>
      </c>
      <c r="H88" s="389" t="n">
        <v>1.266202791</v>
      </c>
      <c r="I88" s="388" t="n">
        <v>0.102604573042</v>
      </c>
      <c r="J88" s="388" t="n">
        <v>0.436468437</v>
      </c>
      <c r="K88" s="388" t="n">
        <v>0.0491</v>
      </c>
      <c r="L88" s="388" t="n">
        <v>0.1510573830829665</v>
      </c>
      <c r="M88" s="388" t="n">
        <v>0.0926955254727453</v>
      </c>
      <c r="N88" s="389" t="n">
        <v>1.02914093341126</v>
      </c>
      <c r="O88" s="389" t="n">
        <v>2.367447875075746</v>
      </c>
      <c r="P88" s="389" t="n">
        <v>15.25193727302617</v>
      </c>
      <c r="Q88" s="389" t="n">
        <v>23.79520440638781</v>
      </c>
      <c r="R88" s="389" t="n">
        <v>2.875665873048587</v>
      </c>
      <c r="S88" s="389" t="n">
        <v>69.66263893999999</v>
      </c>
      <c r="T88" s="388" t="n">
        <v>0.1891412744427017</v>
      </c>
      <c r="U88" s="388" t="n">
        <v>0.03523644160864152</v>
      </c>
      <c r="V88" s="388" t="n">
        <v>0.04153121469794922</v>
      </c>
      <c r="W88" s="388" t="n">
        <v>0.7441822559123211</v>
      </c>
      <c r="X88" s="388" t="n">
        <v>0.0769967265504154</v>
      </c>
      <c r="Y88" s="388" t="n">
        <v>0.7041221237002075</v>
      </c>
      <c r="Z88" s="388" t="n">
        <v>0.7041221237002075</v>
      </c>
    </row>
    <row r="89" ht="13" customFormat="1" customHeight="1" s="322">
      <c r="A89" s="386" t="inlineStr">
        <is>
          <t>Telecom. Services</t>
        </is>
      </c>
      <c r="B89" s="387" t="n">
        <v>289</v>
      </c>
      <c r="C89" s="388" t="n">
        <v>0.08085865590999999</v>
      </c>
      <c r="D89" s="388" t="n">
        <v>0.1522402490868862</v>
      </c>
      <c r="E89" s="388" t="n">
        <v>0.1268979832990736</v>
      </c>
      <c r="F89" s="388" t="n">
        <v>0.291874155739931</v>
      </c>
      <c r="G89" s="389" t="n">
        <v>0.7031181620705103</v>
      </c>
      <c r="H89" s="389" t="n">
        <v>0.997523746</v>
      </c>
      <c r="I89" s="388" t="n">
        <v>0.085946472252</v>
      </c>
      <c r="J89" s="388" t="n">
        <v>0.355319176</v>
      </c>
      <c r="K89" s="388" t="n">
        <v>0.0461</v>
      </c>
      <c r="L89" s="388" t="n">
        <v>0.3956325373467349</v>
      </c>
      <c r="M89" s="388" t="n">
        <v>0.06568972937959909</v>
      </c>
      <c r="N89" s="389" t="n">
        <v>0.9638817032269252</v>
      </c>
      <c r="O89" s="389" t="n">
        <v>2.145545291474271</v>
      </c>
      <c r="P89" s="389" t="n">
        <v>6.547785501374336</v>
      </c>
      <c r="Q89" s="389" t="n">
        <v>14.08180268722652</v>
      </c>
      <c r="R89" s="389" t="n">
        <v>1.956143230607285</v>
      </c>
      <c r="S89" s="389" t="n">
        <v>118.7973905</v>
      </c>
      <c r="T89" s="388" t="n">
        <v>-0.02768903119782147</v>
      </c>
      <c r="U89" s="388" t="n">
        <v>0.131638785345961</v>
      </c>
      <c r="V89" s="388" t="n">
        <v>-0.01535317288008759</v>
      </c>
      <c r="W89" s="388" t="n">
        <v>-0.03331671688735492</v>
      </c>
      <c r="X89" s="388" t="n">
        <v>0.1250779828047739</v>
      </c>
      <c r="Y89" s="388" t="n">
        <v>0.7888036054461464</v>
      </c>
      <c r="Z89" s="388" t="n">
        <v>0.7888036054461464</v>
      </c>
    </row>
    <row r="90" ht="13" customFormat="1" customHeight="1" s="322">
      <c r="A90" s="386" t="inlineStr">
        <is>
          <t>Tobacco</t>
        </is>
      </c>
      <c r="B90" s="387" t="n">
        <v>62</v>
      </c>
      <c r="C90" s="388" t="n">
        <v>0.2261091667</v>
      </c>
      <c r="D90" s="388" t="n">
        <v>0.3119139763667183</v>
      </c>
      <c r="E90" s="388" t="n">
        <v>0.4108375005128526</v>
      </c>
      <c r="F90" s="388" t="n">
        <v>0.2912439379540341</v>
      </c>
      <c r="G90" s="389" t="n">
        <v>0.6273174955034613</v>
      </c>
      <c r="H90" s="389" t="n">
        <v>0.679943545</v>
      </c>
      <c r="I90" s="388" t="n">
        <v>0.06625649978999999</v>
      </c>
      <c r="J90" s="388" t="n">
        <v>0.279628288</v>
      </c>
      <c r="K90" s="388" t="n">
        <v>0.0461</v>
      </c>
      <c r="L90" s="388" t="n">
        <v>0.129100289600478</v>
      </c>
      <c r="M90" s="388" t="n">
        <v>0.06218842962853067</v>
      </c>
      <c r="N90" s="389" t="n">
        <v>1.547143072862957</v>
      </c>
      <c r="O90" s="389" t="n">
        <v>5.624739151771464</v>
      </c>
      <c r="P90" s="389" t="n">
        <v>15.79043645455121</v>
      </c>
      <c r="Q90" s="389" t="n">
        <v>17.9796021225353</v>
      </c>
      <c r="R90" s="389" t="n">
        <v>11.35457873558101</v>
      </c>
      <c r="S90" s="389" t="n">
        <v>23.68251982</v>
      </c>
      <c r="T90" s="388" t="n">
        <v>0.2101658313306989</v>
      </c>
      <c r="U90" s="388" t="n">
        <v>0.03725344901463092</v>
      </c>
      <c r="V90" s="388" t="n">
        <v>-0.01776881899342765</v>
      </c>
      <c r="W90" s="388" t="n">
        <v>-0.09517101417234806</v>
      </c>
      <c r="X90" s="388" t="n">
        <v>0.8858235113166785</v>
      </c>
      <c r="Y90" s="388" t="n">
        <v>0.5987545340301864</v>
      </c>
      <c r="Z90" s="388" t="n">
        <v>0.5987545340301864</v>
      </c>
    </row>
    <row r="91" ht="13" customFormat="1" customHeight="1" s="322">
      <c r="A91" s="386" t="inlineStr">
        <is>
          <t>Transportation</t>
        </is>
      </c>
      <c r="B91" s="387" t="n">
        <v>235</v>
      </c>
      <c r="C91" s="388" t="n">
        <v>0.1027642938</v>
      </c>
      <c r="D91" s="388" t="n">
        <v>0.08722315117107517</v>
      </c>
      <c r="E91" s="388" t="n">
        <v>0.1258027004781529</v>
      </c>
      <c r="F91" s="388" t="n">
        <v>0.2609171290830261</v>
      </c>
      <c r="G91" s="389" t="n">
        <v>1.003322645119479</v>
      </c>
      <c r="H91" s="389" t="n">
        <v>1.208361207</v>
      </c>
      <c r="I91" s="388" t="n">
        <v>0.099018394834</v>
      </c>
      <c r="J91" s="388" t="n">
        <v>0.321415873</v>
      </c>
      <c r="K91" s="388" t="n">
        <v>0.0461</v>
      </c>
      <c r="L91" s="388" t="n">
        <v>0.2863788479498477</v>
      </c>
      <c r="M91" s="388" t="n">
        <v>0.08061201730355673</v>
      </c>
      <c r="N91" s="389" t="n">
        <v>1.787768517824079</v>
      </c>
      <c r="O91" s="389" t="n">
        <v>1.515397945236628</v>
      </c>
      <c r="P91" s="389" t="n">
        <v>10.62714341471847</v>
      </c>
      <c r="Q91" s="389" t="n">
        <v>17.01973595371783</v>
      </c>
      <c r="R91" s="389" t="n">
        <v>2.383571337567377</v>
      </c>
      <c r="S91" s="389" t="n">
        <v>80.25203118</v>
      </c>
      <c r="T91" s="388" t="n">
        <v>0.03215840080968251</v>
      </c>
      <c r="U91" s="388" t="n">
        <v>0.04844210320862842</v>
      </c>
      <c r="V91" s="388" t="n">
        <v>0.009391452062146559</v>
      </c>
      <c r="W91" s="388" t="n">
        <v>0.308417418408008</v>
      </c>
      <c r="X91" s="388" t="n">
        <v>0.1570466340762281</v>
      </c>
      <c r="Y91" s="388" t="n">
        <v>0.4668964426601734</v>
      </c>
      <c r="Z91" s="388" t="n">
        <v>0.4668964426601734</v>
      </c>
    </row>
    <row r="92" ht="13" customFormat="1" customHeight="1" s="322">
      <c r="A92" s="386" t="inlineStr">
        <is>
          <t>Transportation (Railroads)</t>
        </is>
      </c>
      <c r="B92" s="387" t="n">
        <v>51</v>
      </c>
      <c r="C92" s="388" t="n">
        <v>0.04887232558</v>
      </c>
      <c r="D92" s="388" t="n">
        <v>0.2333106503820948</v>
      </c>
      <c r="E92" s="388" t="n">
        <v>0.09572829372385279</v>
      </c>
      <c r="F92" s="388" t="n">
        <v>0.3032036991253966</v>
      </c>
      <c r="G92" s="389" t="n">
        <v>0.7744853345359937</v>
      </c>
      <c r="H92" s="389" t="n">
        <v>0.974557096</v>
      </c>
      <c r="I92" s="388" t="n">
        <v>0.084522539952</v>
      </c>
      <c r="J92" s="388" t="n">
        <v>0.240251722</v>
      </c>
      <c r="K92" s="388" t="n">
        <v>0.0411</v>
      </c>
      <c r="L92" s="388" t="n">
        <v>0.27720930394542</v>
      </c>
      <c r="M92" s="388" t="n">
        <v>0.06967923749717568</v>
      </c>
      <c r="N92" s="389" t="n">
        <v>0.5345439342488216</v>
      </c>
      <c r="O92" s="389" t="n">
        <v>3.713102948899003</v>
      </c>
      <c r="P92" s="389" t="n">
        <v>10.81323037186888</v>
      </c>
      <c r="Q92" s="389" t="n">
        <v>15.89306232204402</v>
      </c>
      <c r="R92" s="389" t="n">
        <v>2.614681629556515</v>
      </c>
      <c r="S92" s="389" t="n">
        <v>26.54444847</v>
      </c>
      <c r="T92" s="388" t="n">
        <v>0.1176587607959083</v>
      </c>
      <c r="U92" s="388" t="n">
        <v>0.1573041939103391</v>
      </c>
      <c r="V92" s="388" t="n">
        <v>0.1163920289372298</v>
      </c>
      <c r="W92" s="388" t="n">
        <v>0.7475847299683269</v>
      </c>
      <c r="X92" s="388" t="n">
        <v>0.1392764758975557</v>
      </c>
      <c r="Y92" s="388" t="n">
        <v>0.2985193850519103</v>
      </c>
      <c r="Z92" s="388" t="n">
        <v>0.2985193850519103</v>
      </c>
    </row>
    <row r="93" ht="13" customFormat="1" customHeight="1" s="322">
      <c r="A93" s="386" t="inlineStr">
        <is>
          <t>Trucking</t>
        </is>
      </c>
      <c r="B93" s="387" t="n">
        <v>199</v>
      </c>
      <c r="C93" s="388" t="n">
        <v>0.06039527397</v>
      </c>
      <c r="D93" s="388" t="n">
        <v>0.06760979212537548</v>
      </c>
      <c r="E93" s="388" t="n">
        <v>0.07689330751803865</v>
      </c>
      <c r="F93" s="388" t="n">
        <v>0.2937885146929479</v>
      </c>
      <c r="G93" s="389" t="n">
        <v>0.621942285698874</v>
      </c>
      <c r="H93" s="389" t="n">
        <v>0.902339788</v>
      </c>
      <c r="I93" s="388" t="n">
        <v>0.08004506685600001</v>
      </c>
      <c r="J93" s="388" t="n">
        <v>0.317465242</v>
      </c>
      <c r="K93" s="388" t="n">
        <v>0.0461</v>
      </c>
      <c r="L93" s="388" t="n">
        <v>0.4128909820022289</v>
      </c>
      <c r="M93" s="388" t="n">
        <v>0.06134131311491929</v>
      </c>
      <c r="N93" s="389" t="n">
        <v>1.450056753229407</v>
      </c>
      <c r="O93" s="389" t="n">
        <v>1.345399926971028</v>
      </c>
      <c r="P93" s="389" t="n">
        <v>10.09241043136339</v>
      </c>
      <c r="Q93" s="389" t="n">
        <v>19.83065987797783</v>
      </c>
      <c r="R93" s="389" t="n">
        <v>2.08756982472875</v>
      </c>
      <c r="S93" s="389" t="n">
        <v>34.27196883</v>
      </c>
      <c r="T93" s="388" t="n">
        <v>0.07928977656347506</v>
      </c>
      <c r="U93" s="388" t="n">
        <v>0.08614815672710505</v>
      </c>
      <c r="V93" s="388" t="n">
        <v>0.05753351494436237</v>
      </c>
      <c r="W93" s="388" t="n">
        <v>1.311854763127062</v>
      </c>
      <c r="X93" s="388" t="n">
        <v>0.09558592285547525</v>
      </c>
      <c r="Y93" s="388" t="n">
        <v>0.3224138347963527</v>
      </c>
      <c r="Z93" s="388" t="n">
        <v>0.3224138347963527</v>
      </c>
    </row>
    <row r="94" ht="13" customFormat="1" customHeight="1" s="322">
      <c r="A94" s="386" t="inlineStr">
        <is>
          <t>Utility (General)</t>
        </is>
      </c>
      <c r="B94" s="387" t="n">
        <v>55</v>
      </c>
      <c r="C94" s="388" t="n">
        <v>0.01261215686</v>
      </c>
      <c r="D94" s="388" t="n">
        <v>0.09737133674176632</v>
      </c>
      <c r="E94" s="388" t="n">
        <v>0.06353533651006954</v>
      </c>
      <c r="F94" s="388" t="n">
        <v>0.293478295611617</v>
      </c>
      <c r="G94" s="389" t="n">
        <v>0.5038335762985583</v>
      </c>
      <c r="H94" s="389" t="n">
        <v>0.7893999900000001</v>
      </c>
      <c r="I94" s="388" t="n">
        <v>0.07304279938000001</v>
      </c>
      <c r="J94" s="388" t="n">
        <v>0.231413246</v>
      </c>
      <c r="K94" s="388" t="n">
        <v>0.0411</v>
      </c>
      <c r="L94" s="388" t="n">
        <v>0.4644638014365939</v>
      </c>
      <c r="M94" s="388" t="n">
        <v>0.05350479080196219</v>
      </c>
      <c r="N94" s="389" t="n">
        <v>0.8935573723382877</v>
      </c>
      <c r="O94" s="389" t="n">
        <v>1.782458452161282</v>
      </c>
      <c r="P94" s="389" t="n">
        <v>9.808956827158125</v>
      </c>
      <c r="Q94" s="389" t="n">
        <v>18.3004135065936</v>
      </c>
      <c r="R94" s="389" t="n">
        <v>1.67802093221973</v>
      </c>
      <c r="S94" s="389" t="n">
        <v>29.69892446</v>
      </c>
      <c r="T94" s="388" t="n">
        <v>-0.01505499923494114</v>
      </c>
      <c r="U94" s="388" t="n">
        <v>0.1266752022463869</v>
      </c>
      <c r="V94" s="388" t="n">
        <v>0.06342351684335505</v>
      </c>
      <c r="W94" s="388" t="n">
        <v>0.9144204644238912</v>
      </c>
      <c r="X94" s="388" t="n">
        <v>0.07438508965852129</v>
      </c>
      <c r="Y94" s="388" t="n">
        <v>1.150717022478537</v>
      </c>
      <c r="Z94" s="388" t="n">
        <v>1.150717022478537</v>
      </c>
    </row>
    <row r="95" ht="13" customFormat="1" customHeight="1" s="322">
      <c r="A95" s="386" t="inlineStr">
        <is>
          <t>Utility (Water)</t>
        </is>
      </c>
      <c r="B95" s="387" t="n">
        <v>103</v>
      </c>
      <c r="C95" s="388" t="n">
        <v>0.1027774627</v>
      </c>
      <c r="D95" s="388" t="n">
        <v>0.2664978258928581</v>
      </c>
      <c r="E95" s="388" t="n">
        <v>0.08262244034134893</v>
      </c>
      <c r="F95" s="388" t="n">
        <v>0.2313257136148541</v>
      </c>
      <c r="G95" s="389" t="n">
        <v>0.8081106150537204</v>
      </c>
      <c r="H95" s="389" t="n">
        <v>1.093724118</v>
      </c>
      <c r="I95" s="388" t="n">
        <v>0.091910895316</v>
      </c>
      <c r="J95" s="388" t="n">
        <v>0.318726552</v>
      </c>
      <c r="K95" s="388" t="n">
        <v>0.0461</v>
      </c>
      <c r="L95" s="388" t="n">
        <v>0.3632100279136372</v>
      </c>
      <c r="M95" s="388" t="n">
        <v>0.07114787591228348</v>
      </c>
      <c r="N95" s="389" t="n">
        <v>0.3730246600087128</v>
      </c>
      <c r="O95" s="389" t="n">
        <v>4.983508893436475</v>
      </c>
      <c r="P95" s="389" t="n">
        <v>12.69844742963886</v>
      </c>
      <c r="Q95" s="389" t="n">
        <v>18.56286582555427</v>
      </c>
      <c r="R95" s="389" t="n">
        <v>1.940684914986245</v>
      </c>
      <c r="S95" s="389" t="n">
        <v>42.01821905</v>
      </c>
      <c r="T95" s="388" t="n">
        <v>0.04903409862590685</v>
      </c>
      <c r="U95" s="388" t="n">
        <v>0.2069837535573125</v>
      </c>
      <c r="V95" s="388" t="n">
        <v>0.1203903805399018</v>
      </c>
      <c r="W95" s="388" t="n">
        <v>0.9564996857712403</v>
      </c>
      <c r="X95" s="388" t="n">
        <v>0.112312409825613</v>
      </c>
      <c r="Y95" s="388" t="n">
        <v>0.5493142012932123</v>
      </c>
      <c r="Z95" s="388" t="n">
        <v>0.4426467861239574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G201"/>
  <sheetViews>
    <sheetView topLeftCell="A156" workbookViewId="0">
      <selection activeCell="C37" sqref="C37"/>
    </sheetView>
  </sheetViews>
  <sheetFormatPr baseColWidth="10" defaultColWidth="11.5" defaultRowHeight="12"/>
  <cols>
    <col width="27.5" bestFit="1" customWidth="1" min="1" max="1"/>
    <col width="15" bestFit="1" customWidth="1" min="2" max="2"/>
    <col width="18.5" bestFit="1" customWidth="1" min="3" max="3"/>
    <col width="21" bestFit="1" customWidth="1" min="4" max="4"/>
    <col width="20" bestFit="1" customWidth="1" min="5" max="5"/>
    <col width="17.6640625" bestFit="1" customWidth="1" min="6" max="6"/>
    <col width="29.6640625" customWidth="1" min="7" max="7"/>
  </cols>
  <sheetData>
    <row r="1" ht="16" customHeight="1">
      <c r="A1" s="343" t="inlineStr">
        <is>
          <t>Country</t>
        </is>
      </c>
      <c r="B1" s="348" t="inlineStr">
        <is>
          <t>Moody's rating</t>
        </is>
      </c>
      <c r="C1" s="343" t="inlineStr">
        <is>
          <t>Adj. Default Spread</t>
        </is>
      </c>
      <c r="D1" s="343" t="inlineStr">
        <is>
          <t>Equity Risk Premium</t>
        </is>
      </c>
      <c r="E1" s="342" t="inlineStr">
        <is>
          <t>Country Risk Premium</t>
        </is>
      </c>
      <c r="F1" s="342" t="inlineStr">
        <is>
          <t>Corporate Tax Rate</t>
        </is>
      </c>
      <c r="G1" s="343" t="inlineStr">
        <is>
          <t>Region</t>
        </is>
      </c>
    </row>
    <row r="2" ht="16" customHeight="1">
      <c r="A2" s="351" t="inlineStr">
        <is>
          <t>Abu Dhabi</t>
        </is>
      </c>
      <c r="B2" s="348" t="inlineStr">
        <is>
          <t>Aa2</t>
        </is>
      </c>
      <c r="C2" s="345" t="n">
        <v>0.005087631671838969</v>
      </c>
      <c r="D2" s="346" t="n">
        <v>0.0565201482060169</v>
      </c>
      <c r="E2" s="347" t="n">
        <v>0.005720148206016904</v>
      </c>
      <c r="F2" s="347" t="n">
        <v>0</v>
      </c>
      <c r="G2" s="351" t="inlineStr">
        <is>
          <t>Middle East</t>
        </is>
      </c>
    </row>
    <row r="3" ht="16" customHeight="1">
      <c r="A3" s="351" t="inlineStr">
        <is>
          <t>Albania</t>
        </is>
      </c>
      <c r="B3" s="348" t="inlineStr">
        <is>
          <t>B1</t>
        </is>
      </c>
      <c r="C3" s="345" t="n">
        <v>0.04615869462268447</v>
      </c>
      <c r="D3" s="346" t="n">
        <v>0.1026973446327716</v>
      </c>
      <c r="E3" s="347" t="n">
        <v>0.05189734463277155</v>
      </c>
      <c r="F3" s="347" t="n">
        <v>0.15</v>
      </c>
      <c r="G3" s="351" t="inlineStr">
        <is>
          <t>Eastern Europe &amp; Russia</t>
        </is>
      </c>
    </row>
    <row r="4" ht="16" customHeight="1">
      <c r="A4" s="351" t="inlineStr">
        <is>
          <t>Algeria</t>
        </is>
      </c>
      <c r="B4" s="348" t="inlineStr">
        <is>
          <t>NA</t>
        </is>
      </c>
      <c r="C4" s="345" t="n">
        <v>0.0667</v>
      </c>
      <c r="D4" s="349" t="n">
        <v>0.1257924345846795</v>
      </c>
      <c r="E4" s="347" t="n">
        <v>0.07499243458467948</v>
      </c>
      <c r="F4" s="350" t="n">
        <v>0.26</v>
      </c>
      <c r="G4" s="351" t="inlineStr">
        <is>
          <t>Africa</t>
        </is>
      </c>
    </row>
    <row r="5" ht="16" customHeight="1">
      <c r="A5" s="351" t="inlineStr">
        <is>
          <t>Andorra (Principality of)</t>
        </is>
      </c>
      <c r="B5" s="348" t="inlineStr">
        <is>
          <t>Baa2</t>
        </is>
      </c>
      <c r="C5" s="345" t="n">
        <v>0.01951800514105496</v>
      </c>
      <c r="D5" s="346" t="n">
        <v>0.07274456857217394</v>
      </c>
      <c r="E5" s="347" t="n">
        <v>0.02194456857217394</v>
      </c>
      <c r="F5" s="347" t="n">
        <v>0</v>
      </c>
      <c r="G5" s="351" t="inlineStr">
        <is>
          <t>Western Europe</t>
        </is>
      </c>
    </row>
    <row r="6" ht="16" customHeight="1">
      <c r="A6" s="351" t="inlineStr">
        <is>
          <t>Angola</t>
        </is>
      </c>
      <c r="B6" s="348" t="inlineStr">
        <is>
          <t>B2</t>
        </is>
      </c>
      <c r="C6" s="345" t="n">
        <v>0.05642646036039584</v>
      </c>
      <c r="D6" s="346" t="n">
        <v>0.1142416437394602</v>
      </c>
      <c r="E6" s="347" t="n">
        <v>0.06344164373946019</v>
      </c>
      <c r="F6" s="347" t="n">
        <v>0.3</v>
      </c>
      <c r="G6" s="351" t="inlineStr">
        <is>
          <t>Africa</t>
        </is>
      </c>
    </row>
    <row r="7" ht="16" customHeight="1">
      <c r="A7" s="352" t="inlineStr">
        <is>
          <t>Anguilla</t>
        </is>
      </c>
      <c r="B7" s="353" t="inlineStr">
        <is>
          <t>NA</t>
        </is>
      </c>
      <c r="C7" s="354" t="n">
        <v>0.05613595052728036</v>
      </c>
      <c r="D7" s="354" t="n">
        <v>0.113915016458259</v>
      </c>
      <c r="E7" s="354" t="n">
        <v>0.06311501645825901</v>
      </c>
      <c r="F7" s="354" t="n">
        <v>0.2402484348503598</v>
      </c>
      <c r="G7" s="355" t="inlineStr">
        <is>
          <t>Caribbean</t>
        </is>
      </c>
    </row>
    <row r="8" ht="16" customHeight="1">
      <c r="A8" s="352" t="inlineStr">
        <is>
          <t>Antigua &amp; Barbuda</t>
        </is>
      </c>
      <c r="B8" s="353" t="inlineStr">
        <is>
          <t>NA</t>
        </is>
      </c>
      <c r="C8" s="354" t="n">
        <v>0.0561</v>
      </c>
      <c r="D8" s="356" t="n">
        <v>0.1139</v>
      </c>
      <c r="E8" s="356" t="n">
        <v>0.0631</v>
      </c>
      <c r="F8" s="356" t="n">
        <v>0.2402</v>
      </c>
      <c r="G8" s="355" t="inlineStr">
        <is>
          <t>Caribbean</t>
        </is>
      </c>
    </row>
    <row r="9" ht="16" customHeight="1">
      <c r="A9" s="351" t="inlineStr">
        <is>
          <t>Argentina</t>
        </is>
      </c>
      <c r="B9" s="348" t="inlineStr">
        <is>
          <t>B2</t>
        </is>
      </c>
      <c r="C9" s="345" t="n">
        <v>0.05642646036039584</v>
      </c>
      <c r="D9" s="346" t="n">
        <v>0.1142416437394602</v>
      </c>
      <c r="E9" s="347" t="n">
        <v>0.06344164373946019</v>
      </c>
      <c r="F9" s="347" t="n">
        <v>0.35</v>
      </c>
      <c r="G9" s="351" t="inlineStr">
        <is>
          <t>Central and South America</t>
        </is>
      </c>
    </row>
    <row r="10" ht="16" customHeight="1">
      <c r="A10" s="351" t="inlineStr">
        <is>
          <t>Armenia</t>
        </is>
      </c>
      <c r="B10" s="348" t="inlineStr">
        <is>
          <t>B1</t>
        </is>
      </c>
      <c r="C10" s="345" t="n">
        <v>0.04615869462268447</v>
      </c>
      <c r="D10" s="346" t="n">
        <v>0.1026973446327716</v>
      </c>
      <c r="E10" s="347" t="n">
        <v>0.05189734463277155</v>
      </c>
      <c r="F10" s="347" t="n">
        <v>0.2</v>
      </c>
      <c r="G10" s="351" t="inlineStr">
        <is>
          <t>Eastern Europe &amp; Russia</t>
        </is>
      </c>
    </row>
    <row r="11" ht="16" customHeight="1">
      <c r="A11" s="351" t="inlineStr">
        <is>
          <t>Aruba</t>
        </is>
      </c>
      <c r="B11" s="348" t="inlineStr">
        <is>
          <t>Baa1</t>
        </is>
      </c>
      <c r="C11" s="345" t="n">
        <v>0.01637292374391814</v>
      </c>
      <c r="D11" s="346" t="n">
        <v>0.06920847695390894</v>
      </c>
      <c r="E11" s="347" t="n">
        <v>0.01840847695390894</v>
      </c>
      <c r="F11" s="347" t="n">
        <v>0</v>
      </c>
      <c r="G11" s="351" t="inlineStr">
        <is>
          <t>Caribbean</t>
        </is>
      </c>
    </row>
    <row r="12" ht="16" customHeight="1">
      <c r="A12" s="351" t="inlineStr">
        <is>
          <t>Australia</t>
        </is>
      </c>
      <c r="B12" s="348" t="inlineStr">
        <is>
          <t>Aaa</t>
        </is>
      </c>
      <c r="C12" s="345" t="n">
        <v>0</v>
      </c>
      <c r="D12" s="346" t="n">
        <v>0.0508</v>
      </c>
      <c r="E12" s="347" t="n">
        <v>0</v>
      </c>
      <c r="F12" s="347" t="n">
        <v>0.3</v>
      </c>
      <c r="G12" s="351" t="inlineStr">
        <is>
          <t>Australia &amp; New Zealand</t>
        </is>
      </c>
    </row>
    <row r="13" ht="16" customHeight="1">
      <c r="A13" s="351" t="inlineStr">
        <is>
          <t>Austria</t>
        </is>
      </c>
      <c r="B13" s="348" t="inlineStr">
        <is>
          <t>Aa1</t>
        </is>
      </c>
      <c r="C13" s="345" t="n">
        <v>0.004070105337471175</v>
      </c>
      <c r="D13" s="346" t="n">
        <v>0.05537611856481352</v>
      </c>
      <c r="E13" s="347" t="n">
        <v>0.004576118564813522</v>
      </c>
      <c r="F13" s="347" t="n">
        <v>0.25</v>
      </c>
      <c r="G13" s="351" t="inlineStr">
        <is>
          <t>Western Europe</t>
        </is>
      </c>
    </row>
    <row r="14" ht="16" customHeight="1">
      <c r="A14" s="351" t="inlineStr">
        <is>
          <t>Azerbaijan</t>
        </is>
      </c>
      <c r="B14" s="348" t="inlineStr">
        <is>
          <t>Ba2</t>
        </is>
      </c>
      <c r="C14" s="345" t="n">
        <v>0.03080329721313413</v>
      </c>
      <c r="D14" s="346" t="n">
        <v>0.08543289732006598</v>
      </c>
      <c r="E14" s="347" t="n">
        <v>0.03463289732006598</v>
      </c>
      <c r="F14" s="347" t="n">
        <v>0.2</v>
      </c>
      <c r="G14" s="351" t="inlineStr">
        <is>
          <t>Eastern Europe &amp; Russia</t>
        </is>
      </c>
    </row>
    <row r="15" ht="16" customHeight="1">
      <c r="A15" s="351" t="inlineStr">
        <is>
          <t>Bahamas</t>
        </is>
      </c>
      <c r="B15" s="348" t="inlineStr">
        <is>
          <t>Baa3</t>
        </is>
      </c>
      <c r="C15" s="345" t="n">
        <v>0.02257058414415834</v>
      </c>
      <c r="D15" s="346" t="n">
        <v>0.07617665749578408</v>
      </c>
      <c r="E15" s="347" t="n">
        <v>0.02537665749578408</v>
      </c>
      <c r="F15" s="347" t="n">
        <v>0</v>
      </c>
      <c r="G15" s="351" t="inlineStr">
        <is>
          <t>Caribbean</t>
        </is>
      </c>
    </row>
    <row r="16" ht="16" customHeight="1">
      <c r="A16" s="351" t="inlineStr">
        <is>
          <t>Bahrain</t>
        </is>
      </c>
      <c r="B16" s="348" t="inlineStr">
        <is>
          <t>B1</t>
        </is>
      </c>
      <c r="C16" s="345" t="n">
        <v>0.04615869462268447</v>
      </c>
      <c r="D16" s="346" t="n">
        <v>0.1026973446327716</v>
      </c>
      <c r="E16" s="347" t="n">
        <v>0.05189734463277155</v>
      </c>
      <c r="F16" s="347" t="n">
        <v>0</v>
      </c>
      <c r="G16" s="351" t="inlineStr">
        <is>
          <t>Middle East</t>
        </is>
      </c>
    </row>
    <row r="17" ht="16" customHeight="1">
      <c r="A17" s="351" t="inlineStr">
        <is>
          <t>Bangladesh</t>
        </is>
      </c>
      <c r="B17" s="348" t="inlineStr">
        <is>
          <t>Ba3</t>
        </is>
      </c>
      <c r="C17" s="345" t="n">
        <v>0.03690845521934089</v>
      </c>
      <c r="D17" s="346" t="n">
        <v>0.09229707516728627</v>
      </c>
      <c r="E17" s="347" t="n">
        <v>0.04149707516728627</v>
      </c>
      <c r="F17" s="347" t="n">
        <v>0.25</v>
      </c>
      <c r="G17" s="351" t="inlineStr">
        <is>
          <t>Asia</t>
        </is>
      </c>
    </row>
    <row r="18" ht="16" customHeight="1">
      <c r="A18" s="351" t="inlineStr">
        <is>
          <t>Barbados</t>
        </is>
      </c>
      <c r="B18" s="348" t="inlineStr">
        <is>
          <t>Caa3</t>
        </is>
      </c>
      <c r="C18" s="345" t="n">
        <v>0.1024926525890469</v>
      </c>
      <c r="D18" s="346" t="n">
        <v>0.1660349856775769</v>
      </c>
      <c r="E18" s="347" t="n">
        <v>0.1152349856775769</v>
      </c>
      <c r="F18" s="347" t="n">
        <v>0.25</v>
      </c>
      <c r="G18" s="351" t="inlineStr">
        <is>
          <t>Caribbean</t>
        </is>
      </c>
    </row>
    <row r="19" ht="16" customHeight="1">
      <c r="A19" s="351" t="inlineStr">
        <is>
          <t>Belarus</t>
        </is>
      </c>
      <c r="B19" s="348" t="inlineStr">
        <is>
          <t>Caa1</t>
        </is>
      </c>
      <c r="C19" s="345" t="n">
        <v>0.07686948944178516</v>
      </c>
      <c r="D19" s="346" t="n">
        <v>0.1372262392581827</v>
      </c>
      <c r="E19" s="347" t="n">
        <v>0.08642623925818267</v>
      </c>
      <c r="F19" s="347" t="n">
        <v>0.18</v>
      </c>
      <c r="G19" s="351" t="inlineStr">
        <is>
          <t>Eastern Europe &amp; Russia</t>
        </is>
      </c>
    </row>
    <row r="20" ht="16" customHeight="1">
      <c r="A20" s="351" t="inlineStr">
        <is>
          <t>Belgium</t>
        </is>
      </c>
      <c r="B20" s="348" t="inlineStr">
        <is>
          <t>Aa3</t>
        </is>
      </c>
      <c r="C20" s="345" t="n">
        <v>0.006197660400240199</v>
      </c>
      <c r="D20" s="346" t="n">
        <v>0.05776818054187514</v>
      </c>
      <c r="E20" s="347" t="n">
        <v>0.006968180541875137</v>
      </c>
      <c r="F20" s="347" t="n">
        <v>0.3399</v>
      </c>
      <c r="G20" s="351" t="inlineStr">
        <is>
          <t>Western Europe</t>
        </is>
      </c>
    </row>
    <row r="21" ht="16" customHeight="1">
      <c r="A21" s="351" t="inlineStr">
        <is>
          <t>Belize</t>
        </is>
      </c>
      <c r="B21" s="348" t="inlineStr">
        <is>
          <t>B3</t>
        </is>
      </c>
      <c r="C21" s="345" t="n">
        <v>0.06669422609810723</v>
      </c>
      <c r="D21" s="346" t="n">
        <v>0.1257859428461489</v>
      </c>
      <c r="E21" s="347" t="n">
        <v>0.07498594284614887</v>
      </c>
      <c r="F21" s="347" t="n">
        <v>0.2821</v>
      </c>
      <c r="G21" s="351" t="inlineStr">
        <is>
          <t>Central and South America</t>
        </is>
      </c>
    </row>
    <row r="22" ht="16" customHeight="1">
      <c r="A22" s="352" t="inlineStr">
        <is>
          <t>Benin</t>
        </is>
      </c>
      <c r="B22" s="353" t="inlineStr">
        <is>
          <t>NA</t>
        </is>
      </c>
      <c r="C22" s="354" t="n">
        <v>0.04859745028264898</v>
      </c>
      <c r="D22" s="354" t="n">
        <v>0.1047249280470509</v>
      </c>
      <c r="E22" s="354" t="n">
        <v>0.05463929702104599</v>
      </c>
      <c r="F22" s="354" t="n">
        <v>0.2761366603012199</v>
      </c>
      <c r="G22" s="355" t="inlineStr">
        <is>
          <t>Africa</t>
        </is>
      </c>
    </row>
    <row r="23" ht="16" customHeight="1">
      <c r="A23" s="351" t="inlineStr">
        <is>
          <t>Bermuda</t>
        </is>
      </c>
      <c r="B23" s="348" t="inlineStr">
        <is>
          <t>A2</t>
        </is>
      </c>
      <c r="C23" s="345" t="n">
        <v>0.008695225039142968</v>
      </c>
      <c r="D23" s="346" t="n">
        <v>0.06057625329755616</v>
      </c>
      <c r="E23" s="347" t="n">
        <v>0.009776253297556164</v>
      </c>
      <c r="F23" s="347" t="n">
        <v>0</v>
      </c>
      <c r="G23" s="351" t="inlineStr">
        <is>
          <t>Caribbean</t>
        </is>
      </c>
    </row>
    <row r="24" ht="16" customHeight="1">
      <c r="A24" s="351" t="inlineStr">
        <is>
          <t>Bolivia</t>
        </is>
      </c>
      <c r="B24" s="348" t="inlineStr">
        <is>
          <t>Ba3</t>
        </is>
      </c>
      <c r="C24" s="345" t="n">
        <v>0.03690845521934089</v>
      </c>
      <c r="D24" s="346" t="n">
        <v>0.09229707516728627</v>
      </c>
      <c r="E24" s="347" t="n">
        <v>0.04149707516728627</v>
      </c>
      <c r="F24" s="347" t="n">
        <v>0.25</v>
      </c>
      <c r="G24" s="351" t="inlineStr">
        <is>
          <t>Central and South America</t>
        </is>
      </c>
    </row>
    <row r="25" ht="16" customHeight="1">
      <c r="A25" s="351" t="inlineStr">
        <is>
          <t>Bosnia and Herzegovina</t>
        </is>
      </c>
      <c r="B25" s="348" t="inlineStr">
        <is>
          <t>B3</t>
        </is>
      </c>
      <c r="C25" s="345" t="n">
        <v>0.06669422609810723</v>
      </c>
      <c r="D25" s="346" t="n">
        <v>0.1257859428461489</v>
      </c>
      <c r="E25" s="347" t="n">
        <v>0.07498594284614887</v>
      </c>
      <c r="F25" s="347" t="n">
        <v>0.1</v>
      </c>
      <c r="G25" s="351" t="inlineStr">
        <is>
          <t>Eastern Europe &amp; Russia</t>
        </is>
      </c>
    </row>
    <row r="26" ht="16" customHeight="1">
      <c r="A26" s="351" t="inlineStr">
        <is>
          <t>Botswana</t>
        </is>
      </c>
      <c r="B26" s="348" t="inlineStr">
        <is>
          <t>A2</t>
        </is>
      </c>
      <c r="C26" s="345" t="n">
        <v>0.008695225039142968</v>
      </c>
      <c r="D26" s="346" t="n">
        <v>0.06057625329755616</v>
      </c>
      <c r="E26" s="347" t="n">
        <v>0.009776253297556164</v>
      </c>
      <c r="F26" s="347" t="n">
        <v>0.22</v>
      </c>
      <c r="G26" s="351" t="inlineStr">
        <is>
          <t>Africa</t>
        </is>
      </c>
    </row>
    <row r="27" ht="16" customHeight="1">
      <c r="A27" s="351" t="inlineStr">
        <is>
          <t>Brazil</t>
        </is>
      </c>
      <c r="B27" s="348" t="inlineStr">
        <is>
          <t>Ba2</t>
        </is>
      </c>
      <c r="C27" s="345" t="n">
        <v>0.03080329721313413</v>
      </c>
      <c r="D27" s="346" t="n">
        <v>0.08543289732006598</v>
      </c>
      <c r="E27" s="347" t="n">
        <v>0.03463289732006598</v>
      </c>
      <c r="F27" s="347" t="n">
        <v>0.34</v>
      </c>
      <c r="G27" s="351" t="inlineStr">
        <is>
          <t>Central and South America</t>
        </is>
      </c>
    </row>
    <row r="28" ht="16" customHeight="1">
      <c r="A28" s="357" t="inlineStr">
        <is>
          <t>British Virgin Islands</t>
        </is>
      </c>
      <c r="B28" s="353" t="inlineStr">
        <is>
          <t>NA</t>
        </is>
      </c>
      <c r="C28" s="354" t="n">
        <v>0.0561</v>
      </c>
      <c r="D28" s="356" t="n">
        <v>0.1139</v>
      </c>
      <c r="E28" s="356" t="n">
        <v>0.0631</v>
      </c>
      <c r="F28" s="356" t="n">
        <v>0.2402</v>
      </c>
      <c r="G28" s="355" t="inlineStr">
        <is>
          <t>Caribbean</t>
        </is>
      </c>
    </row>
    <row r="29" ht="16" customHeight="1">
      <c r="A29" s="351" t="inlineStr">
        <is>
          <t>Brunei</t>
        </is>
      </c>
      <c r="B29" s="348" t="inlineStr">
        <is>
          <t>NA</t>
        </is>
      </c>
      <c r="C29" s="345" t="n">
        <v>0.008699999999999999</v>
      </c>
      <c r="D29" s="349" t="n">
        <v>0.0605816219023495</v>
      </c>
      <c r="E29" s="347" t="n">
        <v>0.009781621902349498</v>
      </c>
      <c r="F29" s="358" t="n">
        <v>0.185</v>
      </c>
      <c r="G29" s="351" t="inlineStr">
        <is>
          <t>Middle East</t>
        </is>
      </c>
    </row>
    <row r="30" ht="16" customHeight="1">
      <c r="A30" s="351" t="inlineStr">
        <is>
          <t>Bulgaria</t>
        </is>
      </c>
      <c r="B30" s="348" t="inlineStr">
        <is>
          <t>Baa2</t>
        </is>
      </c>
      <c r="C30" s="345" t="n">
        <v>0.01951800514105496</v>
      </c>
      <c r="D30" s="346" t="n">
        <v>0.07274456857217394</v>
      </c>
      <c r="E30" s="347" t="n">
        <v>0.02194456857217394</v>
      </c>
      <c r="F30" s="347" t="n">
        <v>0.1</v>
      </c>
      <c r="G30" s="351" t="inlineStr">
        <is>
          <t>Eastern Europe &amp; Russia</t>
        </is>
      </c>
    </row>
    <row r="31" ht="16" customHeight="1">
      <c r="A31" s="351" t="inlineStr">
        <is>
          <t>Burkina Faso</t>
        </is>
      </c>
      <c r="B31" s="348" t="inlineStr">
        <is>
          <t>B2</t>
        </is>
      </c>
      <c r="C31" s="345" t="n">
        <v>0.05642646036039584</v>
      </c>
      <c r="D31" s="346" t="n">
        <v>0.1142416437394602</v>
      </c>
      <c r="E31" s="347" t="n">
        <v>0.06344164373946019</v>
      </c>
      <c r="F31" s="347" t="n">
        <v>0.275</v>
      </c>
      <c r="G31" s="351" t="inlineStr">
        <is>
          <t>Africa</t>
        </is>
      </c>
    </row>
    <row r="32" ht="16" customHeight="1">
      <c r="A32" s="351" t="inlineStr">
        <is>
          <t>Cambodia</t>
        </is>
      </c>
      <c r="B32" s="348" t="inlineStr">
        <is>
          <t>B2</t>
        </is>
      </c>
      <c r="C32" s="345" t="n">
        <v>0.05642646036039584</v>
      </c>
      <c r="D32" s="346" t="n">
        <v>0.1142416437394602</v>
      </c>
      <c r="E32" s="347" t="n">
        <v>0.06344164373946019</v>
      </c>
      <c r="F32" s="347" t="n">
        <v>0.2</v>
      </c>
      <c r="G32" s="351" t="inlineStr">
        <is>
          <t>Asia</t>
        </is>
      </c>
    </row>
    <row r="33" ht="16" customHeight="1">
      <c r="A33" s="351" t="inlineStr">
        <is>
          <t>Cameroon</t>
        </is>
      </c>
      <c r="B33" s="348" t="inlineStr">
        <is>
          <t>B2</t>
        </is>
      </c>
      <c r="C33" s="345" t="n">
        <v>0.05642646036039584</v>
      </c>
      <c r="D33" s="346" t="n">
        <v>0.1142416437394602</v>
      </c>
      <c r="E33" s="347" t="n">
        <v>0.06344164373946019</v>
      </c>
      <c r="F33" s="347" t="n">
        <v>0.33</v>
      </c>
      <c r="G33" s="351" t="inlineStr">
        <is>
          <t>Africa</t>
        </is>
      </c>
    </row>
    <row r="34" ht="16" customHeight="1">
      <c r="A34" s="351" t="inlineStr">
        <is>
          <t>Canada</t>
        </is>
      </c>
      <c r="B34" s="348" t="inlineStr">
        <is>
          <t>Aaa</t>
        </is>
      </c>
      <c r="C34" s="345" t="n">
        <v>0</v>
      </c>
      <c r="D34" s="346" t="n">
        <v>0.0508</v>
      </c>
      <c r="E34" s="347" t="n">
        <v>0</v>
      </c>
      <c r="F34" s="347" t="n">
        <v>0.265</v>
      </c>
      <c r="G34" s="351" t="inlineStr">
        <is>
          <t>North America</t>
        </is>
      </c>
    </row>
    <row r="35" ht="16" customHeight="1">
      <c r="A35" s="351" t="inlineStr">
        <is>
          <t>Cape Verde</t>
        </is>
      </c>
      <c r="B35" s="348" t="inlineStr">
        <is>
          <t>B2</t>
        </is>
      </c>
      <c r="C35" s="345" t="n">
        <v>0.05642646036039584</v>
      </c>
      <c r="D35" s="346" t="n">
        <v>0.1142416437394602</v>
      </c>
      <c r="E35" s="347" t="n">
        <v>0.06344164373946019</v>
      </c>
      <c r="F35" s="347" t="n">
        <v>0.2821</v>
      </c>
      <c r="G35" s="351" t="inlineStr">
        <is>
          <t>Africa</t>
        </is>
      </c>
    </row>
    <row r="36" ht="16" customHeight="1">
      <c r="A36" s="351" t="inlineStr">
        <is>
          <t>Cayman Islands</t>
        </is>
      </c>
      <c r="B36" s="348" t="inlineStr">
        <is>
          <t>Aa3</t>
        </is>
      </c>
      <c r="C36" s="345" t="n">
        <v>0.006197660400240199</v>
      </c>
      <c r="D36" s="346" t="n">
        <v>0.05776818054187514</v>
      </c>
      <c r="E36" s="347" t="n">
        <v>0.006968180541875137</v>
      </c>
      <c r="F36" s="347" t="n">
        <v>0</v>
      </c>
      <c r="G36" s="351" t="inlineStr">
        <is>
          <t>Caribbean</t>
        </is>
      </c>
    </row>
    <row r="37" ht="16" customHeight="1">
      <c r="A37" s="352" t="inlineStr">
        <is>
          <t>Channel Islands</t>
        </is>
      </c>
      <c r="B37" s="359" t="inlineStr">
        <is>
          <t>NA</t>
        </is>
      </c>
      <c r="C37" s="360" t="n">
        <v>0.008234394257640143</v>
      </c>
      <c r="D37" s="360" t="n">
        <v>0.06005813002564525</v>
      </c>
      <c r="E37" s="360" t="n">
        <v>0.009258130025645258</v>
      </c>
      <c r="F37" s="360" t="n">
        <v>0.25513332425872</v>
      </c>
      <c r="G37" s="361" t="inlineStr">
        <is>
          <t>Western Europe</t>
        </is>
      </c>
    </row>
    <row r="38" ht="16" customHeight="1">
      <c r="A38" s="351" t="inlineStr">
        <is>
          <t>Chile</t>
        </is>
      </c>
      <c r="B38" s="348" t="inlineStr">
        <is>
          <t>Aa3</t>
        </is>
      </c>
      <c r="C38" s="345" t="n">
        <v>0.006197660400240199</v>
      </c>
      <c r="D38" s="346" t="n">
        <v>0.05776818054187514</v>
      </c>
      <c r="E38" s="347" t="n">
        <v>0.006968180541875137</v>
      </c>
      <c r="F38" s="347" t="n">
        <v>0.255</v>
      </c>
      <c r="G38" s="351" t="inlineStr">
        <is>
          <t>Central and South America</t>
        </is>
      </c>
    </row>
    <row r="39" ht="16" customHeight="1">
      <c r="A39" s="351" t="inlineStr">
        <is>
          <t>China</t>
        </is>
      </c>
      <c r="B39" s="348" t="inlineStr">
        <is>
          <t>A1</t>
        </is>
      </c>
      <c r="C39" s="345" t="n">
        <v>0.007215186734607994</v>
      </c>
      <c r="D39" s="346" t="n">
        <v>0.05891221018307852</v>
      </c>
      <c r="E39" s="347" t="n">
        <v>0.008112210183078518</v>
      </c>
      <c r="F39" s="347" t="n">
        <v>0.25</v>
      </c>
      <c r="G39" s="351" t="inlineStr">
        <is>
          <t>Asia</t>
        </is>
      </c>
    </row>
    <row r="40" ht="16" customHeight="1">
      <c r="A40" s="351" t="inlineStr">
        <is>
          <t>Colombia</t>
        </is>
      </c>
      <c r="B40" s="348" t="inlineStr">
        <is>
          <t>Baa2</t>
        </is>
      </c>
      <c r="C40" s="345" t="n">
        <v>0.01951800514105496</v>
      </c>
      <c r="D40" s="346" t="n">
        <v>0.07274456857217394</v>
      </c>
      <c r="E40" s="347" t="n">
        <v>0.02194456857217394</v>
      </c>
      <c r="F40" s="347" t="n">
        <v>0.34</v>
      </c>
      <c r="G40" s="351" t="inlineStr">
        <is>
          <t>Central and South America</t>
        </is>
      </c>
    </row>
    <row r="41" ht="16" customHeight="1">
      <c r="A41" s="351" t="inlineStr">
        <is>
          <t>Congo (Democratic Republic of)</t>
        </is>
      </c>
      <c r="B41" s="348" t="inlineStr">
        <is>
          <t>B3</t>
        </is>
      </c>
      <c r="C41" s="345" t="n">
        <v>0.06669422609810723</v>
      </c>
      <c r="D41" s="346" t="n">
        <v>0.1257859428461489</v>
      </c>
      <c r="E41" s="347" t="n">
        <v>0.07498594284614887</v>
      </c>
      <c r="F41" s="347" t="n">
        <v>0.35</v>
      </c>
      <c r="G41" s="351" t="inlineStr">
        <is>
          <t>Africa</t>
        </is>
      </c>
    </row>
    <row r="42" ht="16" customHeight="1">
      <c r="A42" s="351" t="inlineStr">
        <is>
          <t>Congo (Republic of)</t>
        </is>
      </c>
      <c r="B42" s="348" t="inlineStr">
        <is>
          <t>Caa2</t>
        </is>
      </c>
      <c r="C42" s="345" t="n">
        <v>0.09231738924536895</v>
      </c>
      <c r="D42" s="346" t="n">
        <v>0.1545946892655431</v>
      </c>
      <c r="E42" s="347" t="n">
        <v>0.1037946892655431</v>
      </c>
      <c r="F42" s="347" t="n">
        <v>0.2821</v>
      </c>
      <c r="G42" s="351" t="inlineStr">
        <is>
          <t>Africa</t>
        </is>
      </c>
    </row>
    <row r="43" ht="16" customHeight="1">
      <c r="A43" s="351" t="inlineStr">
        <is>
          <t>Cook Islands</t>
        </is>
      </c>
      <c r="B43" s="348" t="inlineStr">
        <is>
          <t>B1</t>
        </is>
      </c>
      <c r="C43" s="345" t="n">
        <v>0.04615869462268447</v>
      </c>
      <c r="D43" s="346" t="n">
        <v>0.1026973446327716</v>
      </c>
      <c r="E43" s="347" t="n">
        <v>0.05189734463277155</v>
      </c>
      <c r="F43" s="347" t="n">
        <v>0</v>
      </c>
      <c r="G43" s="351" t="inlineStr">
        <is>
          <t>Australia &amp; New Zealand</t>
        </is>
      </c>
    </row>
    <row r="44" ht="16" customHeight="1">
      <c r="A44" s="351" t="inlineStr">
        <is>
          <t>Costa Rica</t>
        </is>
      </c>
      <c r="B44" s="348" t="inlineStr">
        <is>
          <t>Ba2</t>
        </is>
      </c>
      <c r="C44" s="345" t="n">
        <v>0.03080329721313413</v>
      </c>
      <c r="D44" s="346" t="n">
        <v>0.08543289732006598</v>
      </c>
      <c r="E44" s="347" t="n">
        <v>0.03463289732006598</v>
      </c>
      <c r="F44" s="347" t="n">
        <v>0.3</v>
      </c>
      <c r="G44" s="351" t="inlineStr">
        <is>
          <t>Central and South America</t>
        </is>
      </c>
    </row>
    <row r="45" ht="16" customHeight="1">
      <c r="A45" s="362" t="inlineStr">
        <is>
          <t>Croatia</t>
        </is>
      </c>
      <c r="B45" s="348" t="inlineStr">
        <is>
          <t>Ba2</t>
        </is>
      </c>
      <c r="C45" s="345" t="n">
        <v>0.03080329721313413</v>
      </c>
      <c r="D45" s="346" t="n">
        <v>0.08543289732006598</v>
      </c>
      <c r="E45" s="347" t="n">
        <v>0.03463289732006598</v>
      </c>
      <c r="F45" s="347" t="n">
        <v>0.2</v>
      </c>
      <c r="G45" s="351" t="inlineStr">
        <is>
          <t>Eastern Europe &amp; Russia</t>
        </is>
      </c>
    </row>
    <row r="46" ht="16" customHeight="1">
      <c r="A46" s="351" t="inlineStr">
        <is>
          <t>Cuba</t>
        </is>
      </c>
      <c r="B46" s="348" t="inlineStr">
        <is>
          <t>Caa2</t>
        </is>
      </c>
      <c r="C46" s="345" t="n">
        <v>0.09231738924536895</v>
      </c>
      <c r="D46" s="346" t="n">
        <v>0.1545946892655431</v>
      </c>
      <c r="E46" s="347" t="n">
        <v>0.1037946892655431</v>
      </c>
      <c r="F46" s="347" t="n">
        <v>0.2798</v>
      </c>
      <c r="G46" s="351" t="inlineStr">
        <is>
          <t>Caribbean</t>
        </is>
      </c>
    </row>
    <row r="47" ht="16" customHeight="1">
      <c r="A47" s="363" t="inlineStr">
        <is>
          <t>Curaçao</t>
        </is>
      </c>
      <c r="B47" s="348" t="inlineStr">
        <is>
          <t>A3</t>
        </is>
      </c>
      <c r="C47" s="345" t="n">
        <v>0.01230281840644696</v>
      </c>
      <c r="D47" s="346" t="n">
        <v>0.06463235838909542</v>
      </c>
      <c r="E47" s="347" t="n">
        <v>0.01383235838909542</v>
      </c>
      <c r="F47" s="347" t="n">
        <v>0.22</v>
      </c>
      <c r="G47" s="351" t="inlineStr">
        <is>
          <t>Caribbean</t>
        </is>
      </c>
    </row>
    <row r="48" ht="16" customHeight="1">
      <c r="A48" s="362" t="inlineStr">
        <is>
          <t>Cyprus</t>
        </is>
      </c>
      <c r="B48" s="348" t="inlineStr">
        <is>
          <t>Ba3</t>
        </is>
      </c>
      <c r="C48" s="345" t="n">
        <v>0.03690845521934089</v>
      </c>
      <c r="D48" s="346" t="n">
        <v>0.09229707516728627</v>
      </c>
      <c r="E48" s="347" t="n">
        <v>0.04149707516728627</v>
      </c>
      <c r="F48" s="347" t="n">
        <v>0.125</v>
      </c>
      <c r="G48" s="351" t="inlineStr">
        <is>
          <t>Western Europe</t>
        </is>
      </c>
    </row>
    <row r="49" ht="16" customHeight="1">
      <c r="A49" s="351" t="inlineStr">
        <is>
          <t>Czech Republic</t>
        </is>
      </c>
      <c r="B49" s="348" t="inlineStr">
        <is>
          <t>A1</t>
        </is>
      </c>
      <c r="C49" s="345" t="n">
        <v>0.007215186734607994</v>
      </c>
      <c r="D49" s="346" t="n">
        <v>0.05891221018307852</v>
      </c>
      <c r="E49" s="347" t="n">
        <v>0.008112210183078518</v>
      </c>
      <c r="F49" s="347" t="n">
        <v>0.19</v>
      </c>
      <c r="G49" s="351" t="inlineStr">
        <is>
          <t>Eastern Europe &amp; Russia</t>
        </is>
      </c>
    </row>
    <row r="50" ht="16" customHeight="1">
      <c r="A50" s="351" t="inlineStr">
        <is>
          <t>Denmark</t>
        </is>
      </c>
      <c r="B50" s="348" t="inlineStr">
        <is>
          <t>Aaa</t>
        </is>
      </c>
      <c r="C50" s="345" t="n">
        <v>0</v>
      </c>
      <c r="D50" s="346" t="n">
        <v>0.0508</v>
      </c>
      <c r="E50" s="347" t="n">
        <v>0</v>
      </c>
      <c r="F50" s="347" t="n">
        <v>0.22</v>
      </c>
      <c r="G50" s="351" t="inlineStr">
        <is>
          <t>Western Europe</t>
        </is>
      </c>
    </row>
    <row r="51" ht="16" customHeight="1">
      <c r="A51" s="351" t="inlineStr">
        <is>
          <t>Dominican Republic</t>
        </is>
      </c>
      <c r="B51" s="348" t="inlineStr">
        <is>
          <t>Ba3</t>
        </is>
      </c>
      <c r="C51" s="345" t="n">
        <v>0.03690845521934089</v>
      </c>
      <c r="D51" s="346" t="n">
        <v>0.09229707516728627</v>
      </c>
      <c r="E51" s="347" t="n">
        <v>0.04149707516728627</v>
      </c>
      <c r="F51" s="347" t="n">
        <v>0.27</v>
      </c>
      <c r="G51" s="351" t="inlineStr">
        <is>
          <t>Caribbean</t>
        </is>
      </c>
    </row>
    <row r="52" ht="16" customHeight="1">
      <c r="A52" s="351" t="inlineStr">
        <is>
          <t>Ecuador</t>
        </is>
      </c>
      <c r="B52" s="348" t="inlineStr">
        <is>
          <t>B3</t>
        </is>
      </c>
      <c r="C52" s="345" t="n">
        <v>0.06669422609810723</v>
      </c>
      <c r="D52" s="346" t="n">
        <v>0.1257859428461489</v>
      </c>
      <c r="E52" s="347" t="n">
        <v>0.07498594284614887</v>
      </c>
      <c r="F52" s="347" t="n">
        <v>0.22</v>
      </c>
      <c r="G52" s="351" t="inlineStr">
        <is>
          <t>Central and South America</t>
        </is>
      </c>
    </row>
    <row r="53" ht="16" customHeight="1">
      <c r="A53" s="351" t="inlineStr">
        <is>
          <t>Egypt</t>
        </is>
      </c>
      <c r="B53" s="348" t="inlineStr">
        <is>
          <t>B3</t>
        </is>
      </c>
      <c r="C53" s="345" t="n">
        <v>0.06669422609810723</v>
      </c>
      <c r="D53" s="346" t="n">
        <v>0.1257859428461489</v>
      </c>
      <c r="E53" s="347" t="n">
        <v>0.07498594284614887</v>
      </c>
      <c r="F53" s="347" t="n">
        <v>0.225</v>
      </c>
      <c r="G53" s="351" t="inlineStr">
        <is>
          <t>Africa</t>
        </is>
      </c>
    </row>
    <row r="54" ht="16" customHeight="1">
      <c r="A54" s="351" t="inlineStr">
        <is>
          <t>El Salvador</t>
        </is>
      </c>
      <c r="B54" s="348" t="inlineStr">
        <is>
          <t>Caa1</t>
        </is>
      </c>
      <c r="C54" s="345" t="n">
        <v>0.07686948944178516</v>
      </c>
      <c r="D54" s="346" t="n">
        <v>0.1372262392581827</v>
      </c>
      <c r="E54" s="347" t="n">
        <v>0.08642623925818267</v>
      </c>
      <c r="F54" s="347" t="n">
        <v>0.3</v>
      </c>
      <c r="G54" s="351" t="inlineStr">
        <is>
          <t>Central and South America</t>
        </is>
      </c>
    </row>
    <row r="55" ht="16" customHeight="1">
      <c r="A55" s="351" t="inlineStr">
        <is>
          <t>Estonia</t>
        </is>
      </c>
      <c r="B55" s="348" t="inlineStr">
        <is>
          <t>A1</t>
        </is>
      </c>
      <c r="C55" s="345" t="n">
        <v>0.007215186734607994</v>
      </c>
      <c r="D55" s="346" t="n">
        <v>0.05891221018307852</v>
      </c>
      <c r="E55" s="347" t="n">
        <v>0.008112210183078518</v>
      </c>
      <c r="F55" s="347" t="n">
        <v>0.2</v>
      </c>
      <c r="G55" s="351" t="inlineStr">
        <is>
          <t>Eastern Europe &amp; Russia</t>
        </is>
      </c>
    </row>
    <row r="56" ht="16" customHeight="1">
      <c r="A56" s="351" t="inlineStr">
        <is>
          <t>Ethiopia</t>
        </is>
      </c>
      <c r="B56" s="348" t="inlineStr">
        <is>
          <t>B1</t>
        </is>
      </c>
      <c r="C56" s="345" t="n">
        <v>0.04615869462268447</v>
      </c>
      <c r="D56" s="346" t="n">
        <v>0.1026973446327716</v>
      </c>
      <c r="E56" s="347" t="n">
        <v>0.05189734463277155</v>
      </c>
      <c r="F56" s="347" t="n">
        <v>0.3</v>
      </c>
      <c r="G56" s="351" t="inlineStr">
        <is>
          <t>Africa</t>
        </is>
      </c>
    </row>
    <row r="57" ht="16" customHeight="1">
      <c r="A57" s="364" t="inlineStr">
        <is>
          <t>Falkland Islands</t>
        </is>
      </c>
      <c r="B57" s="353" t="inlineStr">
        <is>
          <t>NA</t>
        </is>
      </c>
      <c r="C57" s="354" t="n">
        <v>0.03158300855086299</v>
      </c>
      <c r="D57" s="354" t="n">
        <v>0.08630954576818539</v>
      </c>
      <c r="E57" s="365" t="n">
        <v>0.0355095457681854</v>
      </c>
      <c r="F57" s="365" t="n">
        <v>0.3173322851731455</v>
      </c>
      <c r="G57" s="355" t="inlineStr">
        <is>
          <t>Central and South America</t>
        </is>
      </c>
    </row>
    <row r="58" ht="16" customHeight="1">
      <c r="A58" s="362" t="inlineStr">
        <is>
          <t>Fiji</t>
        </is>
      </c>
      <c r="B58" s="348" t="inlineStr">
        <is>
          <t>Ba3</t>
        </is>
      </c>
      <c r="C58" s="345" t="n">
        <v>0.03690845521934089</v>
      </c>
      <c r="D58" s="346" t="n">
        <v>0.09229707516728627</v>
      </c>
      <c r="E58" s="360" t="n">
        <v>0.04149707516728627</v>
      </c>
      <c r="F58" s="360" t="n">
        <v>0.2</v>
      </c>
      <c r="G58" s="351" t="inlineStr">
        <is>
          <t>Asia</t>
        </is>
      </c>
    </row>
    <row r="59" ht="16" customHeight="1">
      <c r="A59" s="351" t="inlineStr">
        <is>
          <t>Finland</t>
        </is>
      </c>
      <c r="B59" s="348" t="inlineStr">
        <is>
          <t>Aa1</t>
        </is>
      </c>
      <c r="C59" s="345" t="n">
        <v>0.004070105337471175</v>
      </c>
      <c r="D59" s="346" t="n">
        <v>0.05537611856481352</v>
      </c>
      <c r="E59" s="347" t="n">
        <v>0.004576118564813522</v>
      </c>
      <c r="F59" s="347" t="n">
        <v>0.2</v>
      </c>
      <c r="G59" s="351" t="inlineStr">
        <is>
          <t>Western Europe</t>
        </is>
      </c>
    </row>
    <row r="60" ht="16" customHeight="1">
      <c r="A60" s="351" t="inlineStr">
        <is>
          <t>France</t>
        </is>
      </c>
      <c r="B60" s="348" t="inlineStr">
        <is>
          <t>Aa2</t>
        </is>
      </c>
      <c r="C60" s="345" t="n">
        <v>0.005087631671838969</v>
      </c>
      <c r="D60" s="346" t="n">
        <v>0.0565201482060169</v>
      </c>
      <c r="E60" s="347" t="n">
        <v>0.005720148206016904</v>
      </c>
      <c r="F60" s="347" t="n">
        <v>0.3333</v>
      </c>
      <c r="G60" s="351" t="inlineStr">
        <is>
          <t>Western Europe</t>
        </is>
      </c>
    </row>
    <row r="61" ht="16" customHeight="1">
      <c r="A61" s="351" t="inlineStr">
        <is>
          <t>Gabon</t>
        </is>
      </c>
      <c r="B61" s="348" t="inlineStr">
        <is>
          <t>B3</t>
        </is>
      </c>
      <c r="C61" s="345" t="n">
        <v>0.06669422609810723</v>
      </c>
      <c r="D61" s="346" t="n">
        <v>0.1257859428461489</v>
      </c>
      <c r="E61" s="347" t="n">
        <v>0.07498594284614887</v>
      </c>
      <c r="F61" s="347" t="n">
        <v>0.3</v>
      </c>
      <c r="G61" s="351" t="inlineStr">
        <is>
          <t>Africa</t>
        </is>
      </c>
    </row>
    <row r="62" ht="16" customHeight="1">
      <c r="A62" s="351" t="inlineStr">
        <is>
          <t>Gambia</t>
        </is>
      </c>
      <c r="B62" s="348" t="inlineStr">
        <is>
          <t>NA</t>
        </is>
      </c>
      <c r="C62" s="345" t="n">
        <v>0.09230000000000001</v>
      </c>
      <c r="D62" s="349" t="n">
        <v>0.154575138113432</v>
      </c>
      <c r="E62" s="347" t="n">
        <v>0.103775138113432</v>
      </c>
      <c r="F62" s="358" t="n">
        <v>0.31</v>
      </c>
      <c r="G62" s="351" t="inlineStr">
        <is>
          <t>Africa</t>
        </is>
      </c>
    </row>
    <row r="63" ht="16" customHeight="1">
      <c r="A63" s="351" t="inlineStr">
        <is>
          <t>Georgia</t>
        </is>
      </c>
      <c r="B63" s="348" t="inlineStr">
        <is>
          <t>Ba2</t>
        </is>
      </c>
      <c r="C63" s="345" t="n">
        <v>0.03080329721313413</v>
      </c>
      <c r="D63" s="346" t="n">
        <v>0.08543289732006598</v>
      </c>
      <c r="E63" s="347" t="n">
        <v>0.03463289732006598</v>
      </c>
      <c r="F63" s="347" t="n">
        <v>0.15</v>
      </c>
      <c r="G63" s="351" t="inlineStr">
        <is>
          <t>Eastern Europe &amp; Russia</t>
        </is>
      </c>
    </row>
    <row r="64" ht="16" customHeight="1">
      <c r="A64" s="351" t="inlineStr">
        <is>
          <t>Germany</t>
        </is>
      </c>
      <c r="B64" s="348" t="inlineStr">
        <is>
          <t>Aaa</t>
        </is>
      </c>
      <c r="C64" s="345" t="n">
        <v>0</v>
      </c>
      <c r="D64" s="346" t="n">
        <v>0.0508</v>
      </c>
      <c r="E64" s="347" t="n">
        <v>0</v>
      </c>
      <c r="F64" s="347" t="n">
        <v>0.2979</v>
      </c>
      <c r="G64" s="351" t="inlineStr">
        <is>
          <t>Western Europe</t>
        </is>
      </c>
    </row>
    <row r="65" ht="16" customHeight="1">
      <c r="A65" s="351" t="inlineStr">
        <is>
          <t>Ghana</t>
        </is>
      </c>
      <c r="B65" s="348" t="inlineStr">
        <is>
          <t>B3</t>
        </is>
      </c>
      <c r="C65" s="345" t="n">
        <v>0.06669422609810723</v>
      </c>
      <c r="D65" s="346" t="n">
        <v>0.1257859428461489</v>
      </c>
      <c r="E65" s="347" t="n">
        <v>0.07498594284614887</v>
      </c>
      <c r="F65" s="347" t="n">
        <v>0.25</v>
      </c>
      <c r="G65" s="351" t="inlineStr">
        <is>
          <t>Africa</t>
        </is>
      </c>
    </row>
    <row r="66" ht="16" customHeight="1">
      <c r="A66" s="364" t="inlineStr">
        <is>
          <t>Gibraltar</t>
        </is>
      </c>
      <c r="B66" s="353" t="inlineStr">
        <is>
          <t>NA</t>
        </is>
      </c>
      <c r="C66" s="354" t="n">
        <v>0.008200000000000001</v>
      </c>
      <c r="D66" s="354" t="n">
        <v>0.0601</v>
      </c>
      <c r="E66" s="365" t="n">
        <v>0.009299999999999999</v>
      </c>
      <c r="F66" s="365" t="n">
        <v>0.2551</v>
      </c>
      <c r="G66" s="355" t="inlineStr">
        <is>
          <t>Western Europe</t>
        </is>
      </c>
    </row>
    <row r="67" ht="16" customHeight="1">
      <c r="A67" s="362" t="inlineStr">
        <is>
          <t>Greece</t>
        </is>
      </c>
      <c r="B67" s="348" t="inlineStr">
        <is>
          <t>Caa2</t>
        </is>
      </c>
      <c r="C67" s="345" t="n">
        <v>0.09231738924536895</v>
      </c>
      <c r="D67" s="366" t="n">
        <v>0.1545946892655431</v>
      </c>
      <c r="E67" s="367" t="n">
        <v>0.1037946892655431</v>
      </c>
      <c r="F67" s="367" t="n">
        <v>0.29</v>
      </c>
      <c r="G67" s="351" t="inlineStr">
        <is>
          <t>Western Europe</t>
        </is>
      </c>
    </row>
    <row r="68" ht="16" customHeight="1">
      <c r="A68" s="355" t="inlineStr">
        <is>
          <t>Greenland</t>
        </is>
      </c>
      <c r="B68" s="353" t="inlineStr">
        <is>
          <t>NA</t>
        </is>
      </c>
      <c r="C68" s="354" t="n">
        <v>0.008200000000000001</v>
      </c>
      <c r="D68" s="354" t="n">
        <v>0.0601</v>
      </c>
      <c r="E68" s="365" t="n">
        <v>0.009299999999999999</v>
      </c>
      <c r="F68" s="365" t="n">
        <v>0.2551</v>
      </c>
      <c r="G68" s="355" t="inlineStr">
        <is>
          <t>Western Europe</t>
        </is>
      </c>
    </row>
    <row r="69" ht="16" customHeight="1">
      <c r="A69" s="351" t="inlineStr">
        <is>
          <t>Guatemala</t>
        </is>
      </c>
      <c r="B69" s="348" t="inlineStr">
        <is>
          <t>Ba1</t>
        </is>
      </c>
      <c r="C69" s="345" t="n">
        <v>0.02562316314726172</v>
      </c>
      <c r="D69" s="366" t="n">
        <v>0.07960874641939422</v>
      </c>
      <c r="E69" s="367" t="n">
        <v>0.02880874641939422</v>
      </c>
      <c r="F69" s="367" t="n">
        <v>0.25</v>
      </c>
      <c r="G69" s="351" t="inlineStr">
        <is>
          <t>Central and South America</t>
        </is>
      </c>
    </row>
    <row r="70" ht="16" customHeight="1">
      <c r="A70" s="351" t="inlineStr">
        <is>
          <t>Guernsey (States of)</t>
        </is>
      </c>
      <c r="B70" s="348" t="inlineStr">
        <is>
          <t>Aa3</t>
        </is>
      </c>
      <c r="C70" s="345" t="n">
        <v>0.006197660400240199</v>
      </c>
      <c r="D70" s="346" t="n">
        <v>0.05776818054187514</v>
      </c>
      <c r="E70" s="347" t="n">
        <v>0.006968180541875137</v>
      </c>
      <c r="F70" s="347" t="n">
        <v>0</v>
      </c>
      <c r="G70" s="351" t="inlineStr">
        <is>
          <t>Western Europe</t>
        </is>
      </c>
    </row>
    <row r="71" ht="16" customHeight="1">
      <c r="A71" s="351" t="inlineStr">
        <is>
          <t>Guinea</t>
        </is>
      </c>
      <c r="B71" s="348" t="inlineStr">
        <is>
          <t>NA</t>
        </is>
      </c>
      <c r="C71" s="345" t="n">
        <v>0.09230000000000001</v>
      </c>
      <c r="D71" s="349" t="n">
        <v>0.154575138113432</v>
      </c>
      <c r="E71" s="347" t="n">
        <v>0.103775138113432</v>
      </c>
      <c r="F71" s="358" t="n">
        <v>0.2821</v>
      </c>
      <c r="G71" s="351" t="inlineStr">
        <is>
          <t>Africa</t>
        </is>
      </c>
    </row>
    <row r="72" ht="16" customHeight="1">
      <c r="A72" s="351" t="inlineStr">
        <is>
          <t>Guinea-Bissau</t>
        </is>
      </c>
      <c r="B72" s="348" t="inlineStr">
        <is>
          <t>NA</t>
        </is>
      </c>
      <c r="C72" s="345" t="n">
        <v>0.0667</v>
      </c>
      <c r="D72" s="349" t="n">
        <v>0.1257924345846795</v>
      </c>
      <c r="E72" s="347" t="n">
        <v>0.07499243458467948</v>
      </c>
      <c r="F72" s="358" t="n">
        <v>0.2821</v>
      </c>
      <c r="G72" s="351" t="inlineStr">
        <is>
          <t>Africa</t>
        </is>
      </c>
    </row>
    <row r="73" ht="16" customHeight="1">
      <c r="A73" s="351" t="inlineStr">
        <is>
          <t>Guyana</t>
        </is>
      </c>
      <c r="B73" s="348" t="inlineStr">
        <is>
          <t>NA</t>
        </is>
      </c>
      <c r="C73" s="345" t="n">
        <v>0.03690000000000001</v>
      </c>
      <c r="D73" s="349" t="n">
        <v>0.09228756875824098</v>
      </c>
      <c r="E73" s="347" t="n">
        <v>0.04148756875824099</v>
      </c>
      <c r="F73" s="358" t="n">
        <v>0.2798</v>
      </c>
      <c r="G73" s="351" t="inlineStr">
        <is>
          <t>Central and South America</t>
        </is>
      </c>
    </row>
    <row r="74" ht="16" customHeight="1">
      <c r="A74" s="351" t="inlineStr">
        <is>
          <t>Haiti</t>
        </is>
      </c>
      <c r="B74" s="348" t="inlineStr">
        <is>
          <t>NA</t>
        </is>
      </c>
      <c r="C74" s="345" t="n">
        <v>0.0769</v>
      </c>
      <c r="D74" s="349" t="n">
        <v>0.1372605430219168</v>
      </c>
      <c r="E74" s="347" t="n">
        <v>0.08646054302191682</v>
      </c>
      <c r="F74" s="358" t="n">
        <v>0.2798</v>
      </c>
      <c r="G74" s="351" t="inlineStr">
        <is>
          <t>Caribbean</t>
        </is>
      </c>
    </row>
    <row r="75" ht="16" customHeight="1">
      <c r="A75" s="351" t="inlineStr">
        <is>
          <t>Honduras</t>
        </is>
      </c>
      <c r="B75" s="348" t="inlineStr">
        <is>
          <t>B1</t>
        </is>
      </c>
      <c r="C75" s="345" t="n">
        <v>0.04615869462268447</v>
      </c>
      <c r="D75" s="346" t="n">
        <v>0.1026973446327716</v>
      </c>
      <c r="E75" s="347" t="n">
        <v>0.05189734463277155</v>
      </c>
      <c r="F75" s="347" t="n">
        <v>0.25</v>
      </c>
      <c r="G75" s="351" t="inlineStr">
        <is>
          <t>Central and South America</t>
        </is>
      </c>
    </row>
    <row r="76" ht="16" customHeight="1">
      <c r="A76" s="351" t="inlineStr">
        <is>
          <t>Hong Kong</t>
        </is>
      </c>
      <c r="B76" s="348" t="inlineStr">
        <is>
          <t>Aa2</t>
        </is>
      </c>
      <c r="C76" s="345" t="n">
        <v>0.005087631671838969</v>
      </c>
      <c r="D76" s="346" t="n">
        <v>0.0565201482060169</v>
      </c>
      <c r="E76" s="347" t="n">
        <v>0.005720148206016904</v>
      </c>
      <c r="F76" s="347" t="n">
        <v>0.165</v>
      </c>
      <c r="G76" s="351" t="inlineStr">
        <is>
          <t>Asia</t>
        </is>
      </c>
    </row>
    <row r="77" ht="16" customHeight="1">
      <c r="A77" s="351" t="inlineStr">
        <is>
          <t>Hungary</t>
        </is>
      </c>
      <c r="B77" s="348" t="inlineStr">
        <is>
          <t>Baa3</t>
        </is>
      </c>
      <c r="C77" s="345" t="n">
        <v>0.02257058414415834</v>
      </c>
      <c r="D77" s="346" t="n">
        <v>0.07617665749578408</v>
      </c>
      <c r="E77" s="347" t="n">
        <v>0.02537665749578408</v>
      </c>
      <c r="F77" s="347" t="n">
        <v>0.09</v>
      </c>
      <c r="G77" s="351" t="inlineStr">
        <is>
          <t>Eastern Europe &amp; Russia</t>
        </is>
      </c>
    </row>
    <row r="78" ht="16" customHeight="1">
      <c r="A78" s="351" t="inlineStr">
        <is>
          <t>Iceland</t>
        </is>
      </c>
      <c r="B78" s="348" t="inlineStr">
        <is>
          <t>A3</t>
        </is>
      </c>
      <c r="C78" s="345" t="n">
        <v>0.01230281840644696</v>
      </c>
      <c r="D78" s="346" t="n">
        <v>0.06463235838909542</v>
      </c>
      <c r="E78" s="347" t="n">
        <v>0.01383235838909542</v>
      </c>
      <c r="F78" s="347" t="n">
        <v>0.2</v>
      </c>
      <c r="G78" s="351" t="inlineStr">
        <is>
          <t>Western Europe</t>
        </is>
      </c>
    </row>
    <row r="79" ht="16" customHeight="1">
      <c r="A79" s="351" t="inlineStr">
        <is>
          <t>India</t>
        </is>
      </c>
      <c r="B79" s="348" t="inlineStr">
        <is>
          <t>Baa2</t>
        </is>
      </c>
      <c r="C79" s="345" t="n">
        <v>0.01951800514105496</v>
      </c>
      <c r="D79" s="346" t="n">
        <v>0.07274456857217394</v>
      </c>
      <c r="E79" s="347" t="n">
        <v>0.02194456857217394</v>
      </c>
      <c r="F79" s="347" t="n">
        <v>0.3</v>
      </c>
      <c r="G79" s="351" t="inlineStr">
        <is>
          <t>Asia</t>
        </is>
      </c>
    </row>
    <row r="80" ht="16" customHeight="1">
      <c r="A80" s="351" t="inlineStr">
        <is>
          <t>Indonesia</t>
        </is>
      </c>
      <c r="B80" s="348" t="inlineStr">
        <is>
          <t>Baa3</t>
        </is>
      </c>
      <c r="C80" s="345" t="n">
        <v>0.02257058414415834</v>
      </c>
      <c r="D80" s="346" t="n">
        <v>0.07617665749578408</v>
      </c>
      <c r="E80" s="347" t="n">
        <v>0.02537665749578408</v>
      </c>
      <c r="F80" s="347" t="n">
        <v>0.25</v>
      </c>
      <c r="G80" s="351" t="inlineStr">
        <is>
          <t>Asia</t>
        </is>
      </c>
    </row>
    <row r="81" ht="16" customHeight="1">
      <c r="A81" s="351" t="inlineStr">
        <is>
          <t>Iran</t>
        </is>
      </c>
      <c r="B81" s="348" t="inlineStr">
        <is>
          <t>NA</t>
        </is>
      </c>
      <c r="C81" s="345" t="n">
        <v>0.0195</v>
      </c>
      <c r="D81" s="349" t="n">
        <v>0.07272432495354197</v>
      </c>
      <c r="E81" s="347" t="n">
        <v>0.02192432495354198</v>
      </c>
      <c r="F81" s="358" t="n">
        <v>0.2128</v>
      </c>
      <c r="G81" s="351" t="inlineStr">
        <is>
          <t>Asia</t>
        </is>
      </c>
    </row>
    <row r="82" ht="16" customHeight="1">
      <c r="A82" s="351" t="inlineStr">
        <is>
          <t>Iraq</t>
        </is>
      </c>
      <c r="B82" s="348" t="inlineStr">
        <is>
          <t>Caa1</t>
        </is>
      </c>
      <c r="C82" s="345" t="n">
        <v>0.07686948944178516</v>
      </c>
      <c r="D82" s="346" t="n">
        <v>0.1372262392581827</v>
      </c>
      <c r="E82" s="347" t="n">
        <v>0.08642623925818267</v>
      </c>
      <c r="F82" s="347" t="n">
        <v>0.15</v>
      </c>
      <c r="G82" s="351" t="inlineStr">
        <is>
          <t>Middle East</t>
        </is>
      </c>
    </row>
    <row r="83" ht="16" customHeight="1">
      <c r="A83" s="351" t="inlineStr">
        <is>
          <t>Ireland</t>
        </is>
      </c>
      <c r="B83" s="348" t="inlineStr">
        <is>
          <t>A2</t>
        </is>
      </c>
      <c r="C83" s="345" t="n">
        <v>0.008695225039142968</v>
      </c>
      <c r="D83" s="346" t="n">
        <v>0.06057625329755616</v>
      </c>
      <c r="E83" s="347" t="n">
        <v>0.009776253297556164</v>
      </c>
      <c r="F83" s="347" t="n">
        <v>0.125</v>
      </c>
      <c r="G83" s="351" t="inlineStr">
        <is>
          <t>Western Europe</t>
        </is>
      </c>
    </row>
    <row r="84" ht="16" customHeight="1">
      <c r="A84" s="351" t="inlineStr">
        <is>
          <t>Isle of Man</t>
        </is>
      </c>
      <c r="B84" s="348" t="inlineStr">
        <is>
          <t>Aa2</t>
        </is>
      </c>
      <c r="C84" s="345" t="n">
        <v>0.005087631671838969</v>
      </c>
      <c r="D84" s="346" t="n">
        <v>0.0565201482060169</v>
      </c>
      <c r="E84" s="347" t="n">
        <v>0.005720148206016904</v>
      </c>
      <c r="F84" s="347" t="n">
        <v>0</v>
      </c>
      <c r="G84" s="351" t="inlineStr">
        <is>
          <t>Western Europe</t>
        </is>
      </c>
    </row>
    <row r="85" ht="16" customHeight="1">
      <c r="A85" s="351" t="inlineStr">
        <is>
          <t>Israel</t>
        </is>
      </c>
      <c r="B85" s="348" t="inlineStr">
        <is>
          <t>A1</t>
        </is>
      </c>
      <c r="C85" s="345" t="n">
        <v>0.007215186734607994</v>
      </c>
      <c r="D85" s="346" t="n">
        <v>0.05891221018307852</v>
      </c>
      <c r="E85" s="347" t="n">
        <v>0.008112210183078518</v>
      </c>
      <c r="F85" s="347" t="n">
        <v>0.24</v>
      </c>
      <c r="G85" s="351" t="inlineStr">
        <is>
          <t>Middle East</t>
        </is>
      </c>
    </row>
    <row r="86" ht="16" customHeight="1">
      <c r="A86" s="351" t="inlineStr">
        <is>
          <t>Italy</t>
        </is>
      </c>
      <c r="B86" s="348" t="inlineStr">
        <is>
          <t>Baa2</t>
        </is>
      </c>
      <c r="C86" s="345" t="n">
        <v>0.01951800514105496</v>
      </c>
      <c r="D86" s="346" t="n">
        <v>0.07274456857217394</v>
      </c>
      <c r="E86" s="347" t="n">
        <v>0.02194456857217394</v>
      </c>
      <c r="F86" s="347" t="n">
        <v>0.24</v>
      </c>
      <c r="G86" s="351" t="inlineStr">
        <is>
          <t>Western Europe</t>
        </is>
      </c>
    </row>
    <row r="87" ht="16" customHeight="1">
      <c r="A87" s="363" t="inlineStr">
        <is>
          <t>Ivory Coast</t>
        </is>
      </c>
      <c r="B87" s="348" t="inlineStr">
        <is>
          <t>Ba3</t>
        </is>
      </c>
      <c r="C87" s="345" t="n">
        <v>0.03690845521934089</v>
      </c>
      <c r="D87" s="346" t="n">
        <v>0.09229707516728627</v>
      </c>
      <c r="E87" s="347" t="n">
        <v>0.04149707516728627</v>
      </c>
      <c r="F87" s="347" t="n">
        <v>0.25</v>
      </c>
      <c r="G87" s="351" t="inlineStr">
        <is>
          <t>Africa</t>
        </is>
      </c>
    </row>
    <row r="88" ht="16" customHeight="1">
      <c r="A88" s="351" t="inlineStr">
        <is>
          <t>Jamaica</t>
        </is>
      </c>
      <c r="B88" s="348" t="inlineStr">
        <is>
          <t>B3</t>
        </is>
      </c>
      <c r="C88" s="345" t="n">
        <v>0.06669422609810723</v>
      </c>
      <c r="D88" s="346" t="n">
        <v>0.1257859428461489</v>
      </c>
      <c r="E88" s="347" t="n">
        <v>0.07498594284614887</v>
      </c>
      <c r="F88" s="347" t="n">
        <v>0.25</v>
      </c>
      <c r="G88" s="351" t="inlineStr">
        <is>
          <t>Caribbean</t>
        </is>
      </c>
    </row>
    <row r="89" ht="16" customHeight="1">
      <c r="A89" s="351" t="inlineStr">
        <is>
          <t>Japan</t>
        </is>
      </c>
      <c r="B89" s="348" t="inlineStr">
        <is>
          <t>A1</t>
        </is>
      </c>
      <c r="C89" s="345" t="n">
        <v>0.007215186734607994</v>
      </c>
      <c r="D89" s="346" t="n">
        <v>0.05891221018307852</v>
      </c>
      <c r="E89" s="347" t="n">
        <v>0.008112210183078518</v>
      </c>
      <c r="F89" s="347" t="n">
        <v>0.3086</v>
      </c>
      <c r="G89" s="351" t="inlineStr">
        <is>
          <t>Asia</t>
        </is>
      </c>
    </row>
    <row r="90" ht="16" customHeight="1">
      <c r="A90" s="351" t="inlineStr">
        <is>
          <t>Jersey (States of)</t>
        </is>
      </c>
      <c r="B90" s="348" t="inlineStr">
        <is>
          <t>Aa3</t>
        </is>
      </c>
      <c r="C90" s="345" t="n">
        <v>0.006197660400240199</v>
      </c>
      <c r="D90" s="346" t="n">
        <v>0.05776818054187514</v>
      </c>
      <c r="E90" s="347" t="n">
        <v>0.006968180541875137</v>
      </c>
      <c r="F90" s="347" t="n">
        <v>0.2</v>
      </c>
      <c r="G90" s="351" t="inlineStr">
        <is>
          <t>Western Europe</t>
        </is>
      </c>
    </row>
    <row r="91" ht="16" customHeight="1">
      <c r="A91" s="351" t="inlineStr">
        <is>
          <t>Jordan</t>
        </is>
      </c>
      <c r="B91" s="348" t="inlineStr">
        <is>
          <t>B1</t>
        </is>
      </c>
      <c r="C91" s="345" t="n">
        <v>0.04615869462268447</v>
      </c>
      <c r="D91" s="346" t="n">
        <v>0.1026973446327716</v>
      </c>
      <c r="E91" s="347" t="n">
        <v>0.05189734463277155</v>
      </c>
      <c r="F91" s="347" t="n">
        <v>0.2</v>
      </c>
      <c r="G91" s="351" t="inlineStr">
        <is>
          <t>Middle East</t>
        </is>
      </c>
    </row>
    <row r="92" ht="16" customHeight="1">
      <c r="A92" s="357" t="inlineStr">
        <is>
          <t>Kazakhstan</t>
        </is>
      </c>
      <c r="B92" s="348" t="inlineStr">
        <is>
          <t>Baa3</t>
        </is>
      </c>
      <c r="C92" s="345" t="n">
        <v>0.02257058414415834</v>
      </c>
      <c r="D92" s="346" t="n">
        <v>0.07617665749578408</v>
      </c>
      <c r="E92" s="347" t="n">
        <v>0.02537665749578408</v>
      </c>
      <c r="F92" s="347" t="n">
        <v>0.2</v>
      </c>
      <c r="G92" s="351" t="inlineStr">
        <is>
          <t>Eastern Europe &amp; Russia</t>
        </is>
      </c>
    </row>
    <row r="93" ht="16" customHeight="1">
      <c r="A93" s="351" t="inlineStr">
        <is>
          <t>Kenya</t>
        </is>
      </c>
      <c r="B93" s="348" t="inlineStr">
        <is>
          <t>B1</t>
        </is>
      </c>
      <c r="C93" s="345" t="n">
        <v>0.04615869462268447</v>
      </c>
      <c r="D93" s="346" t="n">
        <v>0.1026973446327716</v>
      </c>
      <c r="E93" s="347" t="n">
        <v>0.05189734463277155</v>
      </c>
      <c r="F93" s="347" t="n">
        <v>0.3</v>
      </c>
      <c r="G93" s="351" t="inlineStr">
        <is>
          <t>Africa</t>
        </is>
      </c>
    </row>
    <row r="94" ht="16" customHeight="1">
      <c r="A94" s="351" t="inlineStr">
        <is>
          <t>Korea</t>
        </is>
      </c>
      <c r="B94" s="348" t="inlineStr">
        <is>
          <t>Aa2</t>
        </is>
      </c>
      <c r="C94" s="345" t="n">
        <v>0.005087631671838969</v>
      </c>
      <c r="D94" s="346" t="n">
        <v>0.0565201482060169</v>
      </c>
      <c r="E94" s="347" t="n">
        <v>0.005720148206016904</v>
      </c>
      <c r="F94" s="347" t="n">
        <v>0.22</v>
      </c>
      <c r="G94" s="351" t="inlineStr">
        <is>
          <t>Asia</t>
        </is>
      </c>
    </row>
    <row r="95" ht="16" customHeight="1">
      <c r="A95" s="351" t="inlineStr">
        <is>
          <t>Korea, D.P.R.</t>
        </is>
      </c>
      <c r="B95" s="348" t="inlineStr">
        <is>
          <t>NA</t>
        </is>
      </c>
      <c r="C95" s="345" t="n">
        <v>0.1025</v>
      </c>
      <c r="D95" s="349" t="n">
        <v>0.1660432465506694</v>
      </c>
      <c r="E95" s="347" t="n">
        <v>0.1152432465506694</v>
      </c>
      <c r="F95" s="358" t="n">
        <v>0.2128</v>
      </c>
      <c r="G95" s="351" t="inlineStr">
        <is>
          <t>Asia</t>
        </is>
      </c>
    </row>
    <row r="96" ht="16" customHeight="1">
      <c r="A96" s="351" t="inlineStr">
        <is>
          <t>Kuwait</t>
        </is>
      </c>
      <c r="B96" s="348" t="inlineStr">
        <is>
          <t>Aa2</t>
        </is>
      </c>
      <c r="C96" s="345" t="n">
        <v>0.005087631671838969</v>
      </c>
      <c r="D96" s="346" t="n">
        <v>0.0565201482060169</v>
      </c>
      <c r="E96" s="347" t="n">
        <v>0.005720148206016904</v>
      </c>
      <c r="F96" s="347" t="n">
        <v>0.15</v>
      </c>
      <c r="G96" s="351" t="inlineStr">
        <is>
          <t>Middle East</t>
        </is>
      </c>
    </row>
    <row r="97" ht="16" customHeight="1">
      <c r="A97" s="357" t="inlineStr">
        <is>
          <t>Kyrgyzstan</t>
        </is>
      </c>
      <c r="B97" s="348" t="inlineStr">
        <is>
          <t>B2</t>
        </is>
      </c>
      <c r="C97" s="345" t="n">
        <v>0.05642646036039584</v>
      </c>
      <c r="D97" s="346" t="n">
        <v>0.1142416437394602</v>
      </c>
      <c r="E97" s="347" t="n">
        <v>0.06344164373946019</v>
      </c>
      <c r="F97" s="347" t="n">
        <v>0.15</v>
      </c>
      <c r="G97" s="351" t="inlineStr">
        <is>
          <t>Eastern Europe &amp; Russia</t>
        </is>
      </c>
    </row>
    <row r="98" ht="16" customHeight="1">
      <c r="A98" s="368" t="inlineStr">
        <is>
          <t>Laos</t>
        </is>
      </c>
      <c r="B98" s="348" t="inlineStr">
        <is>
          <t>NA</t>
        </is>
      </c>
      <c r="C98" s="360" t="n">
        <v>0.01058208880311871</v>
      </c>
      <c r="D98" s="360" t="n">
        <v>0.06269770018496475</v>
      </c>
      <c r="E98" s="360" t="n">
        <v>0.01189770018496475</v>
      </c>
      <c r="F98" s="360" t="n">
        <v>0.2592893477903092</v>
      </c>
      <c r="G98" s="351" t="inlineStr">
        <is>
          <t>Asia</t>
        </is>
      </c>
    </row>
    <row r="99" ht="16" customHeight="1">
      <c r="A99" s="351" t="inlineStr">
        <is>
          <t>Latvia</t>
        </is>
      </c>
      <c r="B99" s="348" t="inlineStr">
        <is>
          <t>A3</t>
        </is>
      </c>
      <c r="C99" s="345" t="n">
        <v>0.01230281840644696</v>
      </c>
      <c r="D99" s="346" t="n">
        <v>0.06463235838909542</v>
      </c>
      <c r="E99" s="347" t="n">
        <v>0.01383235838909542</v>
      </c>
      <c r="F99" s="347" t="n">
        <v>0.15</v>
      </c>
      <c r="G99" s="351" t="inlineStr">
        <is>
          <t>Eastern Europe &amp; Russia</t>
        </is>
      </c>
    </row>
    <row r="100" ht="16" customHeight="1">
      <c r="A100" s="351" t="inlineStr">
        <is>
          <t>Lebanon</t>
        </is>
      </c>
      <c r="B100" s="348" t="inlineStr">
        <is>
          <t>B3</t>
        </is>
      </c>
      <c r="C100" s="345" t="n">
        <v>0.06669422609810723</v>
      </c>
      <c r="D100" s="346" t="n">
        <v>0.1257859428461489</v>
      </c>
      <c r="E100" s="347" t="n">
        <v>0.07498594284614887</v>
      </c>
      <c r="F100" s="347" t="n">
        <v>0.15</v>
      </c>
      <c r="G100" s="351" t="inlineStr">
        <is>
          <t>Middle East</t>
        </is>
      </c>
    </row>
    <row r="101" ht="16" customHeight="1">
      <c r="A101" s="351" t="inlineStr">
        <is>
          <t>Liberia</t>
        </is>
      </c>
      <c r="B101" s="348" t="inlineStr">
        <is>
          <t>NA</t>
        </is>
      </c>
      <c r="C101" s="345" t="n">
        <v>0.123</v>
      </c>
      <c r="D101" s="349" t="n">
        <v>0.1890918958608033</v>
      </c>
      <c r="E101" s="347" t="n">
        <v>0.1382918958608033</v>
      </c>
      <c r="F101" s="358" t="n">
        <v>0.2821</v>
      </c>
      <c r="G101" s="351" t="inlineStr">
        <is>
          <t>Africa</t>
        </is>
      </c>
    </row>
    <row r="102" ht="16" customHeight="1">
      <c r="A102" s="351" t="inlineStr">
        <is>
          <t>Libya</t>
        </is>
      </c>
      <c r="B102" s="348" t="inlineStr">
        <is>
          <t>NA</t>
        </is>
      </c>
      <c r="C102" s="345" t="n">
        <v>0.0769</v>
      </c>
      <c r="D102" s="349" t="n">
        <v>0.1372605430219168</v>
      </c>
      <c r="E102" s="347" t="n">
        <v>0.08646054302191682</v>
      </c>
      <c r="F102" s="350" t="n">
        <v>0.2</v>
      </c>
      <c r="G102" s="351" t="inlineStr">
        <is>
          <t>Africa</t>
        </is>
      </c>
    </row>
    <row r="103" ht="16" customHeight="1">
      <c r="A103" s="351" t="inlineStr">
        <is>
          <t>Liechtenstein</t>
        </is>
      </c>
      <c r="B103" s="348" t="inlineStr">
        <is>
          <t>Aaa</t>
        </is>
      </c>
      <c r="C103" s="345" t="n">
        <v>0</v>
      </c>
      <c r="D103" s="346" t="n">
        <v>0.0508</v>
      </c>
      <c r="E103" s="347" t="n">
        <v>0</v>
      </c>
      <c r="F103" s="347" t="n">
        <v>0.125</v>
      </c>
      <c r="G103" s="351" t="inlineStr">
        <is>
          <t>Western Europe</t>
        </is>
      </c>
    </row>
    <row r="104" ht="16" customHeight="1">
      <c r="A104" s="351" t="inlineStr">
        <is>
          <t>Lithuania</t>
        </is>
      </c>
      <c r="B104" s="348" t="inlineStr">
        <is>
          <t>A3</t>
        </is>
      </c>
      <c r="C104" s="345" t="n">
        <v>0.01230281840644696</v>
      </c>
      <c r="D104" s="346" t="n">
        <v>0.06463235838909542</v>
      </c>
      <c r="E104" s="347" t="n">
        <v>0.01383235838909542</v>
      </c>
      <c r="F104" s="347" t="n">
        <v>0.15</v>
      </c>
      <c r="G104" s="351" t="inlineStr">
        <is>
          <t>Eastern Europe &amp; Russia</t>
        </is>
      </c>
    </row>
    <row r="105" ht="16" customHeight="1">
      <c r="A105" s="351" t="inlineStr">
        <is>
          <t>Luxembourg</t>
        </is>
      </c>
      <c r="B105" s="348" t="inlineStr">
        <is>
          <t>Aaa</t>
        </is>
      </c>
      <c r="C105" s="345" t="n">
        <v>0</v>
      </c>
      <c r="D105" s="346" t="n">
        <v>0.0508</v>
      </c>
      <c r="E105" s="347" t="n">
        <v>0</v>
      </c>
      <c r="F105" s="347" t="n">
        <v>0.2708</v>
      </c>
      <c r="G105" s="351" t="inlineStr">
        <is>
          <t>Western Europe</t>
        </is>
      </c>
    </row>
    <row r="106" ht="16" customHeight="1">
      <c r="A106" s="351" t="inlineStr">
        <is>
          <t>Macau</t>
        </is>
      </c>
      <c r="B106" s="348" t="inlineStr">
        <is>
          <t>Aa3</t>
        </is>
      </c>
      <c r="C106" s="345" t="n">
        <v>0.006197660400240199</v>
      </c>
      <c r="D106" s="346" t="n">
        <v>0.05776818054187514</v>
      </c>
      <c r="E106" s="347" t="n">
        <v>0.006968180541875137</v>
      </c>
      <c r="F106" s="347" t="n">
        <v>0.12</v>
      </c>
      <c r="G106" s="351" t="inlineStr">
        <is>
          <t>Asia</t>
        </is>
      </c>
    </row>
    <row r="107" ht="16" customHeight="1">
      <c r="A107" s="351" t="inlineStr">
        <is>
          <t>Macedonia</t>
        </is>
      </c>
      <c r="B107" s="348" t="inlineStr">
        <is>
          <t>Ba3</t>
        </is>
      </c>
      <c r="C107" s="345" t="n">
        <v>0.03690845521934089</v>
      </c>
      <c r="D107" s="346" t="n">
        <v>0.09229707516728627</v>
      </c>
      <c r="E107" s="347" t="n">
        <v>0.04149707516728627</v>
      </c>
      <c r="F107" s="347" t="n">
        <v>0.1</v>
      </c>
      <c r="G107" s="351" t="inlineStr">
        <is>
          <t>Eastern Europe &amp; Russia</t>
        </is>
      </c>
    </row>
    <row r="108" ht="16" customHeight="1">
      <c r="A108" s="351" t="inlineStr">
        <is>
          <t>Madagascar</t>
        </is>
      </c>
      <c r="B108" s="348" t="inlineStr">
        <is>
          <t>NA</t>
        </is>
      </c>
      <c r="C108" s="345" t="n">
        <v>0.0564</v>
      </c>
      <c r="D108" s="349" t="n">
        <v>0.1142118937117829</v>
      </c>
      <c r="E108" s="347" t="n">
        <v>0.06341189371178295</v>
      </c>
      <c r="F108" s="358" t="n">
        <v>0.2</v>
      </c>
      <c r="G108" s="351" t="inlineStr">
        <is>
          <t>Africa</t>
        </is>
      </c>
    </row>
    <row r="109" ht="16" customHeight="1">
      <c r="A109" s="351" t="inlineStr">
        <is>
          <t>Malawi</t>
        </is>
      </c>
      <c r="B109" s="348" t="inlineStr">
        <is>
          <t>NA</t>
        </is>
      </c>
      <c r="C109" s="345" t="n">
        <v>0.0769</v>
      </c>
      <c r="D109" s="349" t="n">
        <v>0.1372605430219168</v>
      </c>
      <c r="E109" s="347" t="n">
        <v>0.08646054302191682</v>
      </c>
      <c r="F109" s="358" t="n">
        <v>0.3</v>
      </c>
      <c r="G109" s="351" t="inlineStr">
        <is>
          <t>Africa</t>
        </is>
      </c>
    </row>
    <row r="110" ht="16" customHeight="1">
      <c r="A110" s="351" t="inlineStr">
        <is>
          <t>Malaysia</t>
        </is>
      </c>
      <c r="B110" s="348" t="inlineStr">
        <is>
          <t>A3</t>
        </is>
      </c>
      <c r="C110" s="345" t="n">
        <v>0.01230281840644696</v>
      </c>
      <c r="D110" s="346" t="n">
        <v>0.06463235838909542</v>
      </c>
      <c r="E110" s="347" t="n">
        <v>0.01383235838909542</v>
      </c>
      <c r="F110" s="347" t="n">
        <v>0.24</v>
      </c>
      <c r="G110" s="351" t="inlineStr">
        <is>
          <t>Asia</t>
        </is>
      </c>
    </row>
    <row r="111" ht="16" customHeight="1">
      <c r="A111" s="351" t="inlineStr">
        <is>
          <t>Mali</t>
        </is>
      </c>
      <c r="B111" s="348" t="inlineStr">
        <is>
          <t>NA</t>
        </is>
      </c>
      <c r="C111" s="345" t="n">
        <v>0.0769</v>
      </c>
      <c r="D111" s="349" t="n">
        <v>0.1372605430219168</v>
      </c>
      <c r="E111" s="347" t="n">
        <v>0.08646054302191682</v>
      </c>
      <c r="F111" s="358" t="n">
        <v>0.2821</v>
      </c>
      <c r="G111" s="351" t="inlineStr">
        <is>
          <t>Africa</t>
        </is>
      </c>
    </row>
    <row r="112" ht="16" customHeight="1">
      <c r="A112" s="351" t="inlineStr">
        <is>
          <t>Malta</t>
        </is>
      </c>
      <c r="B112" s="348" t="inlineStr">
        <is>
          <t>A3</t>
        </is>
      </c>
      <c r="C112" s="345" t="n">
        <v>0.01230281840644696</v>
      </c>
      <c r="D112" s="346" t="n">
        <v>0.06463235838909542</v>
      </c>
      <c r="E112" s="347" t="n">
        <v>0.01383235838909542</v>
      </c>
      <c r="F112" s="347" t="n">
        <v>0.35</v>
      </c>
      <c r="G112" s="351" t="inlineStr">
        <is>
          <t>Western Europe</t>
        </is>
      </c>
    </row>
    <row r="113" ht="16" customHeight="1">
      <c r="A113" s="351" t="inlineStr">
        <is>
          <t>Mauritius</t>
        </is>
      </c>
      <c r="B113" s="348" t="inlineStr">
        <is>
          <t>Baa1</t>
        </is>
      </c>
      <c r="C113" s="345" t="n">
        <v>0.01637292374391814</v>
      </c>
      <c r="D113" s="346" t="n">
        <v>0.06920847695390894</v>
      </c>
      <c r="E113" s="347" t="n">
        <v>0.01840847695390894</v>
      </c>
      <c r="F113" s="347" t="n">
        <v>0.15</v>
      </c>
      <c r="G113" s="351" t="inlineStr">
        <is>
          <t>Asia</t>
        </is>
      </c>
    </row>
    <row r="114" ht="16" customHeight="1">
      <c r="A114" s="351" t="inlineStr">
        <is>
          <t>Mexico</t>
        </is>
      </c>
      <c r="B114" s="348" t="inlineStr">
        <is>
          <t>A3</t>
        </is>
      </c>
      <c r="C114" s="345" t="n">
        <v>0.01230281840644696</v>
      </c>
      <c r="D114" s="346" t="n">
        <v>0.06463235838909542</v>
      </c>
      <c r="E114" s="347" t="n">
        <v>0.01383235838909542</v>
      </c>
      <c r="F114" s="347" t="n">
        <v>0.3</v>
      </c>
      <c r="G114" s="351" t="inlineStr">
        <is>
          <t>Central and South America</t>
        </is>
      </c>
    </row>
    <row r="115" ht="16" customHeight="1">
      <c r="A115" s="351" t="inlineStr">
        <is>
          <t>Moldova</t>
        </is>
      </c>
      <c r="B115" s="348" t="inlineStr">
        <is>
          <t>B3</t>
        </is>
      </c>
      <c r="C115" s="345" t="n">
        <v>0.06669422609810723</v>
      </c>
      <c r="D115" s="346" t="n">
        <v>0.1257859428461489</v>
      </c>
      <c r="E115" s="347" t="n">
        <v>0.07498594284614887</v>
      </c>
      <c r="F115" s="347" t="n">
        <v>0.12</v>
      </c>
      <c r="G115" s="351" t="inlineStr">
        <is>
          <t>Eastern Europe &amp; Russia</t>
        </is>
      </c>
    </row>
    <row r="116" ht="16" customHeight="1">
      <c r="A116" s="351" t="inlineStr">
        <is>
          <t>Mongolia</t>
        </is>
      </c>
      <c r="B116" s="348" t="inlineStr">
        <is>
          <t>Caa1</t>
        </is>
      </c>
      <c r="C116" s="345" t="n">
        <v>0.07686948944178516</v>
      </c>
      <c r="D116" s="346" t="n">
        <v>0.1372262392581827</v>
      </c>
      <c r="E116" s="347" t="n">
        <v>0.08642623925818267</v>
      </c>
      <c r="F116" s="347" t="n">
        <v>0.25</v>
      </c>
      <c r="G116" s="351" t="inlineStr">
        <is>
          <t>Asia</t>
        </is>
      </c>
    </row>
    <row r="117" ht="16" customHeight="1">
      <c r="A117" s="351" t="inlineStr">
        <is>
          <t>Montenegro</t>
        </is>
      </c>
      <c r="B117" s="348" t="inlineStr">
        <is>
          <t>B1</t>
        </is>
      </c>
      <c r="C117" s="345" t="n">
        <v>0.04615869462268447</v>
      </c>
      <c r="D117" s="346" t="n">
        <v>0.1026973446327716</v>
      </c>
      <c r="E117" s="347" t="n">
        <v>0.05189734463277155</v>
      </c>
      <c r="F117" s="347" t="n">
        <v>0.09</v>
      </c>
      <c r="G117" s="351" t="inlineStr">
        <is>
          <t>Eastern Europe &amp; Russia</t>
        </is>
      </c>
    </row>
    <row r="118" ht="16" customHeight="1">
      <c r="A118" s="351" t="inlineStr">
        <is>
          <t>Montserrat</t>
        </is>
      </c>
      <c r="B118" s="348" t="inlineStr">
        <is>
          <t>Baa3</t>
        </is>
      </c>
      <c r="C118" s="345" t="n">
        <v>0.02257058414415834</v>
      </c>
      <c r="D118" s="346" t="n">
        <v>0.07617665749578408</v>
      </c>
      <c r="E118" s="347" t="n">
        <v>0.02537665749578408</v>
      </c>
      <c r="F118" s="347" t="n">
        <v>0.2798</v>
      </c>
      <c r="G118" s="351" t="inlineStr">
        <is>
          <t>Caribbean</t>
        </is>
      </c>
    </row>
    <row r="119" ht="16" customHeight="1">
      <c r="A119" s="351" t="inlineStr">
        <is>
          <t>Morocco</t>
        </is>
      </c>
      <c r="B119" s="348" t="inlineStr">
        <is>
          <t>Ba1</t>
        </is>
      </c>
      <c r="C119" s="345" t="n">
        <v>0.02562316314726172</v>
      </c>
      <c r="D119" s="346" t="n">
        <v>0.07960874641939422</v>
      </c>
      <c r="E119" s="347" t="n">
        <v>0.02880874641939422</v>
      </c>
      <c r="F119" s="347" t="n">
        <v>0.31</v>
      </c>
      <c r="G119" s="351" t="inlineStr">
        <is>
          <t>Africa</t>
        </is>
      </c>
    </row>
    <row r="120" ht="16" customHeight="1">
      <c r="A120" s="351" t="inlineStr">
        <is>
          <t>Mozambique</t>
        </is>
      </c>
      <c r="B120" s="348" t="inlineStr">
        <is>
          <t>Caa3</t>
        </is>
      </c>
      <c r="C120" s="345" t="n">
        <v>0.1024926525890469</v>
      </c>
      <c r="D120" s="346" t="n">
        <v>0.1660349856775769</v>
      </c>
      <c r="E120" s="347" t="n">
        <v>0.1152349856775769</v>
      </c>
      <c r="F120" s="347" t="n">
        <v>0.32</v>
      </c>
      <c r="G120" s="351" t="inlineStr">
        <is>
          <t>Africa</t>
        </is>
      </c>
    </row>
    <row r="121" ht="16" customHeight="1">
      <c r="A121" s="351" t="inlineStr">
        <is>
          <t>Myanmar</t>
        </is>
      </c>
      <c r="B121" s="348" t="inlineStr">
        <is>
          <t>NA</t>
        </is>
      </c>
      <c r="C121" s="345" t="n">
        <v>0.0667</v>
      </c>
      <c r="D121" s="349" t="n">
        <v>0.1257924345846795</v>
      </c>
      <c r="E121" s="347" t="n">
        <v>0.07499243458467948</v>
      </c>
      <c r="F121" s="358" t="n">
        <v>0.25</v>
      </c>
      <c r="G121" s="351" t="inlineStr">
        <is>
          <t>Asia</t>
        </is>
      </c>
    </row>
    <row r="122" ht="16" customHeight="1">
      <c r="A122" s="351" t="inlineStr">
        <is>
          <t>Namibia</t>
        </is>
      </c>
      <c r="B122" s="348" t="inlineStr">
        <is>
          <t>Ba1</t>
        </is>
      </c>
      <c r="C122" s="345" t="n">
        <v>0.02562316314726172</v>
      </c>
      <c r="D122" s="346" t="n">
        <v>0.07960874641939422</v>
      </c>
      <c r="E122" s="347" t="n">
        <v>0.02880874641939422</v>
      </c>
      <c r="F122" s="347" t="n">
        <v>0.32</v>
      </c>
      <c r="G122" s="351" t="inlineStr">
        <is>
          <t>Africa</t>
        </is>
      </c>
    </row>
    <row r="123" ht="16" customHeight="1">
      <c r="A123" s="351" t="inlineStr">
        <is>
          <t>Netherlands</t>
        </is>
      </c>
      <c r="B123" s="348" t="inlineStr">
        <is>
          <t>Aaa</t>
        </is>
      </c>
      <c r="C123" s="345" t="n">
        <v>0</v>
      </c>
      <c r="D123" s="346" t="n">
        <v>0.0508</v>
      </c>
      <c r="E123" s="347" t="n">
        <v>0</v>
      </c>
      <c r="F123" s="347" t="n">
        <v>0.25</v>
      </c>
      <c r="G123" s="351" t="inlineStr">
        <is>
          <t>Western Europe</t>
        </is>
      </c>
    </row>
    <row r="124" ht="16" customHeight="1">
      <c r="A124" s="352" t="inlineStr">
        <is>
          <t>Netherlands Antilles</t>
        </is>
      </c>
      <c r="B124" s="353" t="inlineStr">
        <is>
          <t>NA</t>
        </is>
      </c>
      <c r="C124" s="354" t="n">
        <v>0.05613595052728036</v>
      </c>
      <c r="D124" s="354" t="n">
        <v>0.113915016458259</v>
      </c>
      <c r="E124" s="354" t="n">
        <v>0.06311501645825901</v>
      </c>
      <c r="F124" s="354" t="n">
        <v>0.2402484348503598</v>
      </c>
      <c r="G124" s="355" t="inlineStr">
        <is>
          <t>Caribbean</t>
        </is>
      </c>
    </row>
    <row r="125" ht="16" customHeight="1">
      <c r="A125" s="351" t="inlineStr">
        <is>
          <t>New Zealand</t>
        </is>
      </c>
      <c r="B125" s="348" t="inlineStr">
        <is>
          <t>Aaa</t>
        </is>
      </c>
      <c r="C125" s="345" t="n">
        <v>0</v>
      </c>
      <c r="D125" s="346" t="n">
        <v>0.0508</v>
      </c>
      <c r="E125" s="347" t="n">
        <v>0</v>
      </c>
      <c r="F125" s="347" t="n">
        <v>0.28</v>
      </c>
      <c r="G125" s="351" t="inlineStr">
        <is>
          <t>Australia &amp; New Zealand</t>
        </is>
      </c>
    </row>
    <row r="126" ht="16" customHeight="1">
      <c r="A126" s="351" t="inlineStr">
        <is>
          <t>Nicaragua</t>
        </is>
      </c>
      <c r="B126" s="348" t="inlineStr">
        <is>
          <t>B2</t>
        </is>
      </c>
      <c r="C126" s="345" t="n">
        <v>0.05642646036039584</v>
      </c>
      <c r="D126" s="346" t="n">
        <v>0.1142416437394602</v>
      </c>
      <c r="E126" s="347" t="n">
        <v>0.06344164373946019</v>
      </c>
      <c r="F126" s="347" t="n">
        <v>0.3</v>
      </c>
      <c r="G126" s="351" t="inlineStr">
        <is>
          <t>Central and South America</t>
        </is>
      </c>
    </row>
    <row r="127" ht="16" customHeight="1">
      <c r="A127" s="351" t="inlineStr">
        <is>
          <t>Niger</t>
        </is>
      </c>
      <c r="B127" s="348" t="inlineStr">
        <is>
          <t>NA</t>
        </is>
      </c>
      <c r="C127" s="345" t="n">
        <v>0.123</v>
      </c>
      <c r="D127" s="349" t="n">
        <v>0.1890918958608033</v>
      </c>
      <c r="E127" s="347" t="n">
        <v>0.1382918958608033</v>
      </c>
      <c r="F127" s="358" t="n">
        <v>0.2821</v>
      </c>
      <c r="G127" s="351" t="inlineStr">
        <is>
          <t>Africa</t>
        </is>
      </c>
    </row>
    <row r="128" ht="16" customHeight="1">
      <c r="A128" s="351" t="inlineStr">
        <is>
          <t>Nigeria</t>
        </is>
      </c>
      <c r="B128" s="348" t="inlineStr">
        <is>
          <t>B2</t>
        </is>
      </c>
      <c r="C128" s="345" t="n">
        <v>0.05642646036039584</v>
      </c>
      <c r="D128" s="346" t="n">
        <v>0.1142416437394602</v>
      </c>
      <c r="E128" s="347" t="n">
        <v>0.06344164373946019</v>
      </c>
      <c r="F128" s="347" t="n">
        <v>0.3</v>
      </c>
      <c r="G128" s="351" t="inlineStr">
        <is>
          <t>Africa</t>
        </is>
      </c>
    </row>
    <row r="129" ht="16" customHeight="1">
      <c r="A129" s="351" t="inlineStr">
        <is>
          <t>Norway</t>
        </is>
      </c>
      <c r="B129" s="348" t="inlineStr">
        <is>
          <t>Aaa</t>
        </is>
      </c>
      <c r="C129" s="345" t="n">
        <v>0</v>
      </c>
      <c r="D129" s="346" t="n">
        <v>0.0508</v>
      </c>
      <c r="E129" s="347" t="n">
        <v>0</v>
      </c>
      <c r="F129" s="347" t="n">
        <v>0.24</v>
      </c>
      <c r="G129" s="351" t="inlineStr">
        <is>
          <t>Western Europe</t>
        </is>
      </c>
    </row>
    <row r="130" ht="16" customHeight="1">
      <c r="A130" s="351" t="inlineStr">
        <is>
          <t>Oman</t>
        </is>
      </c>
      <c r="B130" s="348" t="inlineStr">
        <is>
          <t>Baa2</t>
        </is>
      </c>
      <c r="C130" s="345" t="n">
        <v>0.01951800514105496</v>
      </c>
      <c r="D130" s="346" t="n">
        <v>0.07274456857217394</v>
      </c>
      <c r="E130" s="347" t="n">
        <v>0.02194456857217394</v>
      </c>
      <c r="F130" s="347" t="n">
        <v>0.15</v>
      </c>
      <c r="G130" s="351" t="inlineStr">
        <is>
          <t>Middle East</t>
        </is>
      </c>
    </row>
    <row r="131" ht="16" customHeight="1">
      <c r="A131" s="351" t="inlineStr">
        <is>
          <t>Pakistan</t>
        </is>
      </c>
      <c r="B131" s="348" t="inlineStr">
        <is>
          <t>B3</t>
        </is>
      </c>
      <c r="C131" s="345" t="n">
        <v>0.06669422609810723</v>
      </c>
      <c r="D131" s="346" t="n">
        <v>0.1257859428461489</v>
      </c>
      <c r="E131" s="347" t="n">
        <v>0.07498594284614887</v>
      </c>
      <c r="F131" s="347" t="n">
        <v>0.31</v>
      </c>
      <c r="G131" s="351" t="inlineStr">
        <is>
          <t>Asia</t>
        </is>
      </c>
    </row>
    <row r="132" ht="16" customHeight="1">
      <c r="A132" s="369" t="inlineStr">
        <is>
          <t>Palestinian Authority</t>
        </is>
      </c>
      <c r="B132" s="348" t="inlineStr">
        <is>
          <t>NA</t>
        </is>
      </c>
      <c r="C132" s="360" t="n">
        <v>0.01429951522569354</v>
      </c>
      <c r="D132" s="360" t="n">
        <v>0.06687729325570393</v>
      </c>
      <c r="E132" s="360" t="n">
        <v>0.01607729325570392</v>
      </c>
      <c r="F132" s="360" t="n">
        <v>0.2056259155508726</v>
      </c>
      <c r="G132" s="351" t="inlineStr">
        <is>
          <t>Middle East</t>
        </is>
      </c>
    </row>
    <row r="133" ht="16" customHeight="1">
      <c r="A133" s="351" t="inlineStr">
        <is>
          <t>Panama</t>
        </is>
      </c>
      <c r="B133" s="348" t="inlineStr">
        <is>
          <t>Baa2</t>
        </is>
      </c>
      <c r="C133" s="345" t="n">
        <v>0.01951800514105496</v>
      </c>
      <c r="D133" s="346" t="n">
        <v>0.07274456857217394</v>
      </c>
      <c r="E133" s="347" t="n">
        <v>0.02194456857217394</v>
      </c>
      <c r="F133" s="347" t="n">
        <v>0.25</v>
      </c>
      <c r="G133" s="351" t="inlineStr">
        <is>
          <t>Central and South America</t>
        </is>
      </c>
    </row>
    <row r="134" ht="16" customHeight="1">
      <c r="A134" s="351" t="inlineStr">
        <is>
          <t>Papua New Guinea</t>
        </is>
      </c>
      <c r="B134" s="348" t="inlineStr">
        <is>
          <t>B2</t>
        </is>
      </c>
      <c r="C134" s="345" t="n">
        <v>0.05642646036039584</v>
      </c>
      <c r="D134" s="346" t="n">
        <v>0.1142416437394602</v>
      </c>
      <c r="E134" s="347" t="n">
        <v>0.06344164373946019</v>
      </c>
      <c r="F134" s="347" t="n">
        <v>0.3</v>
      </c>
      <c r="G134" s="351" t="inlineStr">
        <is>
          <t>Asia</t>
        </is>
      </c>
    </row>
    <row r="135" ht="16" customHeight="1">
      <c r="A135" s="351" t="inlineStr">
        <is>
          <t>Paraguay</t>
        </is>
      </c>
      <c r="B135" s="348" t="inlineStr">
        <is>
          <t>Ba1</t>
        </is>
      </c>
      <c r="C135" s="345" t="n">
        <v>0.02562316314726172</v>
      </c>
      <c r="D135" s="346" t="n">
        <v>0.07960874641939422</v>
      </c>
      <c r="E135" s="347" t="n">
        <v>0.02880874641939422</v>
      </c>
      <c r="F135" s="347" t="n">
        <v>0.1</v>
      </c>
      <c r="G135" s="351" t="inlineStr">
        <is>
          <t>Central and South America</t>
        </is>
      </c>
    </row>
    <row r="136" ht="16" customHeight="1">
      <c r="A136" s="351" t="inlineStr">
        <is>
          <t>Peru</t>
        </is>
      </c>
      <c r="B136" s="348" t="inlineStr">
        <is>
          <t>A3</t>
        </is>
      </c>
      <c r="C136" s="345" t="n">
        <v>0.01230281840644696</v>
      </c>
      <c r="D136" s="346" t="n">
        <v>0.06463235838909542</v>
      </c>
      <c r="E136" s="347" t="n">
        <v>0.01383235838909542</v>
      </c>
      <c r="F136" s="347" t="n">
        <v>0.295</v>
      </c>
      <c r="G136" s="351" t="inlineStr">
        <is>
          <t>Central and South America</t>
        </is>
      </c>
    </row>
    <row r="137" ht="16" customHeight="1">
      <c r="A137" s="351" t="inlineStr">
        <is>
          <t>Philippines</t>
        </is>
      </c>
      <c r="B137" s="348" t="inlineStr">
        <is>
          <t>Baa2</t>
        </is>
      </c>
      <c r="C137" s="345" t="n">
        <v>0.01951800514105496</v>
      </c>
      <c r="D137" s="346" t="n">
        <v>0.07274456857217394</v>
      </c>
      <c r="E137" s="347" t="n">
        <v>0.02194456857217394</v>
      </c>
      <c r="F137" s="347" t="n">
        <v>0.3</v>
      </c>
      <c r="G137" s="351" t="inlineStr">
        <is>
          <t>Asia</t>
        </is>
      </c>
    </row>
    <row r="138" ht="16" customHeight="1">
      <c r="A138" s="351" t="inlineStr">
        <is>
          <t>Poland</t>
        </is>
      </c>
      <c r="B138" s="348" t="inlineStr">
        <is>
          <t>A2</t>
        </is>
      </c>
      <c r="C138" s="345" t="n">
        <v>0.008695225039142968</v>
      </c>
      <c r="D138" s="346" t="n">
        <v>0.06057625329755616</v>
      </c>
      <c r="E138" s="347" t="n">
        <v>0.009776253297556164</v>
      </c>
      <c r="F138" s="347" t="n">
        <v>0.19</v>
      </c>
      <c r="G138" s="351" t="inlineStr">
        <is>
          <t>Eastern Europe &amp; Russia</t>
        </is>
      </c>
    </row>
    <row r="139" ht="16" customHeight="1">
      <c r="A139" s="351" t="inlineStr">
        <is>
          <t>Portugal</t>
        </is>
      </c>
      <c r="B139" s="348" t="inlineStr">
        <is>
          <t>Ba1</t>
        </is>
      </c>
      <c r="C139" s="345" t="n">
        <v>0.02562316314726172</v>
      </c>
      <c r="D139" s="346" t="n">
        <v>0.07960874641939422</v>
      </c>
      <c r="E139" s="347" t="n">
        <v>0.02880874641939422</v>
      </c>
      <c r="F139" s="347" t="n">
        <v>0.21</v>
      </c>
      <c r="G139" s="351" t="inlineStr">
        <is>
          <t>Western Europe</t>
        </is>
      </c>
    </row>
    <row r="140" ht="16" customHeight="1">
      <c r="A140" s="351" t="inlineStr">
        <is>
          <t>Qatar</t>
        </is>
      </c>
      <c r="B140" s="348" t="inlineStr">
        <is>
          <t>Aa3</t>
        </is>
      </c>
      <c r="C140" s="345" t="n">
        <v>0.006197660400240199</v>
      </c>
      <c r="D140" s="346" t="n">
        <v>0.05776818054187514</v>
      </c>
      <c r="E140" s="347" t="n">
        <v>0.006968180541875137</v>
      </c>
      <c r="F140" s="347" t="n">
        <v>0.1</v>
      </c>
      <c r="G140" s="351" t="inlineStr">
        <is>
          <t>Middle East</t>
        </is>
      </c>
    </row>
    <row r="141" ht="16" customHeight="1">
      <c r="A141" s="351" t="inlineStr">
        <is>
          <t>Ras Al Khaimah (Emirate of)</t>
        </is>
      </c>
      <c r="B141" s="348" t="inlineStr">
        <is>
          <t>A2</t>
        </is>
      </c>
      <c r="C141" s="345" t="n">
        <v>0.008695225039142968</v>
      </c>
      <c r="D141" s="346" t="n">
        <v>0.06057625329755616</v>
      </c>
      <c r="E141" s="347" t="n">
        <v>0.009776253297556164</v>
      </c>
      <c r="F141" s="347" t="n">
        <v>0</v>
      </c>
      <c r="G141" s="351" t="inlineStr">
        <is>
          <t>Middle East</t>
        </is>
      </c>
    </row>
    <row r="142" ht="16" customHeight="1">
      <c r="A142" s="369" t="inlineStr">
        <is>
          <t>Reunion</t>
        </is>
      </c>
      <c r="B142" s="348" t="inlineStr">
        <is>
          <t>NA</t>
        </is>
      </c>
      <c r="C142" s="360" t="n">
        <v>0.04859745028264898</v>
      </c>
      <c r="D142" s="360" t="n">
        <v>0.1047249280470509</v>
      </c>
      <c r="E142" s="360" t="n">
        <v>0.05463929702104599</v>
      </c>
      <c r="F142" s="360" t="n">
        <v>0.2761366603012199</v>
      </c>
      <c r="G142" s="351" t="inlineStr">
        <is>
          <t>Africa</t>
        </is>
      </c>
    </row>
    <row r="143" ht="16" customHeight="1">
      <c r="A143" s="351" t="inlineStr">
        <is>
          <t>Romania</t>
        </is>
      </c>
      <c r="B143" s="348" t="inlineStr">
        <is>
          <t>Baa3</t>
        </is>
      </c>
      <c r="C143" s="345" t="n">
        <v>0.02257058414415834</v>
      </c>
      <c r="D143" s="346" t="n">
        <v>0.07617665749578408</v>
      </c>
      <c r="E143" s="347" t="n">
        <v>0.02537665749578408</v>
      </c>
      <c r="F143" s="347" t="n">
        <v>0.16</v>
      </c>
      <c r="G143" s="351" t="inlineStr">
        <is>
          <t>Eastern Europe &amp; Russia</t>
        </is>
      </c>
    </row>
    <row r="144" ht="16" customHeight="1">
      <c r="A144" s="351" t="inlineStr">
        <is>
          <t>Russia</t>
        </is>
      </c>
      <c r="B144" s="348" t="inlineStr">
        <is>
          <t>Ba1</t>
        </is>
      </c>
      <c r="C144" s="345" t="n">
        <v>0.02562316314726172</v>
      </c>
      <c r="D144" s="346" t="n">
        <v>0.07960874641939422</v>
      </c>
      <c r="E144" s="347" t="n">
        <v>0.02880874641939422</v>
      </c>
      <c r="F144" s="347" t="n">
        <v>0.2</v>
      </c>
      <c r="G144" s="351" t="inlineStr">
        <is>
          <t>Eastern Europe &amp; Russia</t>
        </is>
      </c>
    </row>
    <row r="145" ht="16" customHeight="1">
      <c r="A145" s="351" t="inlineStr">
        <is>
          <t>Rwanda</t>
        </is>
      </c>
      <c r="B145" s="348" t="inlineStr">
        <is>
          <t>B2</t>
        </is>
      </c>
      <c r="C145" s="345" t="n">
        <v>0.05642646036039584</v>
      </c>
      <c r="D145" s="346" t="n">
        <v>0.1142416437394602</v>
      </c>
      <c r="E145" s="347" t="n">
        <v>0.06344164373946019</v>
      </c>
      <c r="F145" s="347" t="n">
        <v>0.3</v>
      </c>
      <c r="G145" s="351" t="inlineStr">
        <is>
          <t>Africa</t>
        </is>
      </c>
    </row>
    <row r="146" ht="16" customHeight="1">
      <c r="A146" s="357" t="inlineStr">
        <is>
          <t>Saint Lucia</t>
        </is>
      </c>
      <c r="B146" s="348" t="inlineStr">
        <is>
          <t>NA</t>
        </is>
      </c>
      <c r="C146" s="360" t="n">
        <v>0.05613595052728036</v>
      </c>
      <c r="D146" s="360" t="n">
        <v>0.113915016458259</v>
      </c>
      <c r="E146" s="360" t="n">
        <v>0.06311501645825901</v>
      </c>
      <c r="F146" s="360" t="n">
        <v>0.2402484348503598</v>
      </c>
      <c r="G146" s="351" t="inlineStr">
        <is>
          <t>Caribbean</t>
        </is>
      </c>
    </row>
    <row r="147" ht="16" customHeight="1">
      <c r="A147" s="351" t="inlineStr">
        <is>
          <t>Saudi Arabia</t>
        </is>
      </c>
      <c r="B147" s="348" t="inlineStr">
        <is>
          <t>A1</t>
        </is>
      </c>
      <c r="C147" s="345" t="n">
        <v>0.007215186734607994</v>
      </c>
      <c r="D147" s="346" t="n">
        <v>0.05891221018307852</v>
      </c>
      <c r="E147" s="347" t="n">
        <v>0.008112210183078518</v>
      </c>
      <c r="F147" s="347" t="n">
        <v>0.2</v>
      </c>
      <c r="G147" s="351" t="inlineStr">
        <is>
          <t>Middle East</t>
        </is>
      </c>
    </row>
    <row r="148" ht="16" customHeight="1">
      <c r="A148" s="351" t="inlineStr">
        <is>
          <t>Senegal</t>
        </is>
      </c>
      <c r="B148" s="348" t="inlineStr">
        <is>
          <t>Ba3</t>
        </is>
      </c>
      <c r="C148" s="345" t="n">
        <v>0.03690845521934089</v>
      </c>
      <c r="D148" s="346" t="n">
        <v>0.09229707516728627</v>
      </c>
      <c r="E148" s="347" t="n">
        <v>0.04149707516728627</v>
      </c>
      <c r="F148" s="347" t="n">
        <v>0.3</v>
      </c>
      <c r="G148" s="351" t="inlineStr">
        <is>
          <t>Africa</t>
        </is>
      </c>
    </row>
    <row r="149" ht="16" customHeight="1">
      <c r="A149" s="351" t="inlineStr">
        <is>
          <t>Serbia</t>
        </is>
      </c>
      <c r="B149" s="348" t="inlineStr">
        <is>
          <t>Ba3</t>
        </is>
      </c>
      <c r="C149" s="345" t="n">
        <v>0.03690845521934089</v>
      </c>
      <c r="D149" s="346" t="n">
        <v>0.09229707516728627</v>
      </c>
      <c r="E149" s="347" t="n">
        <v>0.04149707516728627</v>
      </c>
      <c r="F149" s="347" t="n">
        <v>0.15</v>
      </c>
      <c r="G149" s="351" t="inlineStr">
        <is>
          <t>Eastern Europe &amp; Russia</t>
        </is>
      </c>
    </row>
    <row r="150" ht="16" customHeight="1">
      <c r="A150" s="351" t="inlineStr">
        <is>
          <t>Sharjah</t>
        </is>
      </c>
      <c r="B150" s="348" t="inlineStr">
        <is>
          <t>A3</t>
        </is>
      </c>
      <c r="C150" s="345" t="n">
        <v>0.01230281840644696</v>
      </c>
      <c r="D150" s="346" t="n">
        <v>0.06463235838909542</v>
      </c>
      <c r="E150" s="347" t="n">
        <v>0.01383235838909542</v>
      </c>
      <c r="F150" s="347" t="n">
        <v>0</v>
      </c>
      <c r="G150" s="351" t="inlineStr">
        <is>
          <t>Middle East</t>
        </is>
      </c>
    </row>
    <row r="151" ht="16" customHeight="1">
      <c r="A151" s="351" t="inlineStr">
        <is>
          <t>Sierra Leone</t>
        </is>
      </c>
      <c r="B151" s="348" t="inlineStr">
        <is>
          <t>NA</t>
        </is>
      </c>
      <c r="C151" s="345" t="n">
        <v>0.123</v>
      </c>
      <c r="D151" s="349" t="n">
        <v>0.1890918958608033</v>
      </c>
      <c r="E151" s="347" t="n">
        <v>0.1382918958608033</v>
      </c>
      <c r="F151" s="358" t="n">
        <v>0.3</v>
      </c>
      <c r="G151" s="351" t="inlineStr">
        <is>
          <t>Africa</t>
        </is>
      </c>
    </row>
    <row r="152" ht="16" customHeight="1">
      <c r="A152" s="351" t="inlineStr">
        <is>
          <t>Singapore</t>
        </is>
      </c>
      <c r="B152" s="348" t="inlineStr">
        <is>
          <t>Aaa</t>
        </is>
      </c>
      <c r="C152" s="345" t="n">
        <v>0</v>
      </c>
      <c r="D152" s="346" t="n">
        <v>0.0508</v>
      </c>
      <c r="E152" s="347" t="n">
        <v>0</v>
      </c>
      <c r="F152" s="347" t="n">
        <v>0.17</v>
      </c>
      <c r="G152" s="351" t="inlineStr">
        <is>
          <t>Asia</t>
        </is>
      </c>
    </row>
    <row r="153" ht="16" customHeight="1">
      <c r="A153" s="351" t="inlineStr">
        <is>
          <t>Slovakia</t>
        </is>
      </c>
      <c r="B153" s="348" t="inlineStr">
        <is>
          <t>A2</t>
        </is>
      </c>
      <c r="C153" s="345" t="n">
        <v>0.008695225039142968</v>
      </c>
      <c r="D153" s="346" t="n">
        <v>0.06057625329755616</v>
      </c>
      <c r="E153" s="347" t="n">
        <v>0.009776253297556164</v>
      </c>
      <c r="F153" s="347" t="n">
        <v>0.21</v>
      </c>
      <c r="G153" s="351" t="inlineStr">
        <is>
          <t>Eastern Europe &amp; Russia</t>
        </is>
      </c>
    </row>
    <row r="154" ht="16" customHeight="1">
      <c r="A154" s="351" t="inlineStr">
        <is>
          <t>Slovenia</t>
        </is>
      </c>
      <c r="B154" s="348" t="inlineStr">
        <is>
          <t>Baa1</t>
        </is>
      </c>
      <c r="C154" s="345" t="n">
        <v>0.01637292374391814</v>
      </c>
      <c r="D154" s="346" t="n">
        <v>0.06920847695390894</v>
      </c>
      <c r="E154" s="347" t="n">
        <v>0.01840847695390894</v>
      </c>
      <c r="F154" s="347" t="n">
        <v>0.19</v>
      </c>
      <c r="G154" s="351" t="inlineStr">
        <is>
          <t>Eastern Europe &amp; Russia</t>
        </is>
      </c>
    </row>
    <row r="155" ht="16" customHeight="1">
      <c r="A155" s="357" t="inlineStr">
        <is>
          <t>Solomon Islands</t>
        </is>
      </c>
      <c r="B155" s="348" t="inlineStr">
        <is>
          <t>NA</t>
        </is>
      </c>
      <c r="C155" s="360" t="n">
        <v>0.01058208880311871</v>
      </c>
      <c r="D155" s="360" t="n">
        <v>0.06269770018496475</v>
      </c>
      <c r="E155" s="360" t="n">
        <v>0.01189770018496475</v>
      </c>
      <c r="F155" s="360" t="n">
        <v>0.2592893477903092</v>
      </c>
      <c r="G155" s="351" t="inlineStr">
        <is>
          <t>Asia</t>
        </is>
      </c>
    </row>
    <row r="156" ht="16" customHeight="1">
      <c r="A156" s="351" t="inlineStr">
        <is>
          <t>Somalia</t>
        </is>
      </c>
      <c r="B156" s="348" t="inlineStr">
        <is>
          <t>NA</t>
        </is>
      </c>
      <c r="C156" s="345" t="n">
        <v>0.123</v>
      </c>
      <c r="D156" s="349" t="n">
        <v>0.1890918958608033</v>
      </c>
      <c r="E156" s="347" t="n">
        <v>0.1382918958608033</v>
      </c>
      <c r="F156" s="358" t="n">
        <v>0.2</v>
      </c>
      <c r="G156" s="351" t="inlineStr">
        <is>
          <t>Africa</t>
        </is>
      </c>
    </row>
    <row r="157" ht="16" customHeight="1">
      <c r="A157" s="351" t="inlineStr">
        <is>
          <t>South Africa</t>
        </is>
      </c>
      <c r="B157" s="348" t="inlineStr">
        <is>
          <t>Baa3</t>
        </is>
      </c>
      <c r="C157" s="345" t="n">
        <v>0.02257058414415834</v>
      </c>
      <c r="D157" s="346" t="n">
        <v>0.07617665749578408</v>
      </c>
      <c r="E157" s="347" t="n">
        <v>0.02537665749578408</v>
      </c>
      <c r="F157" s="347" t="n">
        <v>0.28</v>
      </c>
      <c r="G157" s="351" t="inlineStr">
        <is>
          <t>Africa</t>
        </is>
      </c>
    </row>
    <row r="158" ht="16" customHeight="1">
      <c r="A158" s="351" t="inlineStr">
        <is>
          <t>Spain</t>
        </is>
      </c>
      <c r="B158" s="348" t="inlineStr">
        <is>
          <t>Baa2</t>
        </is>
      </c>
      <c r="C158" s="345" t="n">
        <v>0.01951800514105496</v>
      </c>
      <c r="D158" s="346" t="n">
        <v>0.07274456857217394</v>
      </c>
      <c r="E158" s="347" t="n">
        <v>0.02194456857217394</v>
      </c>
      <c r="F158" s="347" t="n">
        <v>0.25</v>
      </c>
      <c r="G158" s="351" t="inlineStr">
        <is>
          <t>Western Europe</t>
        </is>
      </c>
    </row>
    <row r="159" ht="16" customHeight="1">
      <c r="A159" s="351" t="inlineStr">
        <is>
          <t>Sri Lanka</t>
        </is>
      </c>
      <c r="B159" s="348" t="inlineStr">
        <is>
          <t>B1</t>
        </is>
      </c>
      <c r="C159" s="345" t="n">
        <v>0.04615869462268447</v>
      </c>
      <c r="D159" s="346" t="n">
        <v>0.1026973446327716</v>
      </c>
      <c r="E159" s="347" t="n">
        <v>0.05189734463277155</v>
      </c>
      <c r="F159" s="347" t="n">
        <v>0.28</v>
      </c>
      <c r="G159" s="351" t="inlineStr">
        <is>
          <t>Asia</t>
        </is>
      </c>
    </row>
    <row r="160" ht="16" customHeight="1">
      <c r="A160" s="351" t="inlineStr">
        <is>
          <t>St. Maarten</t>
        </is>
      </c>
      <c r="B160" s="348" t="inlineStr">
        <is>
          <t>Baa2</t>
        </is>
      </c>
      <c r="C160" s="345" t="n">
        <v>0.01951800514105496</v>
      </c>
      <c r="D160" s="346" t="n">
        <v>0.07274456857217394</v>
      </c>
      <c r="E160" s="347" t="n">
        <v>0.02194456857217394</v>
      </c>
      <c r="F160" s="347" t="n">
        <v>0.345</v>
      </c>
      <c r="G160" s="351" t="inlineStr">
        <is>
          <t>Caribbean</t>
        </is>
      </c>
    </row>
    <row r="161" ht="16" customHeight="1">
      <c r="A161" s="351" t="inlineStr">
        <is>
          <t>St. Vincent &amp; the Grenadines</t>
        </is>
      </c>
      <c r="B161" s="348" t="inlineStr">
        <is>
          <t>B3</t>
        </is>
      </c>
      <c r="C161" s="345" t="n">
        <v>0.06669422609810723</v>
      </c>
      <c r="D161" s="346" t="n">
        <v>0.1257859428461489</v>
      </c>
      <c r="E161" s="347" t="n">
        <v>0.07498594284614887</v>
      </c>
      <c r="F161" s="347" t="n">
        <v>0.2798</v>
      </c>
      <c r="G161" s="351" t="inlineStr">
        <is>
          <t>Caribbean</t>
        </is>
      </c>
    </row>
    <row r="162" ht="16" customHeight="1">
      <c r="A162" s="351" t="inlineStr">
        <is>
          <t>Sudan</t>
        </is>
      </c>
      <c r="B162" s="348" t="inlineStr">
        <is>
          <t>NA</t>
        </is>
      </c>
      <c r="C162" s="345" t="n">
        <v>0.18</v>
      </c>
      <c r="D162" s="349" t="n">
        <v>0.2531783841865413</v>
      </c>
      <c r="E162" s="347" t="n">
        <v>0.2023783841865413</v>
      </c>
      <c r="F162" s="358" t="n">
        <v>0.35</v>
      </c>
      <c r="G162" s="351" t="inlineStr">
        <is>
          <t>Africa</t>
        </is>
      </c>
    </row>
    <row r="163" ht="16" customHeight="1">
      <c r="A163" s="351" t="inlineStr">
        <is>
          <t>Suriname</t>
        </is>
      </c>
      <c r="B163" s="348" t="inlineStr">
        <is>
          <t>B1</t>
        </is>
      </c>
      <c r="C163" s="345" t="n">
        <v>0.04615869462268447</v>
      </c>
      <c r="D163" s="346" t="n">
        <v>0.1026973446327716</v>
      </c>
      <c r="E163" s="347" t="n">
        <v>0.05189734463277155</v>
      </c>
      <c r="F163" s="347" t="n">
        <v>0.36</v>
      </c>
      <c r="G163" s="351" t="inlineStr">
        <is>
          <t>Central and South America</t>
        </is>
      </c>
    </row>
    <row r="164" ht="16" customHeight="1">
      <c r="A164" s="351" t="inlineStr">
        <is>
          <t>Swaziland</t>
        </is>
      </c>
      <c r="B164" s="374" t="inlineStr">
        <is>
          <t>B2</t>
        </is>
      </c>
      <c r="C164" s="345" t="n">
        <v>0</v>
      </c>
      <c r="D164" s="371" t="n">
        <v>0.0508</v>
      </c>
      <c r="E164" s="376" t="n">
        <v>0</v>
      </c>
      <c r="F164" s="360" t="n">
        <v>0.275</v>
      </c>
      <c r="G164" s="373" t="inlineStr">
        <is>
          <t>Africa</t>
        </is>
      </c>
    </row>
    <row r="165" ht="16" customHeight="1">
      <c r="A165" s="351" t="inlineStr">
        <is>
          <t>Sweden</t>
        </is>
      </c>
      <c r="B165" s="374" t="inlineStr">
        <is>
          <t>Aaa</t>
        </is>
      </c>
      <c r="C165" s="345" t="n">
        <v>0</v>
      </c>
      <c r="D165" s="371" t="n">
        <v>0.0508</v>
      </c>
      <c r="E165" s="376" t="n">
        <v>0</v>
      </c>
      <c r="F165" s="360" t="n">
        <v>0.22</v>
      </c>
      <c r="G165" s="373" t="inlineStr">
        <is>
          <t>Western Europe</t>
        </is>
      </c>
    </row>
    <row r="166" ht="16" customHeight="1">
      <c r="A166" s="351" t="inlineStr">
        <is>
          <t>Switzerland</t>
        </is>
      </c>
      <c r="B166" s="374" t="inlineStr">
        <is>
          <t>Aaa</t>
        </is>
      </c>
      <c r="C166" s="345" t="n">
        <v>0</v>
      </c>
      <c r="D166" s="371" t="n">
        <v>0.0508</v>
      </c>
      <c r="E166" s="376" t="n">
        <v>0</v>
      </c>
      <c r="F166" s="360" t="n">
        <v>0.1777</v>
      </c>
      <c r="G166" s="373" t="inlineStr">
        <is>
          <t>Western Europe</t>
        </is>
      </c>
    </row>
    <row r="167" ht="16" customHeight="1">
      <c r="A167" s="351" t="inlineStr">
        <is>
          <t>Syria</t>
        </is>
      </c>
      <c r="B167" s="374" t="inlineStr">
        <is>
          <t>NA</t>
        </is>
      </c>
      <c r="C167" s="345" t="n">
        <v>0.18</v>
      </c>
      <c r="D167" s="375" t="n">
        <v>0.2531783841865413</v>
      </c>
      <c r="E167" s="376" t="n">
        <v>0.2023783841865413</v>
      </c>
      <c r="F167" s="345" t="n">
        <v>0.28</v>
      </c>
      <c r="G167" s="373" t="inlineStr">
        <is>
          <t>Middle East</t>
        </is>
      </c>
    </row>
    <row r="168" ht="16" customHeight="1">
      <c r="A168" s="351" t="inlineStr">
        <is>
          <t>Taiwan</t>
        </is>
      </c>
      <c r="B168" s="374" t="inlineStr">
        <is>
          <t>Aa3</t>
        </is>
      </c>
      <c r="C168" s="345" t="n">
        <v>0.006197660400240199</v>
      </c>
      <c r="D168" s="371" t="n">
        <v>0.05776818054187514</v>
      </c>
      <c r="E168" s="376" t="n">
        <v>0.006968180541875137</v>
      </c>
      <c r="F168" s="360" t="n">
        <v>0.17</v>
      </c>
      <c r="G168" s="373" t="inlineStr">
        <is>
          <t>Asia</t>
        </is>
      </c>
    </row>
    <row r="169" ht="16" customHeight="1">
      <c r="A169" s="351" t="inlineStr">
        <is>
          <t>Tajikistan</t>
        </is>
      </c>
      <c r="B169" s="374" t="inlineStr">
        <is>
          <t>B3</t>
        </is>
      </c>
      <c r="C169" s="345" t="n">
        <v>0.02562316314726172</v>
      </c>
      <c r="D169" s="371" t="n">
        <v>0.07960874641939422</v>
      </c>
      <c r="E169" s="376" t="n">
        <v>0.02880874641939422</v>
      </c>
      <c r="F169" s="360" t="n">
        <v>0</v>
      </c>
      <c r="G169" s="378" t="inlineStr">
        <is>
          <t>Eastern Europe &amp; Russia</t>
        </is>
      </c>
    </row>
    <row r="170" ht="16" customHeight="1">
      <c r="A170" s="351" t="inlineStr">
        <is>
          <t>Tanzania</t>
        </is>
      </c>
      <c r="B170" s="374" t="inlineStr">
        <is>
          <t>NA</t>
        </is>
      </c>
      <c r="C170" s="345" t="n">
        <v>0.0667</v>
      </c>
      <c r="D170" s="375" t="n">
        <v>0.1257924345846795</v>
      </c>
      <c r="E170" s="376" t="n">
        <v>0.07499243458467948</v>
      </c>
      <c r="F170" s="345" t="n">
        <v>0.3</v>
      </c>
      <c r="G170" s="378" t="inlineStr">
        <is>
          <t>Africa</t>
        </is>
      </c>
    </row>
    <row r="171" ht="16" customHeight="1">
      <c r="A171" s="351" t="inlineStr">
        <is>
          <t>Thailand</t>
        </is>
      </c>
      <c r="B171" s="374" t="inlineStr">
        <is>
          <t>Baa1</t>
        </is>
      </c>
      <c r="C171" s="345" t="n">
        <v>0.01637292374391814</v>
      </c>
      <c r="D171" s="371" t="n">
        <v>0.06920847695390894</v>
      </c>
      <c r="E171" s="376" t="n">
        <v>0.01840847695390894</v>
      </c>
      <c r="F171" s="360" t="n">
        <v>0.2</v>
      </c>
      <c r="G171" s="378" t="inlineStr">
        <is>
          <t>Asia</t>
        </is>
      </c>
    </row>
    <row r="172" ht="16" customHeight="1">
      <c r="A172" s="351" t="inlineStr">
        <is>
          <t>Togo</t>
        </is>
      </c>
      <c r="B172" s="374" t="inlineStr">
        <is>
          <t>NA</t>
        </is>
      </c>
      <c r="C172" s="345" t="n">
        <v>0.0769</v>
      </c>
      <c r="D172" s="375" t="n">
        <v>0.1372605430219168</v>
      </c>
      <c r="E172" s="376" t="n">
        <v>0.08646054302191682</v>
      </c>
      <c r="F172" s="345" t="n">
        <v>0.2867</v>
      </c>
      <c r="G172" s="378" t="inlineStr">
        <is>
          <t>Africa</t>
        </is>
      </c>
    </row>
    <row r="173" ht="16" customHeight="1">
      <c r="A173" s="357" t="inlineStr">
        <is>
          <t>Trinidad &amp; Tobago</t>
        </is>
      </c>
      <c r="B173" s="374" t="inlineStr">
        <is>
          <t>Ba1</t>
        </is>
      </c>
      <c r="C173" s="345" t="n">
        <v>0.02562316314726172</v>
      </c>
      <c r="D173" s="371" t="n">
        <v>0.07960874641939422</v>
      </c>
      <c r="E173" s="376" t="n">
        <v>0.02880874641939422</v>
      </c>
      <c r="F173" s="360" t="n">
        <v>0.25</v>
      </c>
      <c r="G173" s="378" t="inlineStr">
        <is>
          <t>Caribbean</t>
        </is>
      </c>
    </row>
    <row r="174" ht="16" customHeight="1">
      <c r="A174" s="351" t="inlineStr">
        <is>
          <t>Tunisia</t>
        </is>
      </c>
      <c r="B174" s="374" t="inlineStr">
        <is>
          <t>B1</t>
        </is>
      </c>
      <c r="C174" s="345" t="n">
        <v>0.04615869462268447</v>
      </c>
      <c r="D174" s="371" t="n">
        <v>0.1026973446327716</v>
      </c>
      <c r="E174" s="376" t="n">
        <v>0.05189734463277155</v>
      </c>
      <c r="F174" s="360" t="n">
        <v>0.25</v>
      </c>
      <c r="G174" s="378" t="inlineStr">
        <is>
          <t>Africa</t>
        </is>
      </c>
    </row>
    <row r="175" ht="16" customHeight="1">
      <c r="A175" s="351" t="inlineStr">
        <is>
          <t>Turkey</t>
        </is>
      </c>
      <c r="B175" s="374" t="inlineStr">
        <is>
          <t>Ba1</t>
        </is>
      </c>
      <c r="C175" s="345" t="n">
        <v>0.02562316314726172</v>
      </c>
      <c r="D175" s="371" t="n">
        <v>0.07960874641939422</v>
      </c>
      <c r="E175" s="376" t="n">
        <v>0.02880874641939422</v>
      </c>
      <c r="F175" s="360" t="n">
        <v>0.2</v>
      </c>
      <c r="G175" s="378" t="inlineStr">
        <is>
          <t>Western Europe</t>
        </is>
      </c>
    </row>
    <row r="176" ht="16" customHeight="1">
      <c r="A176" s="357" t="inlineStr">
        <is>
          <t>Turks &amp; Caicos Islands</t>
        </is>
      </c>
      <c r="B176" s="374" t="inlineStr">
        <is>
          <t>Baa1</t>
        </is>
      </c>
      <c r="C176" s="345" t="n">
        <v>0.01637292374391814</v>
      </c>
      <c r="D176" s="371" t="n">
        <v>0.06920847695390894</v>
      </c>
      <c r="E176" s="376" t="n">
        <v>0.01840847695390894</v>
      </c>
      <c r="F176" s="360" t="n">
        <v>0</v>
      </c>
      <c r="G176" s="378" t="inlineStr">
        <is>
          <t>Caribbean</t>
        </is>
      </c>
    </row>
    <row r="177" ht="16" customHeight="1">
      <c r="A177" s="351" t="inlineStr">
        <is>
          <t>Uganda</t>
        </is>
      </c>
      <c r="B177" s="374" t="inlineStr">
        <is>
          <t>B2</t>
        </is>
      </c>
      <c r="C177" s="345" t="n">
        <v>0.05642646036039584</v>
      </c>
      <c r="D177" s="371" t="n">
        <v>0.1142416437394602</v>
      </c>
      <c r="E177" s="376" t="n">
        <v>0.06344164373946019</v>
      </c>
      <c r="F177" s="360" t="n">
        <v>0.3</v>
      </c>
      <c r="G177" s="378" t="inlineStr">
        <is>
          <t>Africa</t>
        </is>
      </c>
    </row>
    <row r="178" ht="16" customHeight="1">
      <c r="A178" s="351" t="inlineStr">
        <is>
          <t>Ukraine</t>
        </is>
      </c>
      <c r="B178" s="374" t="inlineStr">
        <is>
          <t>Caa2</t>
        </is>
      </c>
      <c r="C178" s="345" t="n">
        <v>0.09231738924536895</v>
      </c>
      <c r="D178" s="371" t="n">
        <v>0.1545946892655431</v>
      </c>
      <c r="E178" s="376" t="n">
        <v>0.1037946892655431</v>
      </c>
      <c r="F178" s="360" t="n">
        <v>0.18</v>
      </c>
      <c r="G178" s="378" t="inlineStr">
        <is>
          <t>Eastern Europe &amp; Russia</t>
        </is>
      </c>
    </row>
    <row r="179" ht="16" customHeight="1">
      <c r="A179" s="351" t="inlineStr">
        <is>
          <t>United Arab Emirates</t>
        </is>
      </c>
      <c r="B179" s="374" t="inlineStr">
        <is>
          <t>Aa2</t>
        </is>
      </c>
      <c r="C179" s="345" t="n">
        <v>0.005087631671838969</v>
      </c>
      <c r="D179" s="371" t="n">
        <v>0.0565201482060169</v>
      </c>
      <c r="E179" s="376" t="n">
        <v>0.005720148206016904</v>
      </c>
      <c r="F179" s="360" t="n">
        <v>0.55</v>
      </c>
      <c r="G179" s="378" t="inlineStr">
        <is>
          <t>Middle East</t>
        </is>
      </c>
    </row>
    <row r="180" ht="16" customHeight="1">
      <c r="A180" s="351" t="inlineStr">
        <is>
          <t>United Kingdom</t>
        </is>
      </c>
      <c r="B180" s="374" t="inlineStr">
        <is>
          <t>Aa2</t>
        </is>
      </c>
      <c r="C180" s="345" t="n">
        <v>0.005087631671838969</v>
      </c>
      <c r="D180" s="371" t="n">
        <v>0.0565201482060169</v>
      </c>
      <c r="E180" s="376" t="n">
        <v>0.005720148206016904</v>
      </c>
      <c r="F180" s="360" t="n">
        <v>0.2</v>
      </c>
      <c r="G180" s="378" t="inlineStr">
        <is>
          <t>Western Europe</t>
        </is>
      </c>
    </row>
    <row r="181" ht="16" customHeight="1">
      <c r="A181" s="351" t="inlineStr">
        <is>
          <t>United States</t>
        </is>
      </c>
      <c r="B181" s="374" t="inlineStr">
        <is>
          <t>Aaa</t>
        </is>
      </c>
      <c r="C181" s="345" t="n">
        <v>0</v>
      </c>
      <c r="D181" s="371" t="n">
        <v>0.0508</v>
      </c>
      <c r="E181" s="376" t="n">
        <v>0</v>
      </c>
      <c r="F181" s="360" t="n">
        <v>0.24</v>
      </c>
      <c r="G181" s="378" t="inlineStr">
        <is>
          <t>North America</t>
        </is>
      </c>
    </row>
    <row r="182" ht="16" customHeight="1">
      <c r="A182" s="351" t="inlineStr">
        <is>
          <t>Uruguay</t>
        </is>
      </c>
      <c r="B182" s="374" t="inlineStr">
        <is>
          <t>Baa2</t>
        </is>
      </c>
      <c r="C182" s="345" t="n">
        <v>0.01951800514105496</v>
      </c>
      <c r="D182" s="371" t="n">
        <v>0.07274456857217394</v>
      </c>
      <c r="E182" s="376" t="n">
        <v>0.02194456857217394</v>
      </c>
      <c r="F182" s="360" t="n">
        <v>0.25</v>
      </c>
      <c r="G182" s="378" t="inlineStr">
        <is>
          <t>Central and South America</t>
        </is>
      </c>
    </row>
    <row r="183" ht="16" customHeight="1">
      <c r="A183" s="351" t="inlineStr">
        <is>
          <t>Venezuela</t>
        </is>
      </c>
      <c r="B183" s="374" t="inlineStr">
        <is>
          <t>Caa3</t>
        </is>
      </c>
      <c r="C183" s="345" t="n">
        <v>0.1024926525890469</v>
      </c>
      <c r="D183" s="371" t="n">
        <v>0.1660349856775769</v>
      </c>
      <c r="E183" s="376" t="n">
        <v>0.1152349856775769</v>
      </c>
      <c r="F183" s="360" t="n">
        <v>0.34</v>
      </c>
      <c r="G183" s="378" t="inlineStr">
        <is>
          <t>Central and South America</t>
        </is>
      </c>
    </row>
    <row r="184" ht="16" customHeight="1">
      <c r="A184" s="351" t="inlineStr">
        <is>
          <t>Vietnam</t>
        </is>
      </c>
      <c r="B184" s="374" t="inlineStr">
        <is>
          <t>B1</t>
        </is>
      </c>
      <c r="C184" s="345" t="n">
        <v>0.04615869462268447</v>
      </c>
      <c r="D184" s="371" t="n">
        <v>0.1026973446327716</v>
      </c>
      <c r="E184" s="376" t="n">
        <v>0.05189734463277155</v>
      </c>
      <c r="F184" s="360" t="n">
        <v>0.2</v>
      </c>
      <c r="G184" s="378" t="inlineStr">
        <is>
          <t>Asia</t>
        </is>
      </c>
    </row>
    <row r="185" ht="16" customHeight="1">
      <c r="A185" s="351" t="inlineStr">
        <is>
          <t>Yemen, Republic</t>
        </is>
      </c>
      <c r="B185" s="374" t="inlineStr">
        <is>
          <t>NA</t>
        </is>
      </c>
      <c r="C185" s="345" t="n">
        <v>0.18</v>
      </c>
      <c r="D185" s="375" t="n">
        <v>0.2531783841865413</v>
      </c>
      <c r="E185" s="376" t="n">
        <v>0.2023783841865413</v>
      </c>
      <c r="F185" s="345" t="n">
        <v>0.2</v>
      </c>
      <c r="G185" s="378" t="inlineStr">
        <is>
          <t>Africa</t>
        </is>
      </c>
    </row>
    <row r="186" ht="16" customHeight="1">
      <c r="A186" s="351" t="inlineStr">
        <is>
          <t>Zambia</t>
        </is>
      </c>
      <c r="B186" s="374" t="inlineStr">
        <is>
          <t>B3</t>
        </is>
      </c>
      <c r="C186" s="345" t="n">
        <v>0.06669422609810723</v>
      </c>
      <c r="D186" s="371" t="n">
        <v>0.1257859428461489</v>
      </c>
      <c r="E186" s="376" t="n">
        <v>0.07498594284614887</v>
      </c>
      <c r="F186" s="360" t="n">
        <v>0.35</v>
      </c>
      <c r="G186" s="378" t="inlineStr">
        <is>
          <t>Africa</t>
        </is>
      </c>
    </row>
    <row r="187" ht="16" customHeight="1">
      <c r="A187" s="351" t="inlineStr">
        <is>
          <t>Zimbabwe</t>
        </is>
      </c>
      <c r="B187" s="374" t="inlineStr">
        <is>
          <t>NA</t>
        </is>
      </c>
      <c r="C187" s="345" t="n">
        <v>0.09230000000000001</v>
      </c>
      <c r="D187" s="375" t="n">
        <v>0.154575138113432</v>
      </c>
      <c r="E187" s="376" t="n">
        <v>0.103775138113432</v>
      </c>
      <c r="F187" s="345" t="n">
        <v>0.25</v>
      </c>
      <c r="G187" s="378" t="inlineStr">
        <is>
          <t>Africa</t>
        </is>
      </c>
    </row>
    <row r="190">
      <c r="A190" s="254" t="n"/>
      <c r="B190" s="379" t="inlineStr">
        <is>
          <t>ERP</t>
        </is>
      </c>
      <c r="C190" s="379" t="inlineStr">
        <is>
          <t>Default Spread</t>
        </is>
      </c>
      <c r="D190" s="379" t="inlineStr">
        <is>
          <t>Tax rate</t>
        </is>
      </c>
    </row>
    <row r="191">
      <c r="A191" s="1" t="inlineStr">
        <is>
          <t>Africa &amp; Mid East</t>
        </is>
      </c>
      <c r="B191" s="3" t="n">
        <v>0.08109735731934158</v>
      </c>
      <c r="C191" s="3" t="n">
        <v>0.02694716799623581</v>
      </c>
      <c r="D191" s="3" t="n">
        <v>0.2325599097896397</v>
      </c>
    </row>
    <row r="192">
      <c r="A192" s="1" t="inlineStr">
        <is>
          <t>Australia, NZ &amp; Canada</t>
        </is>
      </c>
      <c r="B192" s="3" t="n">
        <v>0.05082132365943377</v>
      </c>
      <c r="C192" s="3" t="n">
        <v>1.89657542405442e-05</v>
      </c>
      <c r="D192" s="3" t="n">
        <v>0.2802773450206297</v>
      </c>
    </row>
    <row r="193">
      <c r="A193" s="1" t="inlineStr">
        <is>
          <t>Latin America &amp; Caribbean</t>
        </is>
      </c>
      <c r="B193" s="3" t="n">
        <v>0.08750494093953261</v>
      </c>
      <c r="C193" s="3" t="n">
        <v>0.0200032939596884</v>
      </c>
      <c r="D193" s="3" t="n">
        <v>0.2715</v>
      </c>
    </row>
    <row r="194">
      <c r="A194" s="1" t="inlineStr">
        <is>
          <t>Japan</t>
        </is>
      </c>
      <c r="B194" s="3" t="n">
        <v>0.05891221018307852</v>
      </c>
      <c r="C194" s="3" t="n">
        <v>0.007215186734607994</v>
      </c>
      <c r="D194" s="3" t="n">
        <v>0.3564</v>
      </c>
    </row>
    <row r="195">
      <c r="A195" s="1" t="inlineStr">
        <is>
          <t>US</t>
        </is>
      </c>
      <c r="B195" s="3" t="n">
        <v>0.0508</v>
      </c>
      <c r="C195" s="3" t="n">
        <v>0</v>
      </c>
      <c r="D195" s="3" t="n">
        <v>0.4</v>
      </c>
    </row>
    <row r="196">
      <c r="A196" s="1" t="inlineStr">
        <is>
          <t>Europe</t>
        </is>
      </c>
      <c r="B196" s="3" t="n">
        <v>0.06005813002564525</v>
      </c>
      <c r="C196" s="3" t="n">
        <v>0.008234394257640143</v>
      </c>
      <c r="D196" s="3" t="n">
        <v>0.3</v>
      </c>
    </row>
    <row r="197">
      <c r="A197" s="1" t="inlineStr">
        <is>
          <t>Emerging Markets</t>
        </is>
      </c>
      <c r="B197" s="3" t="n">
        <v>0.07141001007847368</v>
      </c>
      <c r="C197" s="3" t="n">
        <v>0.009273340052315787</v>
      </c>
      <c r="D197" s="3" t="n">
        <v>0.25</v>
      </c>
    </row>
    <row r="198">
      <c r="A198" s="1" t="inlineStr">
        <is>
          <t>Small Asia (No India, China &amp; Japan)</t>
        </is>
      </c>
      <c r="B198" s="3" t="n">
        <v>0.06926379765740635</v>
      </c>
      <c r="C198" s="3" t="n">
        <v>0.007842531771604233</v>
      </c>
      <c r="D198" s="3" t="n">
        <v>0.2</v>
      </c>
    </row>
    <row r="199">
      <c r="A199" s="1" t="inlineStr">
        <is>
          <t>North America</t>
        </is>
      </c>
      <c r="B199" s="3" t="n">
        <v>0.0508</v>
      </c>
      <c r="C199" s="3" t="n">
        <v>0</v>
      </c>
      <c r="D199" s="3" t="n">
        <v>0.265</v>
      </c>
    </row>
    <row r="201">
      <c r="A201" s="1" t="inlineStr">
        <is>
          <t>Global</t>
        </is>
      </c>
      <c r="B201" s="3" t="n">
        <v>0.0621</v>
      </c>
      <c r="C201" s="3" t="n">
        <v>0.01</v>
      </c>
      <c r="D201" s="3" t="n">
        <v>0.3</v>
      </c>
    </row>
  </sheetData>
  <pageMargins left="0.75" right="0.75" top="1" bottom="1" header="0.5" footer="0.5"/>
  <pageSetup orientation="portrait" horizontalDpi="4294967292" verticalDpi="4294967292"/>
</worksheet>
</file>

<file path=xl/worksheets/sheet16.xml><?xml version="1.0" encoding="utf-8"?>
<worksheet xmlns="http://schemas.openxmlformats.org/spreadsheetml/2006/main">
  <sheetPr>
    <outlinePr summaryBelow="1" summaryRight="1"/>
    <pageSetUpPr/>
  </sheetPr>
  <dimension ref="A1:E32"/>
  <sheetViews>
    <sheetView workbookViewId="0">
      <selection activeCell="D30" sqref="D30"/>
    </sheetView>
  </sheetViews>
  <sheetFormatPr baseColWidth="10" defaultColWidth="11.5" defaultRowHeight="12"/>
  <cols>
    <col width="34" bestFit="1" customWidth="1" min="1" max="1"/>
    <col width="16" customWidth="1" style="180" min="2" max="2"/>
    <col width="19.83203125" bestFit="1" customWidth="1" style="180" min="3" max="3"/>
    <col width="22.1640625" bestFit="1" customWidth="1" style="180" min="4" max="4"/>
    <col width="14.1640625" bestFit="1" customWidth="1" min="5" max="5"/>
  </cols>
  <sheetData>
    <row r="1">
      <c r="B1" s="199" t="inlineStr">
        <is>
          <t>Last 10K</t>
        </is>
      </c>
      <c r="C1" s="199" t="inlineStr">
        <is>
          <t>First X months: Last year</t>
        </is>
      </c>
      <c r="D1" s="199" t="inlineStr">
        <is>
          <t>First X months: Current year</t>
        </is>
      </c>
      <c r="E1" s="199" t="inlineStr">
        <is>
          <t>Trailing 12 month</t>
        </is>
      </c>
    </row>
    <row r="2" ht="13" customHeight="1">
      <c r="A2" s="159" t="inlineStr">
        <is>
          <t>Revenues</t>
        </is>
      </c>
      <c r="B2" s="551" t="n">
        <v>215639</v>
      </c>
      <c r="C2" s="551" t="n">
        <v>75872</v>
      </c>
      <c r="D2" s="551" t="n">
        <v>78351</v>
      </c>
      <c r="E2" s="552">
        <f>B2-C2+D2</f>
      </c>
    </row>
    <row r="3" ht="13" customHeight="1">
      <c r="A3" s="159" t="inlineStr">
        <is>
          <t>R&amp;D expense</t>
        </is>
      </c>
      <c r="B3" s="551" t="n">
        <v>10045</v>
      </c>
      <c r="C3" s="551" t="n">
        <v>2404</v>
      </c>
      <c r="D3" s="551" t="n">
        <v>2871</v>
      </c>
      <c r="E3" s="552">
        <f>B3-C3+D3</f>
      </c>
    </row>
    <row r="4" ht="13" customHeight="1">
      <c r="A4" s="159" t="inlineStr">
        <is>
          <t>Operating income or EBIT</t>
        </is>
      </c>
      <c r="B4" s="551" t="n">
        <v>60024</v>
      </c>
      <c r="C4" s="551" t="n">
        <v>24171</v>
      </c>
      <c r="D4" s="551" t="n">
        <v>23359</v>
      </c>
      <c r="E4" s="552">
        <f>B4-C4+D4</f>
      </c>
    </row>
    <row r="5" ht="13" customHeight="1">
      <c r="A5" s="159" t="inlineStr">
        <is>
          <t>Interest expenses</t>
        </is>
      </c>
      <c r="B5" s="551" t="n">
        <v>1456</v>
      </c>
      <c r="C5" s="551" t="n">
        <v>276</v>
      </c>
      <c r="D5" s="551" t="n">
        <v>525</v>
      </c>
      <c r="E5" s="552">
        <f>B5-C5+D5</f>
      </c>
    </row>
    <row r="6" ht="13" customHeight="1">
      <c r="A6" s="159" t="inlineStr">
        <is>
          <t>Book value of equity</t>
        </is>
      </c>
      <c r="B6" s="551" t="n">
        <v>128249</v>
      </c>
      <c r="C6" s="551" t="n"/>
      <c r="D6" s="551" t="n">
        <v>132390</v>
      </c>
      <c r="E6" s="552" t="n"/>
    </row>
    <row r="7" ht="13" customHeight="1">
      <c r="A7" s="159" t="inlineStr">
        <is>
          <t>Book value of debt</t>
        </is>
      </c>
      <c r="B7" s="551">
        <f>75427+8105+3500</f>
      </c>
      <c r="C7" s="551" t="n"/>
      <c r="D7" s="551">
        <f>10493+3499+73557</f>
      </c>
      <c r="E7" s="552" t="n"/>
    </row>
    <row r="8" ht="13" customHeight="1">
      <c r="A8" s="159" t="inlineStr">
        <is>
          <t>Do you have operating lease commitments?</t>
        </is>
      </c>
      <c r="B8" s="551" t="n"/>
      <c r="C8" s="551" t="n"/>
      <c r="D8" s="551" t="n"/>
      <c r="E8" s="552" t="n"/>
    </row>
    <row r="9" ht="13" customHeight="1">
      <c r="A9" s="159" t="inlineStr">
        <is>
          <t>Cash and cross holdings</t>
        </is>
      </c>
      <c r="B9" s="551">
        <f>20484+46671+170430</f>
      </c>
      <c r="C9" s="551" t="n"/>
      <c r="D9" s="551">
        <f>16371+44081+184638</f>
      </c>
      <c r="E9" s="552" t="n"/>
    </row>
    <row r="10" ht="13" customHeight="1">
      <c r="A10" s="159" t="inlineStr">
        <is>
          <t xml:space="preserve">Non-operating assets </t>
        </is>
      </c>
      <c r="B10" s="551" t="n">
        <v>0</v>
      </c>
      <c r="C10" s="551" t="n"/>
      <c r="D10" s="551" t="n">
        <v>0</v>
      </c>
      <c r="E10" s="552" t="n"/>
    </row>
    <row r="11" ht="13" customHeight="1">
      <c r="A11" s="159" t="inlineStr">
        <is>
          <t>Minority interests</t>
        </is>
      </c>
      <c r="B11" s="551" t="n">
        <v>0</v>
      </c>
      <c r="C11" s="551" t="n"/>
      <c r="D11" s="551" t="n">
        <v>0</v>
      </c>
      <c r="E11" s="552" t="n"/>
    </row>
    <row r="12" ht="13" customHeight="1">
      <c r="A12" s="159" t="inlineStr">
        <is>
          <t>Number of shares outstanding =</t>
        </is>
      </c>
      <c r="B12" s="551" t="n"/>
      <c r="C12" s="551" t="n"/>
      <c r="D12" s="551" t="n"/>
      <c r="E12" s="552" t="n"/>
    </row>
    <row r="13" ht="13" customHeight="1">
      <c r="A13" s="159" t="inlineStr">
        <is>
          <t>Current stock price =</t>
        </is>
      </c>
      <c r="B13" s="553" t="n"/>
      <c r="C13" s="551" t="n"/>
      <c r="D13" s="551" t="n"/>
      <c r="E13" s="552" t="n"/>
    </row>
    <row r="14" ht="13" customHeight="1">
      <c r="A14" s="159" t="inlineStr">
        <is>
          <t>Effective tax rate =</t>
        </is>
      </c>
      <c r="B14" s="181">
        <f>15885/61372</f>
      </c>
      <c r="C14" s="181">
        <f>6392/24416</f>
      </c>
      <c r="D14" s="181">
        <f>6289/24180</f>
      </c>
      <c r="E14" s="1" t="n"/>
    </row>
    <row r="15" ht="13" customHeight="1">
      <c r="A15" s="159" t="inlineStr">
        <is>
          <t>Marginal tax rate =</t>
        </is>
      </c>
      <c r="B15" s="199" t="n"/>
      <c r="C15" s="199" t="n"/>
      <c r="D15" s="199" t="n"/>
      <c r="E15" s="1" t="n"/>
    </row>
    <row r="16" ht="13" customFormat="1" customHeight="1" s="2">
      <c r="A16" s="224" t="inlineStr">
        <is>
          <t>Lease commitments</t>
        </is>
      </c>
      <c r="B16" s="554" t="n"/>
      <c r="C16" s="554" t="n"/>
      <c r="D16" s="554" t="n"/>
      <c r="E16" s="555" t="n"/>
    </row>
    <row r="17" ht="13" customHeight="1">
      <c r="A17" s="155" t="inlineStr">
        <is>
          <t>Year 1</t>
        </is>
      </c>
      <c r="B17" s="487" t="n">
        <v>929</v>
      </c>
      <c r="C17" s="556" t="n"/>
      <c r="D17" s="556" t="inlineStr">
        <is>
          <t>NA</t>
        </is>
      </c>
      <c r="E17" s="557" t="n"/>
    </row>
    <row r="18" ht="13" customHeight="1">
      <c r="A18" s="155" t="inlineStr">
        <is>
          <t>Year 2</t>
        </is>
      </c>
      <c r="B18" s="487" t="n">
        <v>919</v>
      </c>
      <c r="C18" s="558" t="inlineStr">
        <is>
          <t>Copy into operating lease worksheet</t>
        </is>
      </c>
      <c r="D18" s="556" t="inlineStr">
        <is>
          <t>NA</t>
        </is>
      </c>
      <c r="E18" s="557" t="n"/>
    </row>
    <row r="19" ht="13" customHeight="1">
      <c r="A19" s="155" t="inlineStr">
        <is>
          <t>Year 3</t>
        </is>
      </c>
      <c r="B19" s="487" t="n">
        <v>915</v>
      </c>
      <c r="C19" s="503" t="n"/>
      <c r="D19" s="556" t="inlineStr">
        <is>
          <t>NA</t>
        </is>
      </c>
      <c r="E19" s="557" t="n"/>
    </row>
    <row r="20" ht="13" customHeight="1">
      <c r="A20" s="155" t="inlineStr">
        <is>
          <t>Year 4</t>
        </is>
      </c>
      <c r="B20" s="487" t="n">
        <v>889</v>
      </c>
      <c r="C20" s="503" t="n"/>
      <c r="D20" s="556" t="inlineStr">
        <is>
          <t>NA</t>
        </is>
      </c>
      <c r="E20" s="557" t="n"/>
    </row>
    <row r="21" ht="13" customHeight="1">
      <c r="A21" s="155" t="inlineStr">
        <is>
          <t>Year 5</t>
        </is>
      </c>
      <c r="B21" s="487" t="n">
        <v>836</v>
      </c>
      <c r="C21" s="503" t="n"/>
      <c r="D21" s="556" t="inlineStr">
        <is>
          <t>NA</t>
        </is>
      </c>
      <c r="E21" s="557" t="n"/>
    </row>
    <row r="22" ht="13" customHeight="1">
      <c r="A22" s="155" t="inlineStr">
        <is>
          <t>Beyond year 5</t>
        </is>
      </c>
      <c r="B22" s="487" t="n">
        <v>3139</v>
      </c>
      <c r="C22" s="503" t="n"/>
      <c r="D22" s="556" t="inlineStr">
        <is>
          <t>NA</t>
        </is>
      </c>
      <c r="E22" s="557" t="n"/>
    </row>
    <row r="23">
      <c r="B23" s="487" t="n"/>
      <c r="C23" s="503" t="n"/>
    </row>
    <row r="25" ht="13" customHeight="1">
      <c r="A25" s="155" t="inlineStr">
        <is>
          <t>Current year's lease expense</t>
        </is>
      </c>
      <c r="B25" s="559" t="n">
        <v>939</v>
      </c>
    </row>
    <row r="29">
      <c r="D29" s="551" t="n">
        <v>75872</v>
      </c>
    </row>
    <row r="30">
      <c r="D30" s="551" t="n">
        <v>2404</v>
      </c>
    </row>
    <row r="31">
      <c r="D31" s="551" t="n">
        <v>24171</v>
      </c>
    </row>
    <row r="32">
      <c r="D32" s="551" t="n">
        <v>276</v>
      </c>
    </row>
  </sheetData>
  <mergeCells count="1">
    <mergeCell ref="C18:C23"/>
  </mergeCells>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F6"/>
  <sheetViews>
    <sheetView workbookViewId="0">
      <selection activeCell="F6" sqref="F6"/>
    </sheetView>
  </sheetViews>
  <sheetFormatPr baseColWidth="10" defaultColWidth="11.5" defaultRowHeight="12"/>
  <cols>
    <col width="6.6640625" bestFit="1" customWidth="1" min="1" max="1"/>
    <col width="17" bestFit="1" customWidth="1" min="2" max="2"/>
    <col width="19.1640625" bestFit="1" customWidth="1" min="3" max="3"/>
  </cols>
  <sheetData>
    <row r="1">
      <c r="A1" t="inlineStr">
        <is>
          <t>Yes/No</t>
        </is>
      </c>
      <c r="B1" t="inlineStr">
        <is>
          <t>Book or Market Value</t>
        </is>
      </c>
      <c r="C1" t="inlineStr">
        <is>
          <t>ERP choices</t>
        </is>
      </c>
      <c r="D1" t="inlineStr">
        <is>
          <t>Cost of debt</t>
        </is>
      </c>
      <c r="E1" t="inlineStr">
        <is>
          <t>Synthetic rating</t>
        </is>
      </c>
      <c r="F1" t="inlineStr">
        <is>
          <t>Beta</t>
        </is>
      </c>
    </row>
    <row r="2">
      <c r="A2" t="inlineStr">
        <is>
          <t>Yes</t>
        </is>
      </c>
      <c r="B2" t="inlineStr">
        <is>
          <t>B</t>
        </is>
      </c>
      <c r="C2" t="inlineStr">
        <is>
          <t>Will input</t>
        </is>
      </c>
      <c r="D2" t="inlineStr">
        <is>
          <t>Direct input</t>
        </is>
      </c>
      <c r="E2" t="n">
        <v>1</v>
      </c>
      <c r="F2" t="inlineStr">
        <is>
          <t>Direct input</t>
        </is>
      </c>
    </row>
    <row r="3">
      <c r="A3" t="inlineStr">
        <is>
          <t>No</t>
        </is>
      </c>
      <c r="B3" t="inlineStr">
        <is>
          <t>V</t>
        </is>
      </c>
      <c r="C3" t="inlineStr">
        <is>
          <t>Country of incorporation</t>
        </is>
      </c>
      <c r="D3" t="inlineStr">
        <is>
          <t>Synthetic rating</t>
        </is>
      </c>
      <c r="E3" t="n">
        <v>2</v>
      </c>
      <c r="F3" t="inlineStr">
        <is>
          <t>Single Business(US)</t>
        </is>
      </c>
    </row>
    <row r="4">
      <c r="C4" t="inlineStr">
        <is>
          <t>Operating countries</t>
        </is>
      </c>
      <c r="D4" t="inlineStr">
        <is>
          <t>Actual rating</t>
        </is>
      </c>
      <c r="F4" t="inlineStr">
        <is>
          <t>Single Business(Global)</t>
        </is>
      </c>
    </row>
    <row r="5">
      <c r="C5" t="inlineStr">
        <is>
          <t>Operating regions</t>
        </is>
      </c>
      <c r="F5" t="inlineStr">
        <is>
          <t>Multibusiness(US)</t>
        </is>
      </c>
    </row>
    <row r="6">
      <c r="F6" t="inlineStr">
        <is>
          <t>Multibusiness(Global)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t="n">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2026-09-05T15:51:31Z</dcterms:modified>
  <cp:lastModifiedBy>Microsoft Office User</cp:lastModifiedBy>
  <cp:lastPrinted>2011-01-17T15:04:26Z</cp:lastPrinted>
</cp:coreProperties>
</file>