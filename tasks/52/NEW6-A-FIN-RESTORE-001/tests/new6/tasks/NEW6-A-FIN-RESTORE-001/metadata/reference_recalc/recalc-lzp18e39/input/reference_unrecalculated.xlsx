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Override PartName="/xl/worksheets/new6sheet32.xml" ContentType="application/vnd.openxmlformats-officedocument.spreadsheetml.worksheet+xml"/>
  <Override PartName="/xl/worksheets/new6sheet3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Historical financing basis" sheetId="31" r:id="rIdNEW631"/>
    <sheet name="Review valuation" sheetId="32" r:id="rIdNEW632"/>
    <sheet name="Review summary" sheetId="33" r:id="rIdNEW633"/>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calcMode="auto"/>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<sst xmlns="http://schemas.openxmlformats.org/spreadsheetml/2006/main" count="1443" uniqueCount="794">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</sst>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 Id="rIdNEW632" Type="http://schemas.openxmlformats.org/officeDocument/2006/relationships/worksheet" Target="worksheets/new6sheet32.xml"/><Relationship Id="rIdNEW633" Type="http://schemas.openxmlformats.org/officeDocument/2006/relationships/worksheet" Target="worksheets/new6sheet33.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worksheet>
</file>

<file path=xl/worksheets/new6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C3*(1+D2)</f>
      </c>
      <c r="E3" s="93">
        <f>D3*(1+E2)</f>
      </c>
      <c r="F3" s="93">
        <f>E3*(1+F2)</f>
      </c>
      <c r="G3" s="93">
        <f>F3*(1+G2)</f>
      </c>
      <c r="H3" s="93">
        <f>G3*(1+H2)</f>
      </c>
      <c r="I3" s="93">
        <f>H3*(1+I2)</f>
      </c>
      <c r="J3" s="93">
        <f>I3*(1+J2)</f>
      </c>
      <c r="K3" s="93">
        <f>J3*(1+K2)</f>
      </c>
      <c r="L3" s="93">
        <f>K3*(1+L2)</f>
      </c>
      <c r="M3" s="108">
        <f>L3*(1+M2)</f>
      </c>
    </row>
    <row r="4" spans="1:14" ht="15" customHeight="1">
      <c r="A4" s="45" t="s">
        <v>26</v>
      </c>
      <c r="B4" s="94">
        <f>B5/B3</f>
      </c>
      <c r="C4" s="90">
        <f>IF(C1&gt;'Input sheet'!$B$25,('Input sheet'!$B$24-0.02),('Input sheet'!$B$24-0.02)-((('Input sheet'!$B$24-0.02)-$B$4)/'Input sheet'!$B$25)*('Input sheet'!$B$25-C1))</f>
      </c>
      <c r="D4" s="90">
        <f>IF(D1&gt;'Input sheet'!$B$25,('Input sheet'!$B$24-0.02),('Input sheet'!$B$24-0.02)-((('Input sheet'!$B$24-0.02)-$B$4)/'Input sheet'!$B$25)*('Input sheet'!$B$25-D1))</f>
      </c>
      <c r="E4" s="90">
        <f>IF(E1&gt;'Input sheet'!$B$25,('Input sheet'!$B$24-0.02),('Input sheet'!$B$24-0.02)-((('Input sheet'!$B$24-0.02)-$B$4)/'Input sheet'!$B$25)*('Input sheet'!$B$25-E1))</f>
      </c>
      <c r="F4" s="90">
        <f>IF(F1&gt;'Input sheet'!$B$25,('Input sheet'!$B$24-0.02),('Input sheet'!$B$24-0.02)-((('Input sheet'!$B$24-0.02)-$B$4)/'Input sheet'!$B$25)*('Input sheet'!$B$25-F1))</f>
      </c>
      <c r="G4" s="90">
        <f>IF(G1&gt;'Input sheet'!$B$25,('Input sheet'!$B$24-0.02),('Input sheet'!$B$24-0.02)-((('Input sheet'!$B$24-0.02)-$B$4)/'Input sheet'!$B$25)*('Input sheet'!$B$25-G1))</f>
      </c>
      <c r="H4" s="90">
        <f>IF(H1&gt;'Input sheet'!$B$25,('Input sheet'!$B$24-0.02),('Input sheet'!$B$24-0.02)-((('Input sheet'!$B$24-0.02)-$B$4)/'Input sheet'!$B$25)*('Input sheet'!$B$25-H1))</f>
      </c>
      <c r="I4" s="90">
        <f>IF(I1&gt;'Input sheet'!$B$25,('Input sheet'!$B$24-0.02),('Input sheet'!$B$24-0.02)-((('Input sheet'!$B$24-0.02)-$B$4)/'Input sheet'!$B$25)*('Input sheet'!$B$25-I1))</f>
      </c>
      <c r="J4" s="90">
        <f>IF(J1&gt;'Input sheet'!$B$25,('Input sheet'!$B$24-0.02),('Input sheet'!$B$24-0.02)-((('Input sheet'!$B$24-0.02)-$B$4)/'Input sheet'!$B$25)*('Input sheet'!$B$25-J1))</f>
      </c>
      <c r="K4" s="90">
        <f>IF(K1&gt;'Input sheet'!$B$25,('Input sheet'!$B$24-0.02),('Input sheet'!$B$24-0.02)-((('Input sheet'!$B$24-0.02)-$B$4)/'Input sheet'!$B$25)*('Input sheet'!$B$25-K1))</f>
      </c>
      <c r="L4" s="90">
        <f>IF(L1&gt;'Input sheet'!$B$25,('Input sheet'!$B$24-0.02),('Input sheet'!$B$24-0.02)-((('Input sheet'!$B$24-0.02)-$B$4)/'Input sheet'!$B$25)*('Input sheet'!$B$25-L1))</f>
      </c>
      <c r="M4" s="91">
        <f>L4</f>
      </c>
    </row>
    <row r="5" spans="1:14" ht="15" customHeight="1">
      <c r="A5" s="45" t="s">
        <v>25</v>
      </c>
      <c r="B5" s="92">
        <f>IF('Input sheet'!B14="Yes",IF('Input sheet'!B13="Yes",'Input sheet'!B9+'Operating lease converter'!F32+'R&amp; D converter'!D39,'Input sheet'!B9+'Operating lease converter'!F32),IF('Input sheet'!B13="Yes",'Input sheet'!B9+'R&amp; D converter'!D39,'Input sheet'!B9))</f>
      </c>
      <c r="C5" s="93">
        <f>C4*C3</f>
      </c>
      <c r="D5" s="93">
        <f>D4*D3</f>
      </c>
      <c r="E5" s="93">
        <f>E4*E3</f>
      </c>
      <c r="F5" s="93">
        <f>F4*F3</f>
      </c>
      <c r="G5" s="93">
        <f>G4*G3</f>
      </c>
      <c r="H5" s="93">
        <f>H4*H3</f>
      </c>
      <c r="I5" s="93">
        <f>I4*I3</f>
      </c>
      <c r="J5" s="93">
        <f>J4*J3</f>
      </c>
      <c r="K5" s="93">
        <f>K4*K3</f>
      </c>
      <c r="L5" s="93">
        <f>L4*L3</f>
      </c>
      <c r="M5" s="108">
        <f>M4*M3</f>
      </c>
      <c r="N5" s="110">
        <f>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IF(B5&gt;0,B5*(1-B6),B5)</f>
      </c>
      <c r="C7" s="93">
        <f>IF(C5&gt;0,IF(C5&lt;B10,C5,C5-(C5-B10)*C6),C5)</f>
      </c>
      <c r="D7" s="93">
        <f>IF(D5&gt;0,IF(D5&lt;C10,D5,D5-(D5-C10)*D6),D5)</f>
      </c>
      <c r="E7" s="93">
        <f>IF(E5&gt;0,IF(E5&lt;D10,E5,E5-(E5-D10)*E6),E5)</f>
      </c>
      <c r="F7" s="93">
        <f>IF(F5&gt;0,IF(F5&lt;E10,F5,F5-(F5-E10)*F6),F5)</f>
      </c>
      <c r="G7" s="93">
        <f>IF(G5&gt;0,IF(G5&lt;F10,G5,G5-(G5-F10)*G6),G5)</f>
      </c>
      <c r="H7" s="93">
        <f>IF(H5&gt;0,IF(H5&lt;G10,H5,H5-(H5-G10)*H6),H5)</f>
      </c>
      <c r="I7" s="93">
        <f>IF(I5&gt;0,IF(I5&lt;H10,I5,I5-(I5-H10)*I6),I5)</f>
      </c>
      <c r="J7" s="93">
        <f>IF(J5&gt;0,IF(J5&lt;I10,J5,J5-(J5-I10)*J6),J5)</f>
      </c>
      <c r="K7" s="93">
        <f>IF(K5&gt;0,IF(K5&lt;J10,K5,K5-(K5-J10)*K6),K5)</f>
      </c>
      <c r="L7" s="93">
        <f>IF(L5&gt;0,IF(L5&lt;K10,L5,L5-(L5-K10)*L6),L5)</f>
      </c>
      <c r="M7" s="93">
        <f>M5*(1-M6)</f>
      </c>
    </row>
    <row r="8" spans="1:14" ht="15" customHeight="1">
      <c r="A8" s="45" t="s">
        <v>15</v>
      </c>
      <c r="B8" s="92"/>
      <c r="C8" s="93">
        <f>(C3-B3)/C38</f>
      </c>
      <c r="D8" s="93">
        <f>(D3-C3)/D38</f>
      </c>
      <c r="E8" s="93">
        <f>(E3-D3)/E38</f>
      </c>
      <c r="F8" s="93">
        <f>(F3-E3)/F38</f>
      </c>
      <c r="G8" s="93">
        <f>(G3-F3)/G38</f>
      </c>
      <c r="H8" s="93">
        <f>(H3-G3)/H38</f>
      </c>
      <c r="I8" s="93">
        <f>(I3-H3)/I38</f>
      </c>
      <c r="J8" s="93">
        <f>(J3-I3)/J38</f>
      </c>
      <c r="K8" s="93">
        <f>(K3-J3)/K38</f>
      </c>
      <c r="L8" s="93">
        <f>(L3-K3)/L38</f>
      </c>
      <c r="M8" s="97">
        <f>IF(M2&gt;0,(M2/M40)*M7,0)</f>
      </c>
      <c r="N8" s="110">
        <f>SUM(C8:M8)</f>
      </c>
    </row>
    <row r="9" spans="1:14" ht="15" customHeight="1">
      <c r="A9" s="45" t="s">
        <v>16</v>
      </c>
      <c r="B9" s="92"/>
      <c r="C9" s="93">
        <f>C7-C8</f>
      </c>
      <c r="D9" s="93">
        <f>D7-D8</f>
      </c>
      <c r="E9" s="93">
        <f>E7-E8</f>
      </c>
      <c r="F9" s="93">
        <f>F7-F8</f>
      </c>
      <c r="G9" s="93">
        <f>G7-G8</f>
      </c>
      <c r="H9" s="93">
        <f>H7-H8</f>
      </c>
      <c r="I9" s="93">
        <f>I7-I8</f>
      </c>
      <c r="J9" s="93">
        <f>J7-J8</f>
      </c>
      <c r="K9" s="93">
        <f>K7-K8</f>
      </c>
      <c r="L9" s="93">
        <f>L7-L8</f>
      </c>
      <c r="M9" s="97">
        <f>M7-M8</f>
      </c>
    </row>
    <row r="10" spans="1:14" ht="15" customHeight="1">
      <c r="A10" s="45" t="s">
        <v>48</v>
      </c>
      <c r="B10" s="92">
        <f>IF('Input sheet'!B52="Yes",'Input sheet'!B53,0)</f>
      </c>
      <c r="C10" s="93">
        <f>IF(C5&lt;0,B10-C5,IF(B10&gt;C5,B10-C5,0))</f>
      </c>
      <c r="D10" s="93">
        <f>IF(D5&lt;0,C10-D5,IF(C10&gt;D5,C10-D5,0))</f>
      </c>
      <c r="E10" s="93">
        <f>IF(E5&lt;0,D10-E5,IF(D10&gt;E5,D10-E5,0))</f>
      </c>
      <c r="F10" s="93">
        <f>IF(F5&lt;0,E10-F5,IF(E10&gt;F5,E10-F5,0))</f>
      </c>
      <c r="G10" s="93">
        <f>IF(G5&lt;0,F10-G5,IF(F10&gt;G5,F10-G5,0))</f>
      </c>
      <c r="H10" s="93">
        <f>IF(H5&lt;0,G10-H5,IF(G10&gt;H5,G10-H5,0))</f>
      </c>
      <c r="I10" s="93">
        <f>IF(I5&lt;0,H10-I5,IF(H10&gt;I5,H10-I5,0))</f>
      </c>
      <c r="J10" s="93">
        <f>IF(J5&lt;0,I10-J5,IF(I10&gt;J5,I10-J5,0))</f>
      </c>
      <c r="K10" s="93">
        <f>IF(K5&lt;0,J10-K5,IF(J10&gt;K5,J10-K5,0))</f>
      </c>
      <c r="L10" s="93">
        <f>IF(L5&lt;0,K10-L5,IF(K10&gt;L5,K10-L5,0))</f>
      </c>
      <c r="M10" s="93">
        <f>IF(M5&lt;0,L10-M5,IF(L10&gt;M5,L10-M5,0))</f>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D13*(1/(1+E12))</f>
      </c>
      <c r="F13" s="152">
        <f>E13*(1/(1+F12))</f>
      </c>
      <c r="G13" s="152">
        <f>F13*(1/(1+G12))</f>
      </c>
      <c r="H13" s="152">
        <f>G13*(1/(1+H12))</f>
      </c>
      <c r="I13" s="152">
        <f>H13*(1/(1+I12))</f>
      </c>
      <c r="J13" s="152">
        <f>I13*(1/(1+J12))</f>
      </c>
      <c r="K13" s="152">
        <f>J13*(1/(1+K12))</f>
      </c>
      <c r="L13" s="152">
        <f>K13*(1/(1+L12))</f>
      </c>
      <c r="M13" s="98"/>
    </row>
    <row r="14" spans="1:14" ht="15" customHeight="1">
      <c r="A14" s="46" t="s">
        <v>21</v>
      </c>
      <c r="B14" s="89"/>
      <c r="C14" s="93">
        <f>C9*C13</f>
      </c>
      <c r="D14" s="93">
        <f>D9*D13</f>
      </c>
      <c r="E14" s="93">
        <f>E9*E13</f>
      </c>
      <c r="F14" s="93">
        <f>F9*F13</f>
      </c>
      <c r="G14" s="93">
        <f>G9*G13</f>
      </c>
      <c r="H14" s="93">
        <f>H9*H13</f>
      </c>
      <c r="I14" s="93">
        <f>I9*I13</f>
      </c>
      <c r="J14" s="93">
        <f>J9*J13</f>
      </c>
      <c r="K14" s="93">
        <f>K9*K13</f>
      </c>
      <c r="L14" s="93">
        <f>L9*L13</f>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SUM(C14:L14)</f>
      </c>
      <c r="C20" s="51"/>
      <c r="D20" s="51"/>
      <c r="E20" s="51"/>
      <c r="F20" s="51"/>
      <c r="G20" s="51"/>
      <c r="H20" s="51"/>
      <c r="I20" s="51"/>
      <c r="J20" s="51"/>
      <c r="K20" s="51"/>
      <c r="L20" s="51"/>
    </row>
    <row r="21" spans="1:12">
      <c r="A21" s="48" t="s">
        <v>47</v>
      </c>
      <c r="B21" s="99">
        <f>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IF('Input sheet'!B47="B",('Input sheet'!B11+'Input sheet'!B12)*'Input sheet'!B48,'Review valuation'!B21*'Input sheet'!B48)</f>
      </c>
      <c r="C23" s="51"/>
      <c r="D23" s="51"/>
      <c r="E23" s="51"/>
      <c r="F23" s="51"/>
      <c r="G23" s="51"/>
      <c r="H23" s="51"/>
      <c r="I23" s="51"/>
      <c r="J23" s="51"/>
      <c r="K23" s="51"/>
      <c r="L23" s="51"/>
    </row>
    <row r="24" spans="1:12">
      <c r="A24" s="48" t="s">
        <v>44</v>
      </c>
      <c r="B24" s="92">
        <f>B21*(1-B22)+B23*B22</f>
      </c>
      <c r="C24" s="51"/>
      <c r="D24" s="51"/>
      <c r="E24" s="51"/>
      <c r="F24" s="51"/>
      <c r="G24" s="51"/>
      <c r="H24" s="51"/>
      <c r="I24" s="51"/>
      <c r="J24" s="51"/>
      <c r="K24" s="51"/>
      <c r="L24" s="51"/>
    </row>
    <row r="25" spans="1:12">
      <c r="A25" s="48" t="s">
        <v>392</v>
      </c>
      <c r="B25" s="92">
        <f>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D38</f>
      </c>
      <c r="F38" s="105">
        <f>E38</f>
      </c>
      <c r="G38" s="105">
        <f>F38</f>
      </c>
      <c r="H38" s="105">
        <f>G38</f>
      </c>
      <c r="I38" s="105">
        <f>H38</f>
      </c>
      <c r="J38" s="105">
        <f>I38</f>
      </c>
      <c r="K38" s="105">
        <f>J38</f>
      </c>
      <c r="L38" s="105">
        <f>K38</f>
      </c>
      <c r="M38" s="98"/>
    </row>
    <row r="39" spans="1:13">
      <c r="A39" s="44" t="s">
        <v>18</v>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row>
    <row r="40" spans="1:13">
      <c r="A40" s="44" t="s">
        <v>19</v>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sheet'!B43,'Review valuation'!L12)</f>
      </c>
    </row>
    <row r="41" spans="1:13">
      <c r="A41" s="46"/>
    </row>
  </sheetData>
  <phoneticPr fontId="6" type="noConversion"/>
  <pageMargins left="0.75" right="0.75" top="1" bottom="1" header="0.5" footer="0.5"/>
  <pageSetup orientation="portrait" horizontalDpi="4294967292" verticalDpi="4294967292"/>
  <headerFooter alignWithMargins="0"/>
</worksheet>
</file>

<file path=xl/worksheets/new6sheet33.xml><?xml version="1.0" encoding="utf-8"?>
<worksheet xmlns="http://schemas.openxmlformats.org/spreadsheetml/2006/main">
  <sheetData>
    <row r="1">
      <c r="A1" t="inlineStr">
        <is>
          <t>Amazon September 2018 — educational reconstruction</t>
        </is>
      </c>
    </row>
    <row r="3">
      <c r="A3" t="inlineStr">
        <is>
          <t>Base equity value</t>
        </is>
      </c>
      <c r="B3">
        <f>'Valuation output'!B31</f>
      </c>
    </row>
    <row r="4">
      <c r="A4" t="inlineStr">
        <is>
          <t>Review equity value</t>
        </is>
      </c>
      <c r="B4">
        <f>'Review valuation'!B31</f>
      </c>
    </row>
    <row r="5">
      <c r="A5" t="inlineStr">
        <is>
          <t>Review minus base equity value</t>
        </is>
      </c>
      <c r="B5">
        <f>B4-B3</f>
      </c>
    </row>
    <row r="7">
      <c r="A7" t="inlineStr">
        <is>
          <t>Base value per share</t>
        </is>
      </c>
      <c r="B7">
        <f>'Valuation output'!B33</f>
      </c>
    </row>
    <row r="8">
      <c r="A8" t="inlineStr">
        <is>
          <t>Review value per share</t>
        </is>
      </c>
      <c r="B8">
        <f>'Review valuation'!B33</f>
      </c>
    </row>
    <row r="10">
      <c r="A10" t="inlineStr">
        <is>
          <t>Review case changes only terminal operating-margin target by -2 percentage points. Lower operating cash flows lower value while reinvestment and historical inputs remain unchanged.</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t="s">
        <v>780</v>
      </c>
    </row>
    <row r="26" spans="1:3">
      <c r="A26" s="394" t="s">
        <v>782</v>
      </c>
      <c r="B26" s="394" t="s">
        <v>786</v>
      </c>
      <c r="C26" s="394" t="s">
        <v>786</v>
      </c>
    </row>
    <row r="27" spans="1:3">
      <c r="A27" t="s">
        <v>783</v>
      </c>
      <c r="B27" t="s">
        <v>790</v>
      </c>
      <c r="C27" t="s">
        <v>791</v>
      </c>
    </row>
    <row r="28" spans="1:3">
      <c r="A28" s="394" t="s">
        <v>784</v>
      </c>
      <c r="B28" s="394" t="s">
        <v>784</v>
      </c>
      <c r="C28" s="394" t="s">
        <v>784</v>
      </c>
    </row>
    <row r="29" spans="1:3">
      <c r="B29" s="394" t="s">
        <v>782</v>
      </c>
      <c r="C29" s="394" t="s">
        <v>782</v>
      </c>
    </row>
    <row r="30" spans="1:3">
      <c r="B30" t="s">
        <v>787</v>
      </c>
      <c r="C30" t="s">
        <v>789</v>
      </c>
    </row>
    <row r="31" spans="1:3">
      <c r="B31" s="394" t="s">
        <v>784</v>
      </c>
      <c r="C31" s="394" t="s">
        <v>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 t="shared" ref="D3:L3" si="0">C3*(1+D2)</f>
      </c>
      <c r="E3" s="93">
        <f t="shared" si="0"/>
      </c>
      <c r="F3" s="93">
        <f t="shared" si="0"/>
      </c>
      <c r="G3" s="93">
        <f t="shared" si="0"/>
      </c>
      <c r="H3" s="93">
        <f t="shared" si="0"/>
      </c>
      <c r="I3" s="93">
        <f t="shared" si="0"/>
      </c>
      <c r="J3" s="93">
        <f t="shared" si="0"/>
      </c>
      <c r="K3" s="93">
        <f t="shared" si="0"/>
      </c>
      <c r="L3" s="93">
        <f t="shared" si="0"/>
      </c>
      <c r="M3" s="108">
        <f>L3*(1+M2)</f>
      </c>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f t="shared" ref="C5:M5" ca="1" si="1">C4*C3</f>
      </c>
      <c r="D5" s="93">
        <f t="shared" ca="1" si="1"/>
      </c>
      <c r="E5" s="93">
        <f t="shared" ca="1" si="1"/>
      </c>
      <c r="F5" s="93">
        <f t="shared" ca="1" si="1"/>
      </c>
      <c r="G5" s="93">
        <f t="shared" ca="1" si="1"/>
      </c>
      <c r="H5" s="93">
        <f t="shared" si="1"/>
      </c>
      <c r="I5" s="93">
        <f t="shared" si="1"/>
      </c>
      <c r="J5" s="93">
        <f t="shared" si="1"/>
      </c>
      <c r="K5" s="93">
        <f t="shared" si="1"/>
      </c>
      <c r="L5" s="93">
        <f t="shared" si="1"/>
      </c>
      <c r="M5" s="108">
        <f t="shared" si="1"/>
      </c>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f ca="1">IF(C5&gt;0,IF(C5&lt;B10,C5,C5-(C5-B10)*C6),C5)</f>
      </c>
      <c r="D7" s="93">
        <f t="shared" ref="D7:L7" ca="1" si="2">IF(D5&gt;0,IF(D5&lt;C10,D5,D5-(D5-C10)*D6),D5)</f>
      </c>
      <c r="E7" s="93">
        <f t="shared" ca="1" si="2"/>
      </c>
      <c r="F7" s="93">
        <f t="shared" ca="1" si="2"/>
      </c>
      <c r="G7" s="93">
        <f t="shared" ca="1" si="2"/>
      </c>
      <c r="H7" s="93">
        <f t="shared" ca="1" si="2"/>
      </c>
      <c r="I7" s="93">
        <f t="shared" ca="1" si="2"/>
      </c>
      <c r="J7" s="93">
        <f t="shared" ca="1" si="2"/>
      </c>
      <c r="K7" s="93">
        <f t="shared" ca="1" si="2"/>
      </c>
      <c r="L7" s="93">
        <f t="shared" ca="1" si="2"/>
      </c>
      <c r="M7" s="93">
        <f>M5*(1-M6)</f>
      </c>
    </row>
    <row r="8" spans="1:14" ht="15" customHeight="1">
      <c r="A8" s="45" t="s">
        <v>15</v>
      </c>
      <c r="B8" s="92"/>
      <c r="C8" s="93">
        <f t="shared" ref="C8:L8" si="3">(C3-B3)/C38</f>
      </c>
      <c r="D8" s="93">
        <f t="shared" si="3"/>
      </c>
      <c r="E8" s="93">
        <f t="shared" si="3"/>
      </c>
      <c r="F8" s="93">
        <f t="shared" si="3"/>
      </c>
      <c r="G8" s="93">
        <f t="shared" si="3"/>
      </c>
      <c r="H8" s="93">
        <f t="shared" si="3"/>
      </c>
      <c r="I8" s="93">
        <f t="shared" si="3"/>
      </c>
      <c r="J8" s="93">
        <f t="shared" si="3"/>
      </c>
      <c r="K8" s="93">
        <f t="shared" si="3"/>
      </c>
      <c r="L8" s="93">
        <f t="shared" si="3"/>
      </c>
      <c r="M8" s="97">
        <f>IF(M2&gt;0,(M2/M40)*M7,0)</f>
      </c>
      <c r="N8" s="110">
        <f>SUM(C8:M8)</f>
      </c>
    </row>
    <row r="9" spans="1:14" ht="15" customHeight="1">
      <c r="A9" s="45" t="s">
        <v>16</v>
      </c>
      <c r="B9" s="92"/>
      <c r="C9" s="93">
        <f t="shared" ref="C9:L9" ca="1" si="4">C7-C8</f>
      </c>
      <c r="D9" s="93">
        <f t="shared" ca="1" si="4"/>
      </c>
      <c r="E9" s="93">
        <f t="shared" ca="1" si="4"/>
      </c>
      <c r="F9" s="93">
        <f t="shared" ca="1" si="4"/>
      </c>
      <c r="G9" s="93">
        <f t="shared" ca="1" si="4"/>
      </c>
      <c r="H9" s="93">
        <f t="shared" ca="1" si="4"/>
      </c>
      <c r="I9" s="93">
        <f t="shared" ca="1" si="4"/>
      </c>
      <c r="J9" s="93">
        <f t="shared" ca="1" si="4"/>
      </c>
      <c r="K9" s="93">
        <f t="shared" ca="1" si="4"/>
      </c>
      <c r="L9" s="93">
        <f t="shared" ca="1" si="4"/>
      </c>
      <c r="M9" s="97">
        <f>M7-M8</f>
      </c>
    </row>
    <row r="10" spans="1:14" ht="15" customHeight="1">
      <c r="A10" s="45" t="s">
        <v>48</v>
      </c>
      <c r="B10" s="92">
        <f>IF('Input sheet'!B52="Yes",'Input sheet'!B53,0)</f>
      </c>
      <c r="C10" s="93">
        <f ca="1">IF(C5&lt;0,B10-C5,IF(B10&gt;C5,B10-C5,0))</f>
      </c>
      <c r="D10" s="93">
        <f t="shared" ref="D10:M10" ca="1" si="5">IF(D5&lt;0,C10-D5,IF(C10&gt;D5,C10-D5,0))</f>
      </c>
      <c r="E10" s="93">
        <f t="shared" ca="1" si="5"/>
      </c>
      <c r="F10" s="93">
        <f t="shared" ca="1" si="5"/>
      </c>
      <c r="G10" s="93">
        <f t="shared" ca="1" si="5"/>
      </c>
      <c r="H10" s="93">
        <f t="shared" ca="1" si="5"/>
      </c>
      <c r="I10" s="93">
        <f t="shared" ca="1" si="5"/>
      </c>
      <c r="J10" s="93">
        <f t="shared" ca="1" si="5"/>
      </c>
      <c r="K10" s="93">
        <f t="shared" ca="1" si="5"/>
      </c>
      <c r="L10" s="93">
        <f t="shared" ca="1" si="5"/>
      </c>
      <c r="M10" s="93">
        <f t="shared" ca="1" si="5"/>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f t="shared" ref="C14:L14" ca="1" si="7">C9*C13</f>
      </c>
      <c r="D14" s="93">
        <f t="shared" ca="1" si="7"/>
      </c>
      <c r="E14" s="93">
        <f t="shared" ca="1" si="7"/>
      </c>
      <c r="F14" s="93">
        <f t="shared" ca="1" si="7"/>
      </c>
      <c r="G14" s="93">
        <f t="shared" ca="1" si="7"/>
      </c>
      <c r="H14" s="93">
        <f t="shared" ca="1" si="7"/>
      </c>
      <c r="I14" s="93">
        <f t="shared" ca="1" si="7"/>
      </c>
      <c r="J14" s="93">
        <f t="shared" ca="1" si="7"/>
      </c>
      <c r="K14" s="93">
        <f t="shared" ca="1" si="7"/>
      </c>
      <c r="L14" s="93">
        <f t="shared" ca="1" si="7"/>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 ca="1">SUM(C14:L14)</f>
      </c>
      <c r="C20" s="51"/>
      <c r="D20" s="51"/>
      <c r="E20" s="51"/>
      <c r="F20" s="51"/>
      <c r="G20" s="51"/>
      <c r="H20" s="51"/>
      <c r="I20" s="51"/>
      <c r="J20" s="51"/>
      <c r="K20" s="51"/>
      <c r="L20" s="51"/>
    </row>
    <row r="21" spans="1:12">
      <c r="A21" s="48" t="s">
        <v>47</v>
      </c>
      <c r="B21" s="99">
        <f ca="1">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 ca="1">IF('Input sheet'!B47="B",('Input sheet'!B11+'Input sheet'!B12)*'Input sheet'!B48,'Valuation output'!B21*'Input sheet'!B48)</f>
      </c>
      <c r="C23" s="51"/>
      <c r="D23" s="51"/>
      <c r="E23" s="51"/>
      <c r="F23" s="51"/>
      <c r="G23" s="51"/>
      <c r="H23" s="51"/>
      <c r="I23" s="51"/>
      <c r="J23" s="51"/>
      <c r="K23" s="51"/>
      <c r="L23" s="51"/>
    </row>
    <row r="24" spans="1:12">
      <c r="A24" s="48" t="s">
        <v>44</v>
      </c>
      <c r="B24" s="92">
        <f ca="1">B21*(1-B22)+B23*B22</f>
      </c>
      <c r="C24" s="51"/>
      <c r="D24" s="51"/>
      <c r="E24" s="51"/>
      <c r="F24" s="51"/>
      <c r="G24" s="51"/>
      <c r="H24" s="51"/>
      <c r="I24" s="51"/>
      <c r="J24" s="51"/>
      <c r="K24" s="51"/>
      <c r="L24" s="51"/>
    </row>
    <row r="25" spans="1:12">
      <c r="A25" s="48" t="s">
        <v>392</v>
      </c>
      <c r="B25" s="92">
        <f ca="1">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 ca="1">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 ca="1">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 ca="1">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 ca="1">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 t="shared" ref="C39:L39" ca="1" si="9">B39+C8</f>
      </c>
      <c r="D39" s="107">
        <f t="shared" ca="1" si="9"/>
      </c>
      <c r="E39" s="107">
        <f t="shared" ca="1" si="9"/>
      </c>
      <c r="F39" s="107">
        <f t="shared" ca="1" si="9"/>
      </c>
      <c r="G39" s="107">
        <f t="shared" ca="1" si="9"/>
      </c>
      <c r="H39" s="107">
        <f t="shared" ca="1" si="9"/>
      </c>
      <c r="I39" s="107">
        <f t="shared" ca="1" si="9"/>
      </c>
      <c r="J39" s="107">
        <f t="shared" ca="1" si="9"/>
      </c>
      <c r="K39" s="107">
        <f t="shared" ca="1" si="9"/>
      </c>
      <c r="L39" s="107">
        <f t="shared" ca="1" si="9"/>
      </c>
      <c r="M39" s="98"/>
    </row>
    <row r="40" spans="1:13">
      <c r="A40" s="44" t="s">
        <v>19</v>
      </c>
      <c r="B40" s="94">
        <f t="shared" ref="B40:L40" ca="1" si="10">B7/B39</f>
      </c>
      <c r="C40" s="90">
        <f t="shared" ca="1" si="10"/>
      </c>
      <c r="D40" s="90">
        <f t="shared" ca="1" si="10"/>
      </c>
      <c r="E40" s="90">
        <f t="shared" ca="1" si="10"/>
      </c>
      <c r="F40" s="90">
        <f t="shared" ca="1" si="10"/>
      </c>
      <c r="G40" s="90">
        <f t="shared" ca="1" si="10"/>
      </c>
      <c r="H40" s="90">
        <f t="shared" ca="1" si="10"/>
      </c>
      <c r="I40" s="90">
        <f t="shared" ca="1" si="10"/>
      </c>
      <c r="J40" s="90">
        <f t="shared" ca="1" si="10"/>
      </c>
      <c r="K40" s="90">
        <f t="shared" ca="1" si="10"/>
      </c>
      <c r="L40" s="109">
        <f t="shared" ca="1" si="10"/>
      </c>
      <c r="M40" s="90">
        <f>IF('Input sheet'!B42="Yes",'Input sheet'!B43,'Valuation output'!L12)</f>
      </c>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v>0.0413</v>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