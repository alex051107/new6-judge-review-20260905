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<sst xmlns="http://schemas.openxmlformats.org/spreadsheetml/2006/main" count="1495" uniqueCount="803">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</sst>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0.16</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665782.905809275</v>
      </c>
    </row>
    <row r="31" s="16" customFormat="true" ht="12.65" hidden="false" customHeight="false" outlineLevel="0" collapsed="false">
      <c r="A31" s="14" t="s">
        <v>81</v>
      </c>
      <c r="B31" s="48" t="s">
        <v>82</v>
      </c>
      <c r="D31" s="23"/>
      <c r="E31" s="36" t="s">
        <v>83</v>
      </c>
      <c r="F31" s="14"/>
      <c r="G31" s="14"/>
      <c r="H31" s="14"/>
      <c r="I31" s="14"/>
      <c r="J31" s="51" t="n">
        <f aca="false">'Valuation output'!M5</f>
        <v>83222.8632261594</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0.389306883813472</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0.16</v>
      </c>
      <c r="D2" s="81" t="n">
        <f aca="false">C2</f>
        <v>0.16</v>
      </c>
      <c r="E2" s="81" t="n">
        <f aca="false">D2</f>
        <v>0.16</v>
      </c>
      <c r="F2" s="81" t="n">
        <f aca="false">E2</f>
        <v>0.16</v>
      </c>
      <c r="G2" s="81" t="n">
        <f aca="false">F2</f>
        <v>0.16</v>
      </c>
      <c r="H2" s="81" t="n">
        <f aca="false">G2-((G2-$M$2)/5)</f>
        <v>0.134</v>
      </c>
      <c r="I2" s="81" t="n">
        <f aca="false">G2-((G2-$M$2)/5)*2</f>
        <v>0.108</v>
      </c>
      <c r="J2" s="81" t="n">
        <f aca="false">G2-((G2-$M$2)/5)*3</f>
        <v>0.082</v>
      </c>
      <c r="K2" s="81" t="n">
        <f aca="false">G2-((G2-$M$2)/5)*4</f>
        <v>0.056</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241425</v>
      </c>
      <c r="D3" s="84" t="n">
        <f aca="false">C3*(1+D2)</f>
        <v>280053</v>
      </c>
      <c r="E3" s="84" t="n">
        <f aca="false">D3*(1+E2)</f>
        <v>324861.48</v>
      </c>
      <c r="F3" s="84" t="n">
        <f aca="false">E3*(1+F2)</f>
        <v>376839.3168</v>
      </c>
      <c r="G3" s="84" t="n">
        <f aca="false">F3*(1+G2)</f>
        <v>437133.607488</v>
      </c>
      <c r="H3" s="84" t="n">
        <f aca="false">G3*(1+H2)</f>
        <v>495709.510891392</v>
      </c>
      <c r="I3" s="84" t="n">
        <f aca="false">H3*(1+I2)</f>
        <v>549246.138067662</v>
      </c>
      <c r="J3" s="84" t="n">
        <f aca="false">I3*(1+J2)</f>
        <v>594284.321389211</v>
      </c>
      <c r="K3" s="84" t="n">
        <f aca="false">J3*(1+K2)</f>
        <v>627564.243387007</v>
      </c>
      <c r="L3" s="84" t="n">
        <f aca="false">K3*(1+L2)</f>
        <v>646391.170688617</v>
      </c>
      <c r="M3" s="85" t="n">
        <f aca="false">L3*(1+M2)</f>
        <v>665782.905809275</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20933.7185726027</v>
      </c>
      <c r="D5" s="84" t="n">
        <f aca="false">D4*D3</f>
        <v>26963.9914081643</v>
      </c>
      <c r="E5" s="84" t="n">
        <f aca="false">E4*E3</f>
        <v>34388.0483556471</v>
      </c>
      <c r="F5" s="84" t="n">
        <f aca="false">F4*F3</f>
        <v>43497.5253462753</v>
      </c>
      <c r="G5" s="84" t="n">
        <f aca="false">G4*G3</f>
        <v>54641.700936</v>
      </c>
      <c r="H5" s="84" t="n">
        <f aca="false">H4*H3</f>
        <v>61963.688861424</v>
      </c>
      <c r="I5" s="84" t="n">
        <f aca="false">I4*I3</f>
        <v>68655.7672584578</v>
      </c>
      <c r="J5" s="84" t="n">
        <f aca="false">J4*J3</f>
        <v>74285.5401736513</v>
      </c>
      <c r="K5" s="84" t="n">
        <f aca="false">K4*K3</f>
        <v>78445.5304233758</v>
      </c>
      <c r="L5" s="84" t="n">
        <f aca="false">L4*L3</f>
        <v>80798.8963360771</v>
      </c>
      <c r="M5" s="85" t="n">
        <f aca="false">M4*M3</f>
        <v>83222.8632261594</v>
      </c>
      <c r="N5" s="87" t="n">
        <f aca="false">M5-B5</f>
        <v>67168.8830832686</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16704.0733854425</v>
      </c>
      <c r="D7" s="84" t="n">
        <f aca="false">IF(D5&gt;0,IF(D5&lt;C10,D5,D5-(D5-C10)*D6),D5)</f>
        <v>21515.933238727</v>
      </c>
      <c r="E7" s="84" t="n">
        <f aca="false">IF(E5&gt;0,IF(E5&lt;D10,E5,E5-(E5-D10)*E6),E5)</f>
        <v>27439.9639663952</v>
      </c>
      <c r="F7" s="84" t="n">
        <f aca="false">IF(F5&gt;0,IF(F5&lt;E10,F5,F5-(F5-E10)*F6),F5)</f>
        <v>34708.8766360058</v>
      </c>
      <c r="G7" s="84" t="n">
        <f aca="false">IF(G5&gt;0,IF(G5&lt;F10,G5,G5-(G5-F10)*G6),G5)</f>
        <v>43601.3782823521</v>
      </c>
      <c r="H7" s="84" t="n">
        <f aca="false">IF(H5&gt;0,IF(H5&lt;G10,H5,H5-(H5-G10)*H6),H5)</f>
        <v>48973.6510846862</v>
      </c>
      <c r="I7" s="84" t="n">
        <f aca="false">IF(I5&gt;0,IF(I5&lt;H10,I5,I5-(I5-H10)*I6),I5)</f>
        <v>53741.6998304812</v>
      </c>
      <c r="J7" s="84" t="n">
        <f aca="false">IF(J5&gt;0,IF(J5&lt;I10,J5,J5-(J5-I10)*J6),J5)</f>
        <v>57584.6829883788</v>
      </c>
      <c r="K7" s="84" t="n">
        <f aca="false">IF(K5&gt;0,IF(K5&lt;J10,K5,K5-(K5-J10)*K6),K5)</f>
        <v>60214.0141787468</v>
      </c>
      <c r="L7" s="84" t="n">
        <f aca="false">IF(L5&gt;0,IF(L5&lt;K10,L5,L5-(L5-K10)*L6),L5)</f>
        <v>61407.1612154186</v>
      </c>
      <c r="M7" s="84" t="n">
        <f aca="false">M5*(1-M6)</f>
        <v>63249.3760518812</v>
      </c>
    </row>
    <row r="8" customFormat="false" ht="15" hidden="false" customHeight="true" outlineLevel="0" collapsed="false">
      <c r="A8" s="79" t="s">
        <v>130</v>
      </c>
      <c r="B8" s="83"/>
      <c r="C8" s="84" t="n">
        <f aca="false">(C3-B3)/C38</f>
        <v>5599.2</v>
      </c>
      <c r="D8" s="84" t="n">
        <f aca="false">(D3-C3)/D38</f>
        <v>6495.072</v>
      </c>
      <c r="E8" s="84" t="n">
        <f aca="false">(E3-D3)/E38</f>
        <v>7534.28352</v>
      </c>
      <c r="F8" s="84" t="n">
        <f aca="false">(F3-E3)/F38</f>
        <v>8739.7688832</v>
      </c>
      <c r="G8" s="84" t="n">
        <f aca="false">(G3-F3)/G38</f>
        <v>10138.131904512</v>
      </c>
      <c r="H8" s="84" t="n">
        <f aca="false">(H3-G3)/H38</f>
        <v>9849.1951452334</v>
      </c>
      <c r="I8" s="84" t="n">
        <f aca="false">(I3-H3)/I38</f>
        <v>9001.87035691812</v>
      </c>
      <c r="J8" s="84" t="n">
        <f aca="false">(J3-I3)/J38</f>
        <v>7572.90678840882</v>
      </c>
      <c r="K8" s="84" t="n">
        <f aca="false">(K3-J3)/K38</f>
        <v>5595.82400150325</v>
      </c>
      <c r="L8" s="84" t="n">
        <f aca="false">(L3-K3)/L38</f>
        <v>3165.63757799327</v>
      </c>
      <c r="M8" s="90" t="n">
        <f aca="false">IF(M2&gt;0,(M2/M40)*M7,0)</f>
        <v>18974.8128155643</v>
      </c>
      <c r="N8" s="87" t="n">
        <f aca="false">SUM(C8:M8)</f>
        <v>92666.7029933332</v>
      </c>
    </row>
    <row r="9" customFormat="false" ht="15" hidden="false" customHeight="true" outlineLevel="0" collapsed="false">
      <c r="A9" s="79" t="s">
        <v>131</v>
      </c>
      <c r="B9" s="83"/>
      <c r="C9" s="84" t="n">
        <f aca="false">C7-C8</f>
        <v>11104.8733854425</v>
      </c>
      <c r="D9" s="84" t="n">
        <f aca="false">D7-D8</f>
        <v>15020.861238727</v>
      </c>
      <c r="E9" s="84" t="n">
        <f aca="false">E7-E8</f>
        <v>19905.6804463952</v>
      </c>
      <c r="F9" s="84" t="n">
        <f aca="false">F7-F8</f>
        <v>25969.1077528058</v>
      </c>
      <c r="G9" s="84" t="n">
        <f aca="false">G7-G8</f>
        <v>33463.2463778401</v>
      </c>
      <c r="H9" s="84" t="n">
        <f aca="false">H7-H8</f>
        <v>39124.4559394528</v>
      </c>
      <c r="I9" s="84" t="n">
        <f aca="false">I7-I8</f>
        <v>44739.8294735631</v>
      </c>
      <c r="J9" s="84" t="n">
        <f aca="false">J7-J8</f>
        <v>50011.77619997</v>
      </c>
      <c r="K9" s="84" t="n">
        <f aca="false">K7-K8</f>
        <v>54618.1901772436</v>
      </c>
      <c r="L9" s="84" t="n">
        <f aca="false">L7-L8</f>
        <v>58241.5236374253</v>
      </c>
      <c r="M9" s="90" t="n">
        <f aca="false">M7-M8</f>
        <v>44274.5632363168</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10285.1471570275</v>
      </c>
      <c r="D14" s="84" t="n">
        <f aca="false">D9*D13</f>
        <v>12885.124862806</v>
      </c>
      <c r="E14" s="84" t="n">
        <f aca="false">E9*E13</f>
        <v>15814.9463792477</v>
      </c>
      <c r="F14" s="84" t="n">
        <f aca="false">F9*F13</f>
        <v>19109.2931514894</v>
      </c>
      <c r="G14" s="84" t="n">
        <f aca="false">G9*G13</f>
        <v>22806.1808616811</v>
      </c>
      <c r="H14" s="84" t="n">
        <f aca="false">H9*H13</f>
        <v>24717.6950479922</v>
      </c>
      <c r="I14" s="84" t="n">
        <f aca="false">I9*I13</f>
        <v>26224.5318982798</v>
      </c>
      <c r="J14" s="84" t="n">
        <f aca="false">J9*J13</f>
        <v>27221.897116096</v>
      </c>
      <c r="K14" s="84" t="n">
        <f aca="false">K9*K13</f>
        <v>27630.9209902693</v>
      </c>
      <c r="L14" s="84" t="n">
        <f aca="false">L9*L13</f>
        <v>27408.3138893336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44274.5632363168</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983879.183029262</v>
      </c>
      <c r="C18" s="93"/>
      <c r="D18" s="95"/>
      <c r="E18" s="93"/>
      <c r="F18" s="93"/>
      <c r="G18" s="93"/>
      <c r="H18" s="93"/>
      <c r="I18" s="93"/>
      <c r="J18" s="93"/>
      <c r="K18" s="93"/>
      <c r="L18" s="93"/>
    </row>
    <row r="19" customFormat="false" ht="15.75" hidden="false" customHeight="false" outlineLevel="0" collapsed="false">
      <c r="A19" s="94" t="s">
        <v>139</v>
      </c>
      <c r="B19" s="96" t="n">
        <f aca="false">B18*L13</f>
        <v>463011.057978552</v>
      </c>
      <c r="C19" s="93"/>
      <c r="D19" s="93"/>
      <c r="E19" s="93"/>
      <c r="F19" s="93"/>
      <c r="G19" s="93"/>
      <c r="H19" s="93"/>
      <c r="I19" s="93"/>
      <c r="J19" s="93"/>
      <c r="K19" s="93"/>
      <c r="L19" s="93"/>
    </row>
    <row r="20" customFormat="false" ht="15.75" hidden="false" customHeight="false" outlineLevel="0" collapsed="false">
      <c r="A20" s="94" t="s">
        <v>140</v>
      </c>
      <c r="B20" s="96" t="n">
        <f aca="false">SUM(C14:L14)</f>
        <v>214104.051354223</v>
      </c>
      <c r="C20" s="93"/>
      <c r="D20" s="93"/>
      <c r="E20" s="93"/>
      <c r="F20" s="93"/>
      <c r="G20" s="93"/>
      <c r="H20" s="93"/>
      <c r="I20" s="93"/>
      <c r="J20" s="93"/>
      <c r="K20" s="93"/>
      <c r="L20" s="93"/>
    </row>
    <row r="21" customFormat="false" ht="15.75" hidden="false" customHeight="false" outlineLevel="0" collapsed="false">
      <c r="A21" s="94" t="s">
        <v>141</v>
      </c>
      <c r="B21" s="96" t="n">
        <f aca="false">B19+B20</f>
        <v>677115.109332774</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338557.554666387</v>
      </c>
      <c r="C23" s="93"/>
      <c r="D23" s="93"/>
      <c r="E23" s="93"/>
      <c r="F23" s="93"/>
      <c r="G23" s="93"/>
      <c r="H23" s="93"/>
      <c r="I23" s="93"/>
      <c r="J23" s="93"/>
      <c r="K23" s="93"/>
      <c r="L23" s="93"/>
    </row>
    <row r="24" customFormat="false" ht="15.75" hidden="false" customHeight="false" outlineLevel="0" collapsed="false">
      <c r="A24" s="94" t="s">
        <v>144</v>
      </c>
      <c r="B24" s="83" t="n">
        <f aca="false">B21*(1-B22)+B23*B22</f>
        <v>677115.109332774</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658729.910761682</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658729.910761682</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1325.41229529514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1.48647330871583</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89641.898571092</v>
      </c>
      <c r="D39" s="105" t="n">
        <f aca="false">C39+D8</f>
        <v>96136.970571092</v>
      </c>
      <c r="E39" s="105" t="n">
        <f aca="false">D39+E8</f>
        <v>103671.254091092</v>
      </c>
      <c r="F39" s="105" t="n">
        <f aca="false">E39+F8</f>
        <v>112411.022974292</v>
      </c>
      <c r="G39" s="105" t="n">
        <f aca="false">F39+G8</f>
        <v>122549.154878804</v>
      </c>
      <c r="H39" s="105" t="n">
        <f aca="false">G39+H8</f>
        <v>132398.350024037</v>
      </c>
      <c r="I39" s="105" t="n">
        <f aca="false">H39+I8</f>
        <v>141400.220380956</v>
      </c>
      <c r="J39" s="105" t="n">
        <f aca="false">I39+J8</f>
        <v>148973.127169364</v>
      </c>
      <c r="K39" s="105" t="n">
        <f aca="false">J39+K8</f>
        <v>154568.951170868</v>
      </c>
      <c r="L39" s="105" t="n">
        <f aca="false">K39+L8</f>
        <v>157734.588748861</v>
      </c>
      <c r="M39" s="91"/>
    </row>
    <row r="40" customFormat="false" ht="15.75" hidden="false" customHeight="false" outlineLevel="0" collapsed="false">
      <c r="A40" s="94" t="s">
        <v>160</v>
      </c>
      <c r="B40" s="86" t="n">
        <f aca="false">B7/B39</f>
        <v>0.152425890343679</v>
      </c>
      <c r="C40" s="81" t="n">
        <f aca="false">C7/C39</f>
        <v>0.186342253474195</v>
      </c>
      <c r="D40" s="81" t="n">
        <f aca="false">D7/D39</f>
        <v>0.223804984813998</v>
      </c>
      <c r="E40" s="81" t="n">
        <f aca="false">E7/E39</f>
        <v>0.264682473526217</v>
      </c>
      <c r="F40" s="81" t="n">
        <f aca="false">F7/F39</f>
        <v>0.308767554263282</v>
      </c>
      <c r="G40" s="81" t="n">
        <f aca="false">G7/G39</f>
        <v>0.355786854062535</v>
      </c>
      <c r="H40" s="81" t="n">
        <f aca="false">H7/H39</f>
        <v>0.369896234173575</v>
      </c>
      <c r="I40" s="81" t="n">
        <f aca="false">I7/I39</f>
        <v>0.380068006157927</v>
      </c>
      <c r="J40" s="81" t="n">
        <f aca="false">J7/J39</f>
        <v>0.386544097466062</v>
      </c>
      <c r="K40" s="81" t="n">
        <f aca="false">K7/K39</f>
        <v>0.389560864084427</v>
      </c>
      <c r="L40" s="106" t="n">
        <f aca="false">L7/L39</f>
        <v>0.389306883813472</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0.16</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0.878589435513195</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241425</v>
      </c>
      <c r="C17" s="150" t="n">
        <f aca="false">'Valuation output'!C4</f>
        <v>0.0867089927414421</v>
      </c>
      <c r="D17" s="118" t="n">
        <f aca="false">B17*C17</f>
        <v>20933.7185726027</v>
      </c>
      <c r="E17" s="149" t="n">
        <f aca="false">'Valuation output'!C7</f>
        <v>16704.0733854425</v>
      </c>
      <c r="F17" s="149" t="n">
        <f aca="false">'Valuation output'!C8</f>
        <v>5599.2</v>
      </c>
      <c r="G17" s="151" t="n">
        <f aca="false">E17-F17</f>
        <v>11104.8733854425</v>
      </c>
      <c r="H17" s="147"/>
      <c r="I17" s="147"/>
      <c r="J17" s="147"/>
      <c r="K17" s="147"/>
    </row>
    <row r="18" customFormat="false" ht="15.75" hidden="false" customHeight="false" outlineLevel="0" collapsed="false">
      <c r="A18" s="148" t="n">
        <v>2</v>
      </c>
      <c r="B18" s="149" t="n">
        <f aca="false">'Valuation output'!D3</f>
        <v>280053</v>
      </c>
      <c r="C18" s="150" t="n">
        <f aca="false">'Valuation output'!D4</f>
        <v>0.0962817445560816</v>
      </c>
      <c r="D18" s="118" t="n">
        <f aca="false">B18*C18</f>
        <v>26963.9914081643</v>
      </c>
      <c r="E18" s="149" t="n">
        <f aca="false">'Valuation output'!D7</f>
        <v>21515.933238727</v>
      </c>
      <c r="F18" s="149" t="n">
        <f aca="false">'Valuation output'!D8</f>
        <v>6495.072</v>
      </c>
      <c r="G18" s="151" t="n">
        <f aca="false">E18-F18</f>
        <v>15020.861238727</v>
      </c>
      <c r="H18" s="147"/>
      <c r="I18" s="147"/>
      <c r="J18" s="147"/>
      <c r="K18" s="147"/>
    </row>
    <row r="19" customFormat="false" ht="15.75" hidden="false" customHeight="false" outlineLevel="0" collapsed="false">
      <c r="A19" s="148" t="n">
        <v>3</v>
      </c>
      <c r="B19" s="149" t="n">
        <f aca="false">'Valuation output'!E3</f>
        <v>324861.48</v>
      </c>
      <c r="C19" s="150" t="n">
        <f aca="false">'Valuation output'!E4</f>
        <v>0.105854496370721</v>
      </c>
      <c r="D19" s="118" t="n">
        <f aca="false">B19*C19</f>
        <v>34388.0483556471</v>
      </c>
      <c r="E19" s="149" t="n">
        <f aca="false">'Valuation output'!E7</f>
        <v>27439.9639663952</v>
      </c>
      <c r="F19" s="149" t="n">
        <f aca="false">'Valuation output'!E8</f>
        <v>7534.28352</v>
      </c>
      <c r="G19" s="151" t="n">
        <f aca="false">E19-F19</f>
        <v>19905.6804463952</v>
      </c>
      <c r="H19" s="147"/>
      <c r="I19" s="147"/>
      <c r="J19" s="147"/>
      <c r="K19" s="147"/>
    </row>
    <row r="20" customFormat="false" ht="15.75" hidden="false" customHeight="false" outlineLevel="0" collapsed="false">
      <c r="A20" s="148" t="n">
        <v>4</v>
      </c>
      <c r="B20" s="149" t="n">
        <f aca="false">'Valuation output'!F3</f>
        <v>376839.3168</v>
      </c>
      <c r="C20" s="150" t="n">
        <f aca="false">'Valuation output'!F4</f>
        <v>0.115427248185361</v>
      </c>
      <c r="D20" s="118" t="n">
        <f aca="false">B20*C20</f>
        <v>43497.5253462753</v>
      </c>
      <c r="E20" s="149" t="n">
        <f aca="false">'Valuation output'!F7</f>
        <v>34708.8766360058</v>
      </c>
      <c r="F20" s="149" t="n">
        <f aca="false">'Valuation output'!F8</f>
        <v>8739.7688832</v>
      </c>
      <c r="G20" s="151" t="n">
        <f aca="false">E20-F20</f>
        <v>25969.1077528058</v>
      </c>
      <c r="H20" s="147"/>
      <c r="I20" s="147"/>
      <c r="J20" s="147"/>
      <c r="K20" s="147"/>
    </row>
    <row r="21" customFormat="false" ht="15.75" hidden="false" customHeight="false" outlineLevel="0" collapsed="false">
      <c r="A21" s="148" t="n">
        <v>5</v>
      </c>
      <c r="B21" s="149" t="n">
        <f aca="false">'Valuation output'!G3</f>
        <v>437133.607488</v>
      </c>
      <c r="C21" s="150" t="n">
        <f aca="false">'Valuation output'!G4</f>
        <v>0.125</v>
      </c>
      <c r="D21" s="118" t="n">
        <f aca="false">B21*C21</f>
        <v>54641.700936</v>
      </c>
      <c r="E21" s="149" t="n">
        <f aca="false">'Valuation output'!G7</f>
        <v>43601.3782823521</v>
      </c>
      <c r="F21" s="149" t="n">
        <f aca="false">'Valuation output'!G8</f>
        <v>10138.131904512</v>
      </c>
      <c r="G21" s="151" t="n">
        <f aca="false">E21-F21</f>
        <v>33463.2463778401</v>
      </c>
      <c r="H21" s="147"/>
      <c r="I21" s="147"/>
      <c r="J21" s="147"/>
      <c r="K21" s="147"/>
    </row>
    <row r="22" customFormat="false" ht="15.75" hidden="false" customHeight="false" outlineLevel="0" collapsed="false">
      <c r="A22" s="148" t="n">
        <v>6</v>
      </c>
      <c r="B22" s="149" t="n">
        <f aca="false">'Valuation output'!H3</f>
        <v>495709.510891392</v>
      </c>
      <c r="C22" s="150" t="n">
        <f aca="false">'Valuation output'!H4</f>
        <v>0.125</v>
      </c>
      <c r="D22" s="118" t="n">
        <f aca="false">B22*C22</f>
        <v>61963.688861424</v>
      </c>
      <c r="E22" s="149" t="n">
        <f aca="false">'Valuation output'!H7</f>
        <v>48973.6510846862</v>
      </c>
      <c r="F22" s="149" t="n">
        <f aca="false">'Valuation output'!H8</f>
        <v>9849.1951452334</v>
      </c>
      <c r="G22" s="151" t="n">
        <f aca="false">E22-F22</f>
        <v>39124.4559394528</v>
      </c>
      <c r="H22" s="147"/>
      <c r="I22" s="147"/>
      <c r="J22" s="147"/>
      <c r="K22" s="147"/>
    </row>
    <row r="23" customFormat="false" ht="15.75" hidden="false" customHeight="false" outlineLevel="0" collapsed="false">
      <c r="A23" s="148" t="n">
        <v>7</v>
      </c>
      <c r="B23" s="149" t="n">
        <f aca="false">'Valuation output'!I3</f>
        <v>549246.138067662</v>
      </c>
      <c r="C23" s="150" t="n">
        <f aca="false">'Valuation output'!I4</f>
        <v>0.125</v>
      </c>
      <c r="D23" s="118" t="n">
        <f aca="false">B23*C23</f>
        <v>68655.7672584578</v>
      </c>
      <c r="E23" s="149" t="n">
        <f aca="false">'Valuation output'!I7</f>
        <v>53741.6998304812</v>
      </c>
      <c r="F23" s="149" t="n">
        <f aca="false">'Valuation output'!I8</f>
        <v>9001.87035691812</v>
      </c>
      <c r="G23" s="151" t="n">
        <f aca="false">E23-F23</f>
        <v>44739.8294735631</v>
      </c>
      <c r="H23" s="147"/>
      <c r="I23" s="147"/>
      <c r="J23" s="147"/>
      <c r="K23" s="147"/>
    </row>
    <row r="24" customFormat="false" ht="15.75" hidden="false" customHeight="false" outlineLevel="0" collapsed="false">
      <c r="A24" s="148" t="n">
        <v>8</v>
      </c>
      <c r="B24" s="149" t="n">
        <f aca="false">'Valuation output'!J3</f>
        <v>594284.321389211</v>
      </c>
      <c r="C24" s="150" t="n">
        <f aca="false">'Valuation output'!J4</f>
        <v>0.125</v>
      </c>
      <c r="D24" s="118" t="n">
        <f aca="false">B24*C24</f>
        <v>74285.5401736513</v>
      </c>
      <c r="E24" s="149" t="n">
        <f aca="false">'Valuation output'!J7</f>
        <v>57584.6829883788</v>
      </c>
      <c r="F24" s="149" t="n">
        <f aca="false">'Valuation output'!J8</f>
        <v>7572.90678840882</v>
      </c>
      <c r="G24" s="151" t="n">
        <f aca="false">E24-F24</f>
        <v>50011.77619997</v>
      </c>
      <c r="H24" s="147"/>
      <c r="I24" s="147"/>
      <c r="J24" s="147"/>
      <c r="K24" s="147"/>
    </row>
    <row r="25" customFormat="false" ht="15.75" hidden="false" customHeight="false" outlineLevel="0" collapsed="false">
      <c r="A25" s="148" t="n">
        <v>9</v>
      </c>
      <c r="B25" s="149" t="n">
        <f aca="false">'Valuation output'!K3</f>
        <v>627564.243387007</v>
      </c>
      <c r="C25" s="150" t="n">
        <f aca="false">'Valuation output'!K4</f>
        <v>0.125</v>
      </c>
      <c r="D25" s="118" t="n">
        <f aca="false">B25*C25</f>
        <v>78445.5304233758</v>
      </c>
      <c r="E25" s="149" t="n">
        <f aca="false">'Valuation output'!K7</f>
        <v>60214.0141787468</v>
      </c>
      <c r="F25" s="149" t="n">
        <f aca="false">'Valuation output'!K8</f>
        <v>5595.82400150325</v>
      </c>
      <c r="G25" s="151" t="n">
        <f aca="false">E25-F25</f>
        <v>54618.1901772436</v>
      </c>
      <c r="H25" s="147"/>
      <c r="I25" s="147"/>
      <c r="J25" s="147"/>
      <c r="K25" s="147"/>
    </row>
    <row r="26" customFormat="false" ht="15.75" hidden="false" customHeight="false" outlineLevel="0" collapsed="false">
      <c r="A26" s="148" t="n">
        <v>10</v>
      </c>
      <c r="B26" s="149" t="n">
        <f aca="false">'Valuation output'!L3</f>
        <v>646391.170688617</v>
      </c>
      <c r="C26" s="150" t="n">
        <f aca="false">'Valuation output'!L4</f>
        <v>0.125</v>
      </c>
      <c r="D26" s="118" t="n">
        <f aca="false">B26*C26</f>
        <v>80798.8963360771</v>
      </c>
      <c r="E26" s="149" t="n">
        <f aca="false">'Valuation output'!L7</f>
        <v>61407.1612154186</v>
      </c>
      <c r="F26" s="149" t="n">
        <f aca="false">'Valuation output'!L8</f>
        <v>3165.63757799327</v>
      </c>
      <c r="G26" s="151" t="n">
        <f aca="false">E26-F26</f>
        <v>58241.5236374253</v>
      </c>
      <c r="H26" s="147"/>
      <c r="I26" s="147"/>
      <c r="J26" s="147"/>
      <c r="K26" s="147"/>
    </row>
    <row r="27" customFormat="false" ht="15.75" hidden="false" customHeight="false" outlineLevel="0" collapsed="false">
      <c r="A27" s="152" t="s">
        <v>124</v>
      </c>
      <c r="B27" s="153" t="n">
        <f aca="false">'Valuation output'!M3</f>
        <v>665782.905809275</v>
      </c>
      <c r="C27" s="154" t="n">
        <f aca="false">'Valuation output'!M4</f>
        <v>0.125</v>
      </c>
      <c r="D27" s="118" t="n">
        <f aca="false">B27*C27</f>
        <v>83222.8632261594</v>
      </c>
      <c r="E27" s="153" t="n">
        <f aca="false">'Valuation output'!M7</f>
        <v>63249.3760518812</v>
      </c>
      <c r="F27" s="153" t="n">
        <f aca="false">'Valuation output'!M8</f>
        <v>18974.8128155643</v>
      </c>
      <c r="G27" s="151" t="n">
        <f aca="false">E27-F27</f>
        <v>44274.5632363168</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983879.183029262</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463011.057978552</v>
      </c>
      <c r="E30" s="163"/>
      <c r="F30" s="164"/>
      <c r="G30" s="165"/>
      <c r="H30" s="160"/>
      <c r="I30" s="160"/>
      <c r="J30" s="160"/>
      <c r="K30" s="160"/>
    </row>
    <row r="31" customFormat="false" ht="15.75" hidden="false" customHeight="false" outlineLevel="0" collapsed="false">
      <c r="A31" s="161" t="s">
        <v>140</v>
      </c>
      <c r="B31" s="161"/>
      <c r="C31" s="161"/>
      <c r="D31" s="162" t="n">
        <f aca="false">'Valuation output'!B20</f>
        <v>214104.051354223</v>
      </c>
      <c r="E31" s="163"/>
      <c r="F31" s="164"/>
      <c r="G31" s="165"/>
      <c r="H31" s="160"/>
      <c r="I31" s="160"/>
      <c r="J31" s="160"/>
      <c r="K31" s="160"/>
    </row>
    <row r="32" customFormat="false" ht="15.75" hidden="false" customHeight="false" outlineLevel="0" collapsed="false">
      <c r="A32" s="161" t="s">
        <v>144</v>
      </c>
      <c r="B32" s="161"/>
      <c r="C32" s="161"/>
      <c r="D32" s="162" t="n">
        <f aca="false">'Valuation output'!B21</f>
        <v>677115.109332774</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658729.910761682</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1325.41229529514</v>
      </c>
      <c r="E39" s="173" t="s">
        <v>196</v>
      </c>
      <c r="F39" s="173"/>
      <c r="G39" s="174" t="n">
        <f aca="false">'Input sheet'!B19</f>
        <v>1970.19</v>
      </c>
      <c r="H39" s="160"/>
      <c r="I39" s="160"/>
      <c r="J39" s="160"/>
      <c r="K39" s="160"/>
    </row>
    <row r="43" customFormat="false" ht="15.75" hidden="false" customHeight="false" outlineLevel="0" collapsed="false">
      <c r="J43" s="175" t="n">
        <f aca="false">D39/1944</f>
        <v>0.681796448197086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241425</v>
      </c>
      <c r="C3" s="179" t="n">
        <f aca="false">'Valuation output'!C2</f>
        <v>0.16</v>
      </c>
      <c r="D3" s="179" t="n">
        <f aca="false">'Valuation output'!C4</f>
        <v>0.0867089927414421</v>
      </c>
      <c r="E3" s="178" t="n">
        <f aca="false">B3*D3</f>
        <v>20933.7185726027</v>
      </c>
      <c r="F3" s="178" t="n">
        <f aca="false">'Valuation output'!C10</f>
        <v>0</v>
      </c>
      <c r="G3" s="178" t="n">
        <f aca="false">E3-H3</f>
        <v>4229.64518716013</v>
      </c>
      <c r="H3" s="178" t="n">
        <f aca="false">'Valuation output'!C7</f>
        <v>16704.0733854425</v>
      </c>
    </row>
    <row r="4" s="177" customFormat="true" ht="12" hidden="false" customHeight="false" outlineLevel="0" collapsed="false">
      <c r="A4" s="177" t="n">
        <v>2</v>
      </c>
      <c r="B4" s="178" t="n">
        <f aca="false">'Valuation output'!D3</f>
        <v>280053</v>
      </c>
      <c r="C4" s="179" t="n">
        <f aca="false">B4/B3-1</f>
        <v>0.16</v>
      </c>
      <c r="D4" s="179" t="n">
        <f aca="false">'Valuation output'!D4</f>
        <v>0.0962817445560816</v>
      </c>
      <c r="E4" s="178" t="n">
        <f aca="false">B4*D4</f>
        <v>26963.9914081643</v>
      </c>
      <c r="F4" s="178" t="n">
        <f aca="false">'Valuation output'!D10</f>
        <v>0</v>
      </c>
      <c r="G4" s="178" t="n">
        <f aca="false">E4-H4</f>
        <v>5448.0581694373</v>
      </c>
      <c r="H4" s="178" t="n">
        <f aca="false">'Valuation output'!D7</f>
        <v>21515.933238727</v>
      </c>
    </row>
    <row r="5" s="177" customFormat="true" ht="12" hidden="false" customHeight="false" outlineLevel="0" collapsed="false">
      <c r="A5" s="177" t="n">
        <v>3</v>
      </c>
      <c r="B5" s="178" t="n">
        <f aca="false">'Valuation output'!E3</f>
        <v>324861.48</v>
      </c>
      <c r="C5" s="179" t="n">
        <f aca="false">B5/B4-1</f>
        <v>0.16</v>
      </c>
      <c r="D5" s="179" t="n">
        <f aca="false">'Valuation output'!E4</f>
        <v>0.105854496370721</v>
      </c>
      <c r="E5" s="178" t="n">
        <f aca="false">B5*D5</f>
        <v>34388.0483556471</v>
      </c>
      <c r="F5" s="178" t="n">
        <f aca="false">'Valuation output'!E10</f>
        <v>0</v>
      </c>
      <c r="G5" s="178" t="n">
        <f aca="false">E5-H5</f>
        <v>6948.08438925186</v>
      </c>
      <c r="H5" s="178" t="n">
        <f aca="false">'Valuation output'!E7</f>
        <v>27439.9639663952</v>
      </c>
    </row>
    <row r="6" s="177" customFormat="true" ht="12" hidden="false" customHeight="false" outlineLevel="0" collapsed="false">
      <c r="A6" s="177" t="n">
        <v>4</v>
      </c>
      <c r="B6" s="178" t="n">
        <f aca="false">'Valuation output'!F3</f>
        <v>376839.3168</v>
      </c>
      <c r="C6" s="179" t="n">
        <f aca="false">B6/B5-1</f>
        <v>0.16</v>
      </c>
      <c r="D6" s="179" t="n">
        <f aca="false">'Valuation output'!F4</f>
        <v>0.115427248185361</v>
      </c>
      <c r="E6" s="178" t="n">
        <f aca="false">B6*D6</f>
        <v>43497.5253462753</v>
      </c>
      <c r="F6" s="178" t="n">
        <f aca="false">'Valuation output'!F10</f>
        <v>0</v>
      </c>
      <c r="G6" s="178" t="n">
        <f aca="false">E6-H6</f>
        <v>8788.6487102695</v>
      </c>
      <c r="H6" s="178" t="n">
        <f aca="false">'Valuation output'!F7</f>
        <v>34708.8766360058</v>
      </c>
    </row>
    <row r="7" s="177" customFormat="true" ht="12" hidden="false" customHeight="false" outlineLevel="0" collapsed="false">
      <c r="A7" s="177" t="n">
        <v>5</v>
      </c>
      <c r="B7" s="178" t="n">
        <f aca="false">'Valuation output'!G3</f>
        <v>437133.607488</v>
      </c>
      <c r="C7" s="179" t="n">
        <f aca="false">B7/B6-1</f>
        <v>0.16</v>
      </c>
      <c r="D7" s="179" t="n">
        <f aca="false">'Valuation output'!G4</f>
        <v>0.125</v>
      </c>
      <c r="E7" s="178" t="n">
        <f aca="false">B7*D7</f>
        <v>54641.700936</v>
      </c>
      <c r="F7" s="178" t="n">
        <f aca="false">'Valuation output'!G10</f>
        <v>0</v>
      </c>
      <c r="G7" s="178" t="n">
        <f aca="false">E7-H7</f>
        <v>11040.3226536479</v>
      </c>
      <c r="H7" s="178" t="n">
        <f aca="false">'Valuation output'!G7</f>
        <v>43601.3782823521</v>
      </c>
    </row>
    <row r="8" s="177" customFormat="true" ht="12" hidden="false" customHeight="false" outlineLevel="0" collapsed="false">
      <c r="A8" s="177" t="n">
        <v>6</v>
      </c>
      <c r="B8" s="178" t="n">
        <f aca="false">'Valuation output'!H3</f>
        <v>495709.510891392</v>
      </c>
      <c r="C8" s="179" t="n">
        <f aca="false">B8/B7-1</f>
        <v>0.134</v>
      </c>
      <c r="D8" s="179" t="n">
        <f aca="false">'Valuation output'!H4</f>
        <v>0.125</v>
      </c>
      <c r="E8" s="178" t="n">
        <f aca="false">B8*D8</f>
        <v>61963.688861424</v>
      </c>
      <c r="F8" s="178" t="n">
        <f aca="false">'Valuation output'!H10</f>
        <v>0</v>
      </c>
      <c r="G8" s="178" t="n">
        <f aca="false">E8-H8</f>
        <v>12990.0377767377</v>
      </c>
      <c r="H8" s="178" t="n">
        <f aca="false">'Valuation output'!H7</f>
        <v>48973.6510846862</v>
      </c>
    </row>
    <row r="9" s="177" customFormat="true" ht="12" hidden="false" customHeight="false" outlineLevel="0" collapsed="false">
      <c r="A9" s="177" t="n">
        <v>7</v>
      </c>
      <c r="B9" s="178" t="n">
        <f aca="false">'Valuation output'!I3</f>
        <v>549246.138067662</v>
      </c>
      <c r="C9" s="179" t="n">
        <f aca="false">B9/B8-1</f>
        <v>0.108</v>
      </c>
      <c r="D9" s="179" t="n">
        <f aca="false">'Valuation output'!I4</f>
        <v>0.125</v>
      </c>
      <c r="E9" s="178" t="n">
        <f aca="false">B9*D9</f>
        <v>68655.7672584578</v>
      </c>
      <c r="F9" s="178" t="n">
        <f aca="false">'Valuation output'!I10</f>
        <v>0</v>
      </c>
      <c r="G9" s="178" t="n">
        <f aca="false">E9-H9</f>
        <v>14914.0674279765</v>
      </c>
      <c r="H9" s="178" t="n">
        <f aca="false">'Valuation output'!I7</f>
        <v>53741.6998304812</v>
      </c>
    </row>
    <row r="10" s="177" customFormat="true" ht="12" hidden="false" customHeight="false" outlineLevel="0" collapsed="false">
      <c r="A10" s="177" t="n">
        <v>8</v>
      </c>
      <c r="B10" s="178" t="n">
        <f aca="false">'Valuation output'!J3</f>
        <v>594284.321389211</v>
      </c>
      <c r="C10" s="179" t="n">
        <f aca="false">B10/B9-1</f>
        <v>0.0820000000000001</v>
      </c>
      <c r="D10" s="179" t="n">
        <f aca="false">'Valuation output'!J4</f>
        <v>0.125</v>
      </c>
      <c r="E10" s="178" t="n">
        <f aca="false">B10*D10</f>
        <v>74285.5401736513</v>
      </c>
      <c r="F10" s="178" t="n">
        <f aca="false">'Valuation output'!J10</f>
        <v>0</v>
      </c>
      <c r="G10" s="178" t="n">
        <f aca="false">E10-H10</f>
        <v>16700.8571852725</v>
      </c>
      <c r="H10" s="178" t="n">
        <f aca="false">'Valuation output'!J7</f>
        <v>57584.6829883788</v>
      </c>
    </row>
    <row r="11" s="177" customFormat="true" ht="12" hidden="false" customHeight="false" outlineLevel="0" collapsed="false">
      <c r="A11" s="177" t="n">
        <v>9</v>
      </c>
      <c r="B11" s="178" t="n">
        <f aca="false">'Valuation output'!K3</f>
        <v>627564.243387007</v>
      </c>
      <c r="C11" s="179" t="n">
        <f aca="false">B11/B10-1</f>
        <v>0.0560000000000001</v>
      </c>
      <c r="D11" s="179" t="n">
        <f aca="false">'Valuation output'!K4</f>
        <v>0.125</v>
      </c>
      <c r="E11" s="178" t="n">
        <f aca="false">B11*D11</f>
        <v>78445.5304233758</v>
      </c>
      <c r="F11" s="178" t="n">
        <f aca="false">'Valuation output'!K10</f>
        <v>0</v>
      </c>
      <c r="G11" s="178" t="n">
        <f aca="false">E11-H11</f>
        <v>18231.516244629</v>
      </c>
      <c r="H11" s="178" t="n">
        <f aca="false">'Valuation output'!K7</f>
        <v>60214.0141787468</v>
      </c>
    </row>
    <row r="12" s="177" customFormat="true" ht="12" hidden="false" customHeight="false" outlineLevel="0" collapsed="false">
      <c r="A12" s="177" t="n">
        <v>10</v>
      </c>
      <c r="B12" s="178" t="n">
        <f aca="false">'Valuation output'!L3</f>
        <v>646391.170688617</v>
      </c>
      <c r="C12" s="179" t="n">
        <f aca="false">B12/B11-1</f>
        <v>0.03</v>
      </c>
      <c r="D12" s="179" t="n">
        <f aca="false">'Valuation output'!L4</f>
        <v>0.125</v>
      </c>
      <c r="E12" s="178" t="n">
        <f aca="false">B12*D12</f>
        <v>80798.8963360771</v>
      </c>
      <c r="F12" s="178" t="n">
        <f aca="false">'Valuation output'!L10</f>
        <v>0</v>
      </c>
      <c r="G12" s="178" t="n">
        <f aca="false">E12-H12</f>
        <v>19391.7351206585</v>
      </c>
      <c r="H12" s="178" t="n">
        <f aca="false">'Valuation output'!L7</f>
        <v>61407.1612154186</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16704.0733854425</v>
      </c>
      <c r="C16" s="178" t="n">
        <f aca="false">B3-B2</f>
        <v>33300</v>
      </c>
      <c r="D16" s="182" t="n">
        <f aca="false">'Valuation output'!C38</f>
        <v>5.94727818259751</v>
      </c>
      <c r="E16" s="178" t="n">
        <f aca="false">C16/D16</f>
        <v>5599.2</v>
      </c>
      <c r="F16" s="178" t="n">
        <f aca="false">B16-E16</f>
        <v>11104.8733854425</v>
      </c>
      <c r="G16" s="178" t="n">
        <f aca="false">G15+E16</f>
        <v>89641.898571092</v>
      </c>
      <c r="H16" s="181" t="n">
        <f aca="false">B16/G16</f>
        <v>0.186342253474195</v>
      </c>
    </row>
    <row r="17" s="177" customFormat="true" ht="12" hidden="false" customHeight="false" outlineLevel="0" collapsed="false">
      <c r="A17" s="177" t="n">
        <f aca="false">A4</f>
        <v>2</v>
      </c>
      <c r="B17" s="178" t="n">
        <f aca="false">H4</f>
        <v>21515.933238727</v>
      </c>
      <c r="C17" s="178" t="n">
        <f aca="false">B4-B3</f>
        <v>38628</v>
      </c>
      <c r="D17" s="182" t="n">
        <f aca="false">'Valuation output'!D38</f>
        <v>5.94727818259751</v>
      </c>
      <c r="E17" s="178" t="n">
        <f aca="false">C17/D17</f>
        <v>6495.072</v>
      </c>
      <c r="F17" s="178" t="n">
        <f aca="false">B17-E17</f>
        <v>15020.861238727</v>
      </c>
      <c r="G17" s="178" t="n">
        <f aca="false">G16+E17</f>
        <v>96136.970571092</v>
      </c>
      <c r="H17" s="181" t="n">
        <f aca="false">B17/G17</f>
        <v>0.223804984813998</v>
      </c>
    </row>
    <row r="18" s="177" customFormat="true" ht="12" hidden="false" customHeight="false" outlineLevel="0" collapsed="false">
      <c r="A18" s="177" t="n">
        <f aca="false">A5</f>
        <v>3</v>
      </c>
      <c r="B18" s="178" t="n">
        <f aca="false">H5</f>
        <v>27439.9639663952</v>
      </c>
      <c r="C18" s="178" t="n">
        <f aca="false">B5-B4</f>
        <v>44808.48</v>
      </c>
      <c r="D18" s="182" t="n">
        <f aca="false">'Valuation output'!E38</f>
        <v>5.94727818259751</v>
      </c>
      <c r="E18" s="178" t="n">
        <f aca="false">C18/D18</f>
        <v>7534.28352</v>
      </c>
      <c r="F18" s="178" t="n">
        <f aca="false">B18-E18</f>
        <v>19905.6804463952</v>
      </c>
      <c r="G18" s="178" t="n">
        <f aca="false">G17+E18</f>
        <v>103671.254091092</v>
      </c>
      <c r="H18" s="181" t="n">
        <f aca="false">B18/G18</f>
        <v>0.264682473526217</v>
      </c>
    </row>
    <row r="19" s="177" customFormat="true" ht="12" hidden="false" customHeight="false" outlineLevel="0" collapsed="false">
      <c r="A19" s="177" t="n">
        <f aca="false">A6</f>
        <v>4</v>
      </c>
      <c r="B19" s="178" t="n">
        <f aca="false">H6</f>
        <v>34708.8766360058</v>
      </c>
      <c r="C19" s="178" t="n">
        <f aca="false">B6-B5</f>
        <v>51977.8368</v>
      </c>
      <c r="D19" s="182" t="n">
        <f aca="false">'Valuation output'!F38</f>
        <v>5.94727818259751</v>
      </c>
      <c r="E19" s="178" t="n">
        <f aca="false">C19/D19</f>
        <v>8739.7688832</v>
      </c>
      <c r="F19" s="178" t="n">
        <f aca="false">B19-E19</f>
        <v>25969.1077528058</v>
      </c>
      <c r="G19" s="178" t="n">
        <f aca="false">G18+E19</f>
        <v>112411.022974292</v>
      </c>
      <c r="H19" s="181" t="n">
        <f aca="false">B19/G19</f>
        <v>0.308767554263282</v>
      </c>
    </row>
    <row r="20" s="177" customFormat="true" ht="12" hidden="false" customHeight="false" outlineLevel="0" collapsed="false">
      <c r="A20" s="177" t="n">
        <f aca="false">A7</f>
        <v>5</v>
      </c>
      <c r="B20" s="178" t="n">
        <f aca="false">H7</f>
        <v>43601.3782823521</v>
      </c>
      <c r="C20" s="178" t="n">
        <f aca="false">B7-B6</f>
        <v>60294.290688</v>
      </c>
      <c r="D20" s="182" t="n">
        <f aca="false">'Valuation output'!G38</f>
        <v>5.94727818259751</v>
      </c>
      <c r="E20" s="178" t="n">
        <f aca="false">C20/D20</f>
        <v>10138.131904512</v>
      </c>
      <c r="F20" s="178" t="n">
        <f aca="false">B20-E20</f>
        <v>33463.2463778401</v>
      </c>
      <c r="G20" s="178" t="n">
        <f aca="false">G19+E20</f>
        <v>122549.154878804</v>
      </c>
      <c r="H20" s="181" t="n">
        <f aca="false">B20/G20</f>
        <v>0.355786854062535</v>
      </c>
    </row>
    <row r="21" s="177" customFormat="true" ht="12" hidden="false" customHeight="false" outlineLevel="0" collapsed="false">
      <c r="A21" s="177" t="n">
        <f aca="false">A8</f>
        <v>6</v>
      </c>
      <c r="B21" s="178" t="n">
        <f aca="false">H8</f>
        <v>48973.6510846862</v>
      </c>
      <c r="C21" s="178" t="n">
        <f aca="false">B8-B7</f>
        <v>58575.9034033919</v>
      </c>
      <c r="D21" s="182" t="n">
        <f aca="false">'Valuation output'!H38</f>
        <v>5.94727818259751</v>
      </c>
      <c r="E21" s="178" t="n">
        <f aca="false">C21/D21</f>
        <v>9849.1951452334</v>
      </c>
      <c r="F21" s="178" t="n">
        <f aca="false">B21-E21</f>
        <v>39124.4559394528</v>
      </c>
      <c r="G21" s="178" t="n">
        <f aca="false">G20+E21</f>
        <v>132398.350024037</v>
      </c>
      <c r="H21" s="181" t="n">
        <f aca="false">B21/G21</f>
        <v>0.369896234173575</v>
      </c>
    </row>
    <row r="22" s="177" customFormat="true" ht="12" hidden="false" customHeight="false" outlineLevel="0" collapsed="false">
      <c r="A22" s="177" t="n">
        <f aca="false">A9</f>
        <v>7</v>
      </c>
      <c r="B22" s="178" t="n">
        <f aca="false">H9</f>
        <v>53741.6998304812</v>
      </c>
      <c r="C22" s="178" t="n">
        <f aca="false">B9-B8</f>
        <v>53536.6271762704</v>
      </c>
      <c r="D22" s="182" t="n">
        <f aca="false">'Valuation output'!I38</f>
        <v>5.94727818259751</v>
      </c>
      <c r="E22" s="178" t="n">
        <f aca="false">C22/D22</f>
        <v>9001.87035691812</v>
      </c>
      <c r="F22" s="178" t="n">
        <f aca="false">B22-E22</f>
        <v>44739.8294735631</v>
      </c>
      <c r="G22" s="178" t="n">
        <f aca="false">G21+E22</f>
        <v>141400.220380956</v>
      </c>
      <c r="H22" s="181" t="n">
        <f aca="false">B22/G22</f>
        <v>0.380068006157927</v>
      </c>
    </row>
    <row r="23" s="177" customFormat="true" ht="12" hidden="false" customHeight="false" outlineLevel="0" collapsed="false">
      <c r="A23" s="177" t="n">
        <f aca="false">A10</f>
        <v>8</v>
      </c>
      <c r="B23" s="178" t="n">
        <f aca="false">H10</f>
        <v>57584.6829883788</v>
      </c>
      <c r="C23" s="178" t="n">
        <f aca="false">B10-B9</f>
        <v>45038.1833215484</v>
      </c>
      <c r="D23" s="182" t="n">
        <f aca="false">'Valuation output'!J38</f>
        <v>5.94727818259751</v>
      </c>
      <c r="E23" s="178" t="n">
        <f aca="false">C23/D23</f>
        <v>7572.90678840882</v>
      </c>
      <c r="F23" s="178" t="n">
        <f aca="false">B23-E23</f>
        <v>50011.77619997</v>
      </c>
      <c r="G23" s="178" t="n">
        <f aca="false">G22+E23</f>
        <v>148973.127169364</v>
      </c>
      <c r="H23" s="181" t="n">
        <f aca="false">B23/G23</f>
        <v>0.386544097466062</v>
      </c>
    </row>
    <row r="24" s="177" customFormat="true" ht="12" hidden="false" customHeight="false" outlineLevel="0" collapsed="false">
      <c r="A24" s="177" t="n">
        <f aca="false">A11</f>
        <v>9</v>
      </c>
      <c r="B24" s="178" t="n">
        <f aca="false">H11</f>
        <v>60214.0141787468</v>
      </c>
      <c r="C24" s="178" t="n">
        <f aca="false">B11-B10</f>
        <v>33279.9219977958</v>
      </c>
      <c r="D24" s="182" t="n">
        <f aca="false">'Valuation output'!K38</f>
        <v>5.94727818259751</v>
      </c>
      <c r="E24" s="178" t="n">
        <f aca="false">C24/D24</f>
        <v>5595.82400150325</v>
      </c>
      <c r="F24" s="178" t="n">
        <f aca="false">B24-E24</f>
        <v>54618.1901772436</v>
      </c>
      <c r="G24" s="178" t="n">
        <f aca="false">G23+E24</f>
        <v>154568.951170868</v>
      </c>
      <c r="H24" s="181" t="n">
        <f aca="false">B24/G24</f>
        <v>0.389560864084427</v>
      </c>
    </row>
    <row r="25" s="177" customFormat="true" ht="12" hidden="false" customHeight="false" outlineLevel="0" collapsed="false">
      <c r="A25" s="177" t="n">
        <f aca="false">A12</f>
        <v>10</v>
      </c>
      <c r="B25" s="178" t="n">
        <f aca="false">H12</f>
        <v>61407.1612154186</v>
      </c>
      <c r="C25" s="178" t="n">
        <f aca="false">B12-B11</f>
        <v>18826.9273016102</v>
      </c>
      <c r="D25" s="182" t="n">
        <f aca="false">'Valuation output'!L38</f>
        <v>5.94727818259751</v>
      </c>
      <c r="E25" s="178" t="n">
        <f aca="false">C25/D25</f>
        <v>3165.63757799327</v>
      </c>
      <c r="F25" s="178" t="n">
        <f aca="false">B25-E25</f>
        <v>58241.5236374253</v>
      </c>
      <c r="G25" s="178" t="n">
        <f aca="false">G24+E25</f>
        <v>157734.588748861</v>
      </c>
      <c r="H25" s="181" t="n">
        <f aca="false">B25/G25</f>
        <v>0.389306883813472</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11104.8733854425</v>
      </c>
      <c r="F40" s="185" t="n">
        <f aca="false">D40/C40</f>
        <v>10285.1471570275</v>
      </c>
    </row>
    <row r="41" customFormat="false" ht="12" hidden="false" customHeight="false" outlineLevel="0" collapsed="false">
      <c r="A41" s="1" t="n">
        <f aca="false">A29</f>
        <v>2</v>
      </c>
      <c r="B41" s="175" t="n">
        <f aca="false">H29</f>
        <v>0.0797</v>
      </c>
      <c r="C41" s="184" t="n">
        <f aca="false">C40*(1+B41)</f>
        <v>1.16575209</v>
      </c>
      <c r="D41" s="185" t="n">
        <f aca="false">F17</f>
        <v>15020.861238727</v>
      </c>
      <c r="F41" s="185" t="n">
        <f aca="false">D41/C41</f>
        <v>12885.124862806</v>
      </c>
    </row>
    <row r="42" customFormat="false" ht="12" hidden="false" customHeight="false" outlineLevel="0" collapsed="false">
      <c r="A42" s="1" t="n">
        <f aca="false">A30</f>
        <v>3</v>
      </c>
      <c r="B42" s="175" t="n">
        <f aca="false">H30</f>
        <v>0.0797</v>
      </c>
      <c r="C42" s="184" t="n">
        <f aca="false">C41*(1+B42)</f>
        <v>1.258662531573</v>
      </c>
      <c r="D42" s="185" t="n">
        <f aca="false">F18</f>
        <v>19905.6804463952</v>
      </c>
      <c r="F42" s="185" t="n">
        <f aca="false">D42/C42</f>
        <v>15814.9463792477</v>
      </c>
    </row>
    <row r="43" customFormat="false" ht="12" hidden="false" customHeight="false" outlineLevel="0" collapsed="false">
      <c r="A43" s="1" t="n">
        <f aca="false">A31</f>
        <v>4</v>
      </c>
      <c r="B43" s="175" t="n">
        <f aca="false">H31</f>
        <v>0.0797</v>
      </c>
      <c r="C43" s="184" t="n">
        <f aca="false">C42*(1+B43)</f>
        <v>1.35897793533937</v>
      </c>
      <c r="D43" s="185" t="n">
        <f aca="false">F19</f>
        <v>25969.1077528058</v>
      </c>
      <c r="F43" s="185" t="n">
        <f aca="false">D43/C43</f>
        <v>19109.2931514894</v>
      </c>
    </row>
    <row r="44" customFormat="false" ht="12" hidden="false" customHeight="false" outlineLevel="0" collapsed="false">
      <c r="A44" s="1" t="n">
        <f aca="false">A32</f>
        <v>5</v>
      </c>
      <c r="B44" s="175" t="n">
        <f aca="false">H32</f>
        <v>0.0797</v>
      </c>
      <c r="C44" s="184" t="n">
        <f aca="false">C43*(1+B44)</f>
        <v>1.46728847678592</v>
      </c>
      <c r="D44" s="185" t="n">
        <f aca="false">F20</f>
        <v>33463.2463778401</v>
      </c>
      <c r="F44" s="185" t="n">
        <f aca="false">D44/C44</f>
        <v>22806.1808616811</v>
      </c>
    </row>
    <row r="45" customFormat="false" ht="12" hidden="false" customHeight="false" outlineLevel="0" collapsed="false">
      <c r="A45" s="1" t="n">
        <f aca="false">A33</f>
        <v>6</v>
      </c>
      <c r="B45" s="175" t="n">
        <f aca="false">H33</f>
        <v>0.07876</v>
      </c>
      <c r="C45" s="184" t="n">
        <f aca="false">C44*(1+B45)</f>
        <v>1.58285211721757</v>
      </c>
      <c r="D45" s="185" t="n">
        <f aca="false">F21</f>
        <v>39124.4559394528</v>
      </c>
      <c r="F45" s="185" t="n">
        <f aca="false">D45/C45</f>
        <v>24717.6950479922</v>
      </c>
    </row>
    <row r="46" customFormat="false" ht="12" hidden="false" customHeight="false" outlineLevel="0" collapsed="false">
      <c r="A46" s="1" t="n">
        <f aca="false">A34</f>
        <v>7</v>
      </c>
      <c r="B46" s="175" t="n">
        <f aca="false">H34</f>
        <v>0.07782</v>
      </c>
      <c r="C46" s="184" t="n">
        <f aca="false">C45*(1+B46)</f>
        <v>1.70602966897945</v>
      </c>
      <c r="D46" s="185" t="n">
        <f aca="false">F22</f>
        <v>44739.8294735631</v>
      </c>
      <c r="F46" s="185" t="n">
        <f aca="false">D46/C46</f>
        <v>26224.5318982798</v>
      </c>
    </row>
    <row r="47" customFormat="false" ht="12" hidden="false" customHeight="false" outlineLevel="0" collapsed="false">
      <c r="A47" s="1" t="n">
        <f aca="false">A35</f>
        <v>8</v>
      </c>
      <c r="B47" s="175" t="n">
        <f aca="false">H35</f>
        <v>0.07688</v>
      </c>
      <c r="C47" s="184" t="n">
        <f aca="false">C46*(1+B47)</f>
        <v>1.83718922993059</v>
      </c>
      <c r="D47" s="185" t="n">
        <f aca="false">F23</f>
        <v>50011.77619997</v>
      </c>
      <c r="F47" s="185" t="n">
        <f aca="false">D47/C47</f>
        <v>27221.897116096</v>
      </c>
    </row>
    <row r="48" customFormat="false" ht="12" hidden="false" customHeight="false" outlineLevel="0" collapsed="false">
      <c r="A48" s="1" t="n">
        <f aca="false">A36</f>
        <v>9</v>
      </c>
      <c r="B48" s="175" t="n">
        <f aca="false">H36</f>
        <v>0.07594</v>
      </c>
      <c r="C48" s="184" t="n">
        <f aca="false">C47*(1+B48)</f>
        <v>1.97670538005151</v>
      </c>
      <c r="D48" s="185" t="n">
        <f aca="false">F24</f>
        <v>54618.1901772436</v>
      </c>
      <c r="F48" s="185" t="n">
        <f aca="false">D48/C48</f>
        <v>27630.9209902693</v>
      </c>
    </row>
    <row r="49" customFormat="false" ht="12" hidden="false" customHeight="false" outlineLevel="0" collapsed="false">
      <c r="A49" s="1" t="n">
        <f aca="false">A37</f>
        <v>10</v>
      </c>
      <c r="B49" s="175" t="n">
        <f aca="false">H37</f>
        <v>0.075</v>
      </c>
      <c r="C49" s="184" t="n">
        <f aca="false">C48*(1+B49)</f>
        <v>2.12495828355538</v>
      </c>
      <c r="D49" s="185" t="n">
        <f aca="false">F25</f>
        <v>58241.5236374253</v>
      </c>
      <c r="E49" s="185" t="n">
        <f aca="false">'Valuation output'!B18</f>
        <v>983879.183029262</v>
      </c>
      <c r="F49" s="185" t="n">
        <f aca="false">(D49+E49)/C49</f>
        <v>490419.371867885</v>
      </c>
    </row>
    <row r="50" customFormat="false" ht="12" hidden="false" customHeight="false" outlineLevel="0" collapsed="false">
      <c r="A50" s="1" t="s">
        <v>144</v>
      </c>
      <c r="F50" s="185" t="n">
        <f aca="false">SUM(F40:F49)</f>
        <v>677115.109332774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157734.588748861</v>
      </c>
    </row>
    <row r="4" s="215" customFormat="true" ht="15.75" hidden="false" customHeight="false" outlineLevel="0" collapsed="false">
      <c r="A4" s="214" t="s">
        <v>251</v>
      </c>
      <c r="B4" s="216" t="n">
        <f aca="false">B3-B2</f>
        <v>73691.8901777688</v>
      </c>
    </row>
    <row r="5" s="215" customFormat="true" ht="15.75" hidden="false" customHeight="false" outlineLevel="0" collapsed="false">
      <c r="A5" s="214" t="s">
        <v>252</v>
      </c>
      <c r="B5" s="216" t="n">
        <f aca="false">'Valuation output'!L5-'Valuation output'!B5</f>
        <v>64744.9161931863</v>
      </c>
    </row>
    <row r="6" s="215" customFormat="true" ht="15.75" hidden="false" customHeight="false" outlineLevel="0" collapsed="false">
      <c r="A6" s="214" t="s">
        <v>253</v>
      </c>
      <c r="B6" s="217" t="n">
        <f aca="false">B5/B4</f>
        <v>0.878589435513195</v>
      </c>
    </row>
    <row r="7" s="215" customFormat="true" ht="15.75" hidden="false" customHeight="false" outlineLevel="0" collapsed="false">
      <c r="A7" s="214" t="s">
        <v>254</v>
      </c>
      <c r="B7" s="217" t="n">
        <f aca="false">'Valuation output'!L40</f>
        <v>0.389306883813472</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0.672733236538169</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0.16</v>
      </c>
      <c r="D2" s="81" t="n">
        <f aca="false">C2</f>
        <v>0.16</v>
      </c>
      <c r="E2" s="81" t="n">
        <f aca="false">D2</f>
        <v>0.16</v>
      </c>
      <c r="F2" s="81" t="n">
        <f aca="false">E2</f>
        <v>0.16</v>
      </c>
      <c r="G2" s="81" t="n">
        <f aca="false">F2</f>
        <v>0.16</v>
      </c>
      <c r="H2" s="81" t="n">
        <f aca="false">G2-((G2-$M$2)/5)</f>
        <v>0.134</v>
      </c>
      <c r="I2" s="81" t="n">
        <f aca="false">G2-((G2-$M$2)/5)*2</f>
        <v>0.108</v>
      </c>
      <c r="J2" s="81" t="n">
        <f aca="false">G2-((G2-$M$2)/5)*3</f>
        <v>0.082</v>
      </c>
      <c r="K2" s="81" t="n">
        <f aca="false">G2-((G2-$M$2)/5)*4</f>
        <v>0.056</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241425</v>
      </c>
      <c r="D3" s="84" t="n">
        <f aca="false">C3*(1+D2)</f>
        <v>280053</v>
      </c>
      <c r="E3" s="84" t="n">
        <f aca="false">D3*(1+E2)</f>
        <v>324861.48</v>
      </c>
      <c r="F3" s="84" t="n">
        <f aca="false">E3*(1+F2)</f>
        <v>376839.3168</v>
      </c>
      <c r="G3" s="84" t="n">
        <f aca="false">F3*(1+G2)</f>
        <v>437133.607488</v>
      </c>
      <c r="H3" s="84" t="n">
        <f aca="false">G3*(1+H2)</f>
        <v>495709.510891392</v>
      </c>
      <c r="I3" s="84" t="n">
        <f aca="false">H3*(1+I2)</f>
        <v>549246.138067662</v>
      </c>
      <c r="J3" s="84" t="n">
        <f aca="false">I3*(1+J2)</f>
        <v>594284.321389211</v>
      </c>
      <c r="K3" s="84" t="n">
        <f aca="false">J3*(1+K2)</f>
        <v>627564.243387007</v>
      </c>
      <c r="L3" s="84" t="n">
        <f aca="false">K3*(1+L2)</f>
        <v>646391.170688617</v>
      </c>
      <c r="M3" s="85" t="n">
        <f aca="false">L3*(1+M2)</f>
        <v>665782.905809275</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19968.0185726027</v>
      </c>
      <c r="D5" s="84" t="n">
        <f aca="false">D4*D3</f>
        <v>24723.5674081643</v>
      </c>
      <c r="E5" s="84" t="n">
        <f aca="false">E4*E3</f>
        <v>30489.7105956471</v>
      </c>
      <c r="F5" s="84" t="n">
        <f aca="false">F4*F3</f>
        <v>37468.0962774753</v>
      </c>
      <c r="G5" s="84" t="n">
        <f aca="false">G4*G3</f>
        <v>45899.02878624</v>
      </c>
      <c r="H5" s="84" t="n">
        <f aca="false">H4*H3</f>
        <v>52049.4986435961</v>
      </c>
      <c r="I5" s="84" t="n">
        <f aca="false">I4*I3</f>
        <v>57670.8444971045</v>
      </c>
      <c r="J5" s="84" t="n">
        <f aca="false">J4*J3</f>
        <v>62399.8537458671</v>
      </c>
      <c r="K5" s="84" t="n">
        <f aca="false">K4*K3</f>
        <v>65894.2455556357</v>
      </c>
      <c r="L5" s="84" t="n">
        <f aca="false">L4*L3</f>
        <v>67871.0729223048</v>
      </c>
      <c r="M5" s="85" t="n">
        <f aca="false">M4*M3</f>
        <v>69907.2051099739</v>
      </c>
      <c r="N5" s="87" t="n">
        <f aca="false">M5-B5</f>
        <v>53853.2249670831</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15933.4924868613</v>
      </c>
      <c r="D7" s="84" t="n">
        <f aca="false">IF(D5&gt;0,IF(D5&lt;C10,D5,D5-(D5-C10)*D6),D5)</f>
        <v>19728.1855540187</v>
      </c>
      <c r="E7" s="84" t="n">
        <f aca="false">IF(E5&gt;0,IF(E5&lt;D10,E5,E5-(E5-D10)*E6),E5)</f>
        <v>24329.2829950027</v>
      </c>
      <c r="F7" s="84" t="n">
        <f aca="false">IF(F5&gt;0,IF(F5&lt;E10,F5,F5-(F5-E10)*F6),F5)</f>
        <v>29897.6900669187</v>
      </c>
      <c r="G7" s="84" t="n">
        <f aca="false">IF(G5&gt;0,IF(G5&lt;F10,G5,G5-(G5-F10)*G6),G5)</f>
        <v>36625.1577571757</v>
      </c>
      <c r="H7" s="84" t="n">
        <f aca="false">IF(H5&gt;0,IF(H5&lt;G10,H5,H5-(H5-G10)*H6),H5)</f>
        <v>41137.8669111364</v>
      </c>
      <c r="I7" s="84" t="n">
        <f aca="false">IF(I5&gt;0,IF(I5&lt;H10,I5,I5-(I5-H10)*I6),I5)</f>
        <v>45143.0278576043</v>
      </c>
      <c r="J7" s="84" t="n">
        <f aca="false">IF(J5&gt;0,IF(J5&lt;I10,J5,J5-(J5-I10)*J6),J5)</f>
        <v>48371.1337102382</v>
      </c>
      <c r="K7" s="84" t="n">
        <f aca="false">IF(K5&gt;0,IF(K5&lt;J10,K5,K5-(K5-J10)*K6),K5)</f>
        <v>50579.7719101473</v>
      </c>
      <c r="L7" s="84" t="n">
        <f aca="false">IF(L5&gt;0,IF(L5&lt;K10,L5,L5-(L5-K10)*L6),L5)</f>
        <v>51582.0154209516</v>
      </c>
      <c r="M7" s="84" t="n">
        <f aca="false">M5*(1-M6)</f>
        <v>53129.4758835802</v>
      </c>
    </row>
    <row r="8" customFormat="false" ht="15" hidden="false" customHeight="true" outlineLevel="0" collapsed="false">
      <c r="A8" s="79" t="s">
        <v>130</v>
      </c>
      <c r="B8" s="83"/>
      <c r="C8" s="84" t="n">
        <f aca="false">(C3-B3)/C38</f>
        <v>5599.2</v>
      </c>
      <c r="D8" s="84" t="n">
        <f aca="false">(D3-C3)/D38</f>
        <v>6495.072</v>
      </c>
      <c r="E8" s="84" t="n">
        <f aca="false">(E3-D3)/E38</f>
        <v>7534.28352</v>
      </c>
      <c r="F8" s="84" t="n">
        <f aca="false">(F3-E3)/F38</f>
        <v>8739.7688832</v>
      </c>
      <c r="G8" s="84" t="n">
        <f aca="false">(G3-F3)/G38</f>
        <v>10138.131904512</v>
      </c>
      <c r="H8" s="84" t="n">
        <f aca="false">(H3-G3)/H38</f>
        <v>9849.1951452334</v>
      </c>
      <c r="I8" s="84" t="n">
        <f aca="false">(I3-H3)/I38</f>
        <v>9001.87035691812</v>
      </c>
      <c r="J8" s="84" t="n">
        <f aca="false">(J3-I3)/J38</f>
        <v>7572.90678840882</v>
      </c>
      <c r="K8" s="84" t="n">
        <f aca="false">(K3-J3)/K38</f>
        <v>5595.82400150325</v>
      </c>
      <c r="L8" s="84" t="n">
        <f aca="false">(L3-K3)/L38</f>
        <v>3165.63757799327</v>
      </c>
      <c r="M8" s="90" t="n">
        <f aca="false">IF(M2&gt;0,(M2/M40)*M7,0)</f>
        <v>15938.842765074</v>
      </c>
      <c r="N8" s="87" t="n">
        <f aca="false">SUM(C8:M8)</f>
        <v>89630.7329428429</v>
      </c>
    </row>
    <row r="9" customFormat="false" ht="15" hidden="false" customHeight="true" outlineLevel="0" collapsed="false">
      <c r="A9" s="79" t="s">
        <v>131</v>
      </c>
      <c r="B9" s="83"/>
      <c r="C9" s="84" t="n">
        <f aca="false">C7-C8</f>
        <v>10334.2924868613</v>
      </c>
      <c r="D9" s="84" t="n">
        <f aca="false">D7-D8</f>
        <v>13233.1135540187</v>
      </c>
      <c r="E9" s="84" t="n">
        <f aca="false">E7-E8</f>
        <v>16794.9994750027</v>
      </c>
      <c r="F9" s="84" t="n">
        <f aca="false">F7-F8</f>
        <v>21157.9211837187</v>
      </c>
      <c r="G9" s="84" t="n">
        <f aca="false">G7-G8</f>
        <v>26487.0258526637</v>
      </c>
      <c r="H9" s="84" t="n">
        <f aca="false">H7-H8</f>
        <v>31288.671765903</v>
      </c>
      <c r="I9" s="84" t="n">
        <f aca="false">I7-I8</f>
        <v>36141.1575006861</v>
      </c>
      <c r="J9" s="84" t="n">
        <f aca="false">J7-J8</f>
        <v>40798.2269218294</v>
      </c>
      <c r="K9" s="84" t="n">
        <f aca="false">K7-K8</f>
        <v>44983.9479086441</v>
      </c>
      <c r="L9" s="84" t="n">
        <f aca="false">L7-L8</f>
        <v>48416.3778429583</v>
      </c>
      <c r="M9" s="90" t="n">
        <f aca="false">M7-M8</f>
        <v>37190.6331185061</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9571.4480752629</v>
      </c>
      <c r="D14" s="84" t="n">
        <f aca="false">D9*D13</f>
        <v>11351.5675138259</v>
      </c>
      <c r="E14" s="84" t="n">
        <f aca="false">E9*E13</f>
        <v>13343.5285898384</v>
      </c>
      <c r="F14" s="84" t="n">
        <f aca="false">F9*F13</f>
        <v>15568.995370359</v>
      </c>
      <c r="G14" s="84" t="n">
        <f aca="false">G9*G13</f>
        <v>18051.6825911994</v>
      </c>
      <c r="H14" s="84" t="n">
        <f aca="false">H9*H13</f>
        <v>19767.2741663978</v>
      </c>
      <c r="I14" s="84" t="n">
        <f aca="false">I9*I13</f>
        <v>21184.3663435853</v>
      </c>
      <c r="J14" s="84" t="n">
        <f aca="false">J9*J13</f>
        <v>22206.8724642866</v>
      </c>
      <c r="K14" s="84" t="n">
        <f aca="false">K9*K13</f>
        <v>22757.0321620068</v>
      </c>
      <c r="L14" s="84" t="n">
        <f aca="false">L9*L13</f>
        <v>22784.6250995339</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37190.6331185061</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826458.51374458</v>
      </c>
      <c r="C18" s="93"/>
      <c r="D18" s="95"/>
      <c r="E18" s="93"/>
      <c r="F18" s="93"/>
      <c r="G18" s="93"/>
      <c r="H18" s="93"/>
      <c r="I18" s="93"/>
      <c r="J18" s="93"/>
      <c r="K18" s="93"/>
      <c r="L18" s="93"/>
    </row>
    <row r="19" customFormat="false" ht="15.75" hidden="false" customHeight="false" outlineLevel="0" collapsed="false">
      <c r="A19" s="94" t="s">
        <v>139</v>
      </c>
      <c r="B19" s="96" t="n">
        <f aca="false">B18*L13</f>
        <v>388929.288701983</v>
      </c>
      <c r="C19" s="93"/>
      <c r="D19" s="93"/>
      <c r="E19" s="93"/>
      <c r="F19" s="93"/>
      <c r="G19" s="93"/>
      <c r="H19" s="93"/>
      <c r="I19" s="93"/>
      <c r="J19" s="93"/>
      <c r="K19" s="93"/>
      <c r="L19" s="93"/>
    </row>
    <row r="20" customFormat="false" ht="15.75" hidden="false" customHeight="false" outlineLevel="0" collapsed="false">
      <c r="A20" s="94" t="s">
        <v>140</v>
      </c>
      <c r="B20" s="96" t="n">
        <f aca="false">SUM(C14:L14)</f>
        <v>176587.392376296</v>
      </c>
      <c r="C20" s="93"/>
      <c r="D20" s="93"/>
      <c r="E20" s="93"/>
      <c r="F20" s="93"/>
      <c r="G20" s="93"/>
      <c r="H20" s="93"/>
      <c r="I20" s="93"/>
      <c r="J20" s="93"/>
      <c r="K20" s="93"/>
      <c r="L20" s="93"/>
    </row>
    <row r="21" customFormat="false" ht="15.75" hidden="false" customHeight="false" outlineLevel="0" collapsed="false">
      <c r="A21" s="94" t="s">
        <v>141</v>
      </c>
      <c r="B21" s="96" t="n">
        <f aca="false">B19+B20</f>
        <v>565516.681078279</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282758.34053914</v>
      </c>
      <c r="C23" s="93"/>
      <c r="D23" s="93"/>
      <c r="E23" s="93"/>
      <c r="F23" s="93"/>
      <c r="G23" s="93"/>
      <c r="H23" s="93"/>
      <c r="I23" s="93"/>
      <c r="J23" s="93"/>
      <c r="K23" s="93"/>
      <c r="L23" s="93"/>
    </row>
    <row r="24" customFormat="false" ht="15.75" hidden="false" customHeight="false" outlineLevel="0" collapsed="false">
      <c r="A24" s="94" t="s">
        <v>144</v>
      </c>
      <c r="B24" s="83" t="n">
        <f aca="false">B21*(1-B22)+B23*B22</f>
        <v>565516.681078279</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547131.482507187</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547131.482507187</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1100.86817405873</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1.78966932319991</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89641.898571092</v>
      </c>
      <c r="D39" s="105" t="n">
        <f aca="false">C39+D8</f>
        <v>96136.970571092</v>
      </c>
      <c r="E39" s="105" t="n">
        <f aca="false">D39+E8</f>
        <v>103671.254091092</v>
      </c>
      <c r="F39" s="105" t="n">
        <f aca="false">E39+F8</f>
        <v>112411.022974292</v>
      </c>
      <c r="G39" s="105" t="n">
        <f aca="false">F39+G8</f>
        <v>122549.154878804</v>
      </c>
      <c r="H39" s="105" t="n">
        <f aca="false">G39+H8</f>
        <v>132398.350024037</v>
      </c>
      <c r="I39" s="105" t="n">
        <f aca="false">H39+I8</f>
        <v>141400.220380956</v>
      </c>
      <c r="J39" s="105" t="n">
        <f aca="false">I39+J8</f>
        <v>148973.127169364</v>
      </c>
      <c r="K39" s="105" t="n">
        <f aca="false">J39+K8</f>
        <v>154568.951170868</v>
      </c>
      <c r="L39" s="105" t="n">
        <f aca="false">K39+L8</f>
        <v>157734.588748861</v>
      </c>
      <c r="M39" s="91"/>
    </row>
    <row r="40" customFormat="false" ht="15.75" hidden="false" customHeight="false" outlineLevel="0" collapsed="false">
      <c r="A40" s="94" t="s">
        <v>160</v>
      </c>
      <c r="B40" s="86" t="n">
        <f aca="false">B7/B39</f>
        <v>0.152425890343679</v>
      </c>
      <c r="C40" s="81" t="n">
        <f aca="false">C7/C39</f>
        <v>0.177746039975102</v>
      </c>
      <c r="D40" s="81" t="n">
        <f aca="false">D7/D39</f>
        <v>0.205209145210478</v>
      </c>
      <c r="E40" s="81" t="n">
        <f aca="false">E7/E39</f>
        <v>0.234677232452744</v>
      </c>
      <c r="F40" s="81" t="n">
        <f aca="false">F7/F39</f>
        <v>0.265967600648525</v>
      </c>
      <c r="G40" s="81" t="n">
        <f aca="false">G7/G39</f>
        <v>0.29886095741253</v>
      </c>
      <c r="H40" s="81" t="n">
        <f aca="false">H7/H39</f>
        <v>0.310712836705803</v>
      </c>
      <c r="I40" s="81" t="n">
        <f aca="false">I7/I39</f>
        <v>0.319257125172659</v>
      </c>
      <c r="J40" s="81" t="n">
        <f aca="false">J7/J39</f>
        <v>0.324697041871492</v>
      </c>
      <c r="K40" s="81" t="n">
        <f aca="false">K7/K39</f>
        <v>0.327231125830919</v>
      </c>
      <c r="L40" s="106" t="n">
        <f aca="false">L7/L39</f>
        <v>0.327017782403317</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658729.910761682</v>
      </c>
    </row>
    <row r="4" customFormat="false" ht="12.8" hidden="false" customHeight="false" outlineLevel="0" collapsed="false">
      <c r="A4" s="1" t="s">
        <v>798</v>
      </c>
      <c r="B4" s="185" t="n">
        <f aca="false">'Review valuation'!B31</f>
        <v>547131.482507187</v>
      </c>
    </row>
    <row r="5" customFormat="false" ht="12.8" hidden="false" customHeight="false" outlineLevel="0" collapsed="false">
      <c r="A5" s="1" t="s">
        <v>799</v>
      </c>
      <c r="B5" s="1" t="n">
        <f aca="false">B4-B3</f>
        <v>-111598.428254495</v>
      </c>
    </row>
    <row r="7" customFormat="false" ht="12.8" hidden="false" customHeight="false" outlineLevel="0" collapsed="false">
      <c r="A7" s="1" t="s">
        <v>800</v>
      </c>
      <c r="B7" s="185" t="n">
        <f aca="false">'Valuation output'!B33</f>
        <v>1325.41229529514</v>
      </c>
    </row>
    <row r="8" customFormat="false" ht="12.8" hidden="false" customHeight="false" outlineLevel="0" collapsed="false">
      <c r="A8" s="1" t="s">
        <v>801</v>
      </c>
      <c r="B8" s="185" t="n">
        <f aca="false">'Review valuation'!B33</f>
        <v>1100.86817405873</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