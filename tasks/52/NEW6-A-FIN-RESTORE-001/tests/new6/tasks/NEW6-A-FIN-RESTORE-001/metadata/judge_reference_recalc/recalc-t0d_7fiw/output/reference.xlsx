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<sst xmlns="http://schemas.openxmlformats.org/spreadsheetml/2006/main" count="1495" uniqueCount="803">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</sst>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78266.7448693597</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0.381789273387748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20753.2554814595</v>
      </c>
      <c r="D5" s="84" t="n">
        <f aca="false">D4*D3</f>
        <v>26501.0988683838</v>
      </c>
      <c r="E5" s="84" t="n">
        <f aca="false">E4*E3</f>
        <v>33506.3470230526</v>
      </c>
      <c r="F5" s="84" t="n">
        <f aca="false">F4*F3</f>
        <v>42016.8948995834</v>
      </c>
      <c r="G5" s="84" t="n">
        <f aca="false">G4*G3</f>
        <v>52326.7143310547</v>
      </c>
      <c r="H5" s="84" t="n">
        <f aca="false">H4*H3</f>
        <v>58919.8803367675</v>
      </c>
      <c r="I5" s="84" t="n">
        <f aca="false">I4*I3</f>
        <v>64929.7081311178</v>
      </c>
      <c r="J5" s="84" t="n">
        <f aca="false">J4*J3</f>
        <v>69994.225365345</v>
      </c>
      <c r="K5" s="84" t="n">
        <f aca="false">K4*K3</f>
        <v>73773.9135350737</v>
      </c>
      <c r="L5" s="84" t="n">
        <f aca="false">L4*L3</f>
        <v>75987.1309411259</v>
      </c>
      <c r="M5" s="85" t="n">
        <f aca="false">M4*M3</f>
        <v>78266.7448693597</v>
      </c>
      <c r="N5" s="87" t="n">
        <f aca="false">M5-B5</f>
        <v>62212.7647264689</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16560.0727528094</v>
      </c>
      <c r="D7" s="84" t="n">
        <f aca="false">IF(D5&gt;0,IF(D5&lt;C10,D5,D5-(D5-C10)*D6),D5)</f>
        <v>21146.5678568791</v>
      </c>
      <c r="E7" s="84" t="n">
        <f aca="false">IF(E5&gt;0,IF(E5&lt;D10,E5,E5-(E5-D10)*E6),E5)</f>
        <v>26736.4098552314</v>
      </c>
      <c r="F7" s="84" t="n">
        <f aca="false">IF(F5&gt;0,IF(F5&lt;E10,F5,F5-(F5-E10)*F6),F5)</f>
        <v>33527.4066763097</v>
      </c>
      <c r="G7" s="84" t="n">
        <f aca="false">IF(G5&gt;0,IF(G5&lt;F10,G5,G5-(G5-F10)*G6),G5)</f>
        <v>41754.1333219687</v>
      </c>
      <c r="H7" s="84" t="n">
        <f aca="false">IF(H5&gt;0,IF(H5&lt;G10,H5,H5-(H5-G10)*H6),H5)</f>
        <v>46567.9451076181</v>
      </c>
      <c r="I7" s="84" t="n">
        <f aca="false">IF(I5&gt;0,IF(I5&lt;H10,I5,I5-(I5-H10)*I6),I5)</f>
        <v>50825.0511763588</v>
      </c>
      <c r="J7" s="84" t="n">
        <f aca="false">IF(J5&gt;0,IF(J5&lt;I10,J5,J5-(J5-I10)*J6),J5)</f>
        <v>54258.1405379639</v>
      </c>
      <c r="K7" s="84" t="n">
        <f aca="false">IF(K5&gt;0,IF(K5&lt;J10,K5,K5-(K5-J10)*K6),K5)</f>
        <v>56628.127206835</v>
      </c>
      <c r="L7" s="84" t="n">
        <f aca="false">IF(L5&gt;0,IF(L5&lt;K10,L5,L5-(L5-K10)*L6),L5)</f>
        <v>57750.2195152557</v>
      </c>
      <c r="M7" s="84" t="n">
        <f aca="false">M5*(1-M6)</f>
        <v>59482.7261007133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17844.817830214</v>
      </c>
      <c r="N8" s="87" t="n">
        <f aca="false">SUM(C8:M8)</f>
        <v>85064.146614731</v>
      </c>
    </row>
    <row r="9" customFormat="false" ht="15" hidden="false" customHeight="true" outlineLevel="0" collapsed="false">
      <c r="A9" s="79" t="s">
        <v>131</v>
      </c>
      <c r="B9" s="83"/>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10475.8940009349</v>
      </c>
      <c r="D14" s="84" t="n">
        <f aca="false">D9*D13</f>
        <v>12961.5297167334</v>
      </c>
      <c r="E14" s="84" t="n">
        <f aca="false">E9*E13</f>
        <v>15726.4367800746</v>
      </c>
      <c r="F14" s="84" t="n">
        <f aca="false">F9*F13</f>
        <v>18796.444679715</v>
      </c>
      <c r="G14" s="84" t="n">
        <f aca="false">G9*G13</f>
        <v>22199.5625124158</v>
      </c>
      <c r="H14" s="84" t="n">
        <f aca="false">H9*H13</f>
        <v>23817.2136586208</v>
      </c>
      <c r="I14" s="84" t="n">
        <f aca="false">I9*I13</f>
        <v>25052.8540892544</v>
      </c>
      <c r="J14" s="84" t="n">
        <f aca="false">J9*J13</f>
        <v>25825.0965323465</v>
      </c>
      <c r="K14" s="84" t="n">
        <f aca="false">K9*K13</f>
        <v>26075.6449937145</v>
      </c>
      <c r="L14" s="84" t="n">
        <f aca="false">L9*L13</f>
        <v>25776.0839668096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41637.9082704993</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925286.850455541</v>
      </c>
      <c r="C18" s="93"/>
      <c r="D18" s="95"/>
      <c r="E18" s="93"/>
      <c r="F18" s="93"/>
      <c r="G18" s="93"/>
      <c r="H18" s="93"/>
      <c r="I18" s="93"/>
      <c r="J18" s="93"/>
      <c r="K18" s="93"/>
      <c r="L18" s="93"/>
    </row>
    <row r="19" customFormat="false" ht="15.75" hidden="false" customHeight="false" outlineLevel="0" collapsed="false">
      <c r="A19" s="94" t="s">
        <v>139</v>
      </c>
      <c r="B19" s="96" t="n">
        <f aca="false">B18*L13</f>
        <v>435437.654290039</v>
      </c>
      <c r="C19" s="93"/>
      <c r="D19" s="93"/>
      <c r="E19" s="93"/>
      <c r="F19" s="93"/>
      <c r="G19" s="93"/>
      <c r="H19" s="93"/>
      <c r="I19" s="93"/>
      <c r="J19" s="93"/>
      <c r="K19" s="93"/>
      <c r="L19" s="93"/>
    </row>
    <row r="20" customFormat="false" ht="15.75" hidden="false" customHeight="false" outlineLevel="0" collapsed="false">
      <c r="A20" s="94" t="s">
        <v>140</v>
      </c>
      <c r="B20" s="96" t="n">
        <f aca="false">SUM(C14:L14)</f>
        <v>206706.76093062</v>
      </c>
      <c r="C20" s="93"/>
      <c r="D20" s="93"/>
      <c r="E20" s="93"/>
      <c r="F20" s="93"/>
      <c r="G20" s="93"/>
      <c r="H20" s="93"/>
      <c r="I20" s="93"/>
      <c r="J20" s="93"/>
      <c r="K20" s="93"/>
      <c r="L20" s="93"/>
    </row>
    <row r="21" customFormat="false" ht="15.75" hidden="false" customHeight="false" outlineLevel="0" collapsed="false">
      <c r="A21" s="94" t="s">
        <v>141</v>
      </c>
      <c r="B21" s="96" t="n">
        <f aca="false">B19+B20</f>
        <v>642144.415220659</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321072.207610329</v>
      </c>
      <c r="C23" s="93"/>
      <c r="D23" s="93"/>
      <c r="E23" s="93"/>
      <c r="F23" s="93"/>
      <c r="G23" s="93"/>
      <c r="H23" s="93"/>
      <c r="I23" s="93"/>
      <c r="J23" s="93"/>
      <c r="K23" s="93"/>
      <c r="L23" s="93"/>
    </row>
    <row r="24" customFormat="false" ht="15.75" hidden="false" customHeight="false" outlineLevel="0" collapsed="false">
      <c r="A24" s="94" t="s">
        <v>144</v>
      </c>
      <c r="B24" s="83" t="n">
        <f aca="false">B21*(1-B22)+B23*B22</f>
        <v>642144.415220659</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623759.216649567</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623759.216649567</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1255.04872565305</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1.56981156167848</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0.185459865282531</v>
      </c>
      <c r="D40" s="81" t="n">
        <f aca="false">D7/D39</f>
        <v>0.2218281916099</v>
      </c>
      <c r="E40" s="81" t="n">
        <f aca="false">E7/E39</f>
        <v>0.261427807151405</v>
      </c>
      <c r="F40" s="81" t="n">
        <f aca="false">F7/F39</f>
        <v>0.304091953891514</v>
      </c>
      <c r="G40" s="81" t="n">
        <f aca="false">G7/G39</f>
        <v>0.349596711249635</v>
      </c>
      <c r="H40" s="81" t="n">
        <f aca="false">H7/H39</f>
        <v>0.362950173972014</v>
      </c>
      <c r="I40" s="81" t="n">
        <f aca="false">I7/I39</f>
        <v>0.372650187977943</v>
      </c>
      <c r="J40" s="81" t="n">
        <f aca="false">J7/J39</f>
        <v>0.378895905574472</v>
      </c>
      <c r="K40" s="81" t="n">
        <f aca="false">K7/K39</f>
        <v>0.381887319696565</v>
      </c>
      <c r="L40" s="106" t="n">
        <f aca="false">L7/L39</f>
        <v>0.381789273387748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0.891605909817413</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0.0867089927414421</v>
      </c>
      <c r="D17" s="118" t="n">
        <f aca="false">B17*C17</f>
        <v>20753.2554814595</v>
      </c>
      <c r="E17" s="149" t="n">
        <f aca="false">'Valuation output'!C7</f>
        <v>16560.0727528094</v>
      </c>
      <c r="F17" s="149" t="n">
        <f aca="false">'Valuation output'!C8</f>
        <v>5249.25</v>
      </c>
      <c r="G17" s="151" t="n">
        <f aca="false">E17-F17</f>
        <v>11310.8227528094</v>
      </c>
      <c r="H17" s="147"/>
      <c r="I17" s="147"/>
      <c r="J17" s="147"/>
      <c r="K17" s="147"/>
    </row>
    <row r="18" customFormat="false" ht="15.75" hidden="false" customHeight="false" outlineLevel="0" collapsed="false">
      <c r="A18" s="148" t="n">
        <v>2</v>
      </c>
      <c r="B18" s="149" t="n">
        <f aca="false">'Valuation output'!D3</f>
        <v>275245.3125</v>
      </c>
      <c r="C18" s="150" t="n">
        <f aca="false">'Valuation output'!D4</f>
        <v>0.0962817445560816</v>
      </c>
      <c r="D18" s="118" t="n">
        <f aca="false">B18*C18</f>
        <v>26501.0988683838</v>
      </c>
      <c r="E18" s="149" t="n">
        <f aca="false">'Valuation output'!D7</f>
        <v>21146.5678568791</v>
      </c>
      <c r="F18" s="149" t="n">
        <f aca="false">'Valuation output'!D8</f>
        <v>6036.6375</v>
      </c>
      <c r="G18" s="151" t="n">
        <f aca="false">E18-F18</f>
        <v>15109.9303568791</v>
      </c>
      <c r="H18" s="147"/>
      <c r="I18" s="147"/>
      <c r="J18" s="147"/>
      <c r="K18" s="147"/>
    </row>
    <row r="19" customFormat="false" ht="15.75" hidden="false" customHeight="false" outlineLevel="0" collapsed="false">
      <c r="A19" s="148" t="n">
        <v>3</v>
      </c>
      <c r="B19" s="149" t="n">
        <f aca="false">'Valuation output'!E3</f>
        <v>316532.109375</v>
      </c>
      <c r="C19" s="150" t="n">
        <f aca="false">'Valuation output'!E4</f>
        <v>0.105854496370721</v>
      </c>
      <c r="D19" s="118" t="n">
        <f aca="false">B19*C19</f>
        <v>33506.3470230526</v>
      </c>
      <c r="E19" s="149" t="n">
        <f aca="false">'Valuation output'!E7</f>
        <v>26736.4098552314</v>
      </c>
      <c r="F19" s="149" t="n">
        <f aca="false">'Valuation output'!E8</f>
        <v>6942.13312499999</v>
      </c>
      <c r="G19" s="151" t="n">
        <f aca="false">E19-F19</f>
        <v>19794.2767302314</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0.115427248185361</v>
      </c>
      <c r="D20" s="118" t="n">
        <f aca="false">B20*C20</f>
        <v>42016.8948995834</v>
      </c>
      <c r="E20" s="149" t="n">
        <f aca="false">'Valuation output'!F7</f>
        <v>33527.4066763097</v>
      </c>
      <c r="F20" s="149" t="n">
        <f aca="false">'Valuation output'!F8</f>
        <v>7983.45309374999</v>
      </c>
      <c r="G20" s="151" t="n">
        <f aca="false">E20-F20</f>
        <v>25543.9535825597</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0.125</v>
      </c>
      <c r="D21" s="118" t="n">
        <f aca="false">B21*C21</f>
        <v>52326.7143310547</v>
      </c>
      <c r="E21" s="149" t="n">
        <f aca="false">'Valuation output'!G7</f>
        <v>41754.1333219687</v>
      </c>
      <c r="F21" s="149" t="n">
        <f aca="false">'Valuation output'!G8</f>
        <v>9180.97105781249</v>
      </c>
      <c r="G21" s="151" t="n">
        <f aca="false">E21-F21</f>
        <v>32573.1622641562</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0.125</v>
      </c>
      <c r="D22" s="118" t="n">
        <f aca="false">B22*C22</f>
        <v>58919.8803367675</v>
      </c>
      <c r="E22" s="149" t="n">
        <f aca="false">'Valuation output'!H7</f>
        <v>46567.9451076181</v>
      </c>
      <c r="F22" s="149" t="n">
        <f aca="false">'Valuation output'!H8</f>
        <v>8868.81804184687</v>
      </c>
      <c r="G22" s="151" t="n">
        <f aca="false">E22-F22</f>
        <v>37699.1270657712</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0.125</v>
      </c>
      <c r="D23" s="118" t="n">
        <f aca="false">B23*C23</f>
        <v>64929.7081311178</v>
      </c>
      <c r="E23" s="149" t="n">
        <f aca="false">'Valuation output'!I7</f>
        <v>50825.0511763588</v>
      </c>
      <c r="F23" s="149" t="n">
        <f aca="false">'Valuation output'!I8</f>
        <v>8084.13880747776</v>
      </c>
      <c r="G23" s="151" t="n">
        <f aca="false">E23-F23</f>
        <v>42740.912368881</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0.125</v>
      </c>
      <c r="D24" s="118" t="n">
        <f aca="false">B24*C24</f>
        <v>69994.225365345</v>
      </c>
      <c r="E24" s="149" t="n">
        <f aca="false">'Valuation output'!J7</f>
        <v>54258.1405379639</v>
      </c>
      <c r="F24" s="149" t="n">
        <f aca="false">'Valuation output'!J8</f>
        <v>6812.55132681919</v>
      </c>
      <c r="G24" s="151" t="n">
        <f aca="false">E24-F24</f>
        <v>47445.5892111447</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0.125</v>
      </c>
      <c r="D25" s="118" t="n">
        <f aca="false">B25*C25</f>
        <v>73773.9135350737</v>
      </c>
      <c r="E25" s="149" t="n">
        <f aca="false">'Valuation output'!K7</f>
        <v>56628.127206835</v>
      </c>
      <c r="F25" s="149" t="n">
        <f aca="false">'Valuation output'!K8</f>
        <v>5084.25945944614</v>
      </c>
      <c r="G25" s="151" t="n">
        <f aca="false">E25-F25</f>
        <v>51543.8677473888</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0.125</v>
      </c>
      <c r="D26" s="118" t="n">
        <f aca="false">B26*C26</f>
        <v>75987.1309411259</v>
      </c>
      <c r="E26" s="149" t="n">
        <f aca="false">'Valuation output'!L7</f>
        <v>57750.2195152557</v>
      </c>
      <c r="F26" s="149" t="n">
        <f aca="false">'Valuation output'!L8</f>
        <v>2977.11637236457</v>
      </c>
      <c r="G26" s="151" t="n">
        <f aca="false">E26-F26</f>
        <v>54773.1031428911</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0.125</v>
      </c>
      <c r="D27" s="118" t="n">
        <f aca="false">B27*C27</f>
        <v>78266.7448693597</v>
      </c>
      <c r="E27" s="153" t="n">
        <f aca="false">'Valuation output'!M7</f>
        <v>59482.7261007133</v>
      </c>
      <c r="F27" s="153" t="n">
        <f aca="false">'Valuation output'!M8</f>
        <v>17844.817830214</v>
      </c>
      <c r="G27" s="151" t="n">
        <f aca="false">E27-F27</f>
        <v>41637.9082704993</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925286.850455541</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435437.654290039</v>
      </c>
      <c r="E30" s="163"/>
      <c r="F30" s="164"/>
      <c r="G30" s="165"/>
      <c r="H30" s="160"/>
      <c r="I30" s="160"/>
      <c r="J30" s="160"/>
      <c r="K30" s="160"/>
    </row>
    <row r="31" customFormat="false" ht="15.75" hidden="false" customHeight="false" outlineLevel="0" collapsed="false">
      <c r="A31" s="161" t="s">
        <v>140</v>
      </c>
      <c r="B31" s="161"/>
      <c r="C31" s="161"/>
      <c r="D31" s="162" t="n">
        <f aca="false">'Valuation output'!B20</f>
        <v>206706.76093062</v>
      </c>
      <c r="E31" s="163"/>
      <c r="F31" s="164"/>
      <c r="G31" s="165"/>
      <c r="H31" s="160"/>
      <c r="I31" s="160"/>
      <c r="J31" s="160"/>
      <c r="K31" s="160"/>
    </row>
    <row r="32" customFormat="false" ht="15.75" hidden="false" customHeight="false" outlineLevel="0" collapsed="false">
      <c r="A32" s="161" t="s">
        <v>144</v>
      </c>
      <c r="B32" s="161"/>
      <c r="C32" s="161"/>
      <c r="D32" s="162" t="n">
        <f aca="false">'Valuation output'!B21</f>
        <v>642144.415220659</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623759.216649567</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1255.04872565305</v>
      </c>
      <c r="E39" s="173" t="s">
        <v>196</v>
      </c>
      <c r="F39" s="173"/>
      <c r="G39" s="174" t="n">
        <f aca="false">'Input sheet'!B19</f>
        <v>1970.19</v>
      </c>
      <c r="H39" s="160"/>
      <c r="I39" s="160"/>
      <c r="J39" s="160"/>
      <c r="K39" s="160"/>
    </row>
    <row r="43" customFormat="false" ht="15.75" hidden="false" customHeight="false" outlineLevel="0" collapsed="false">
      <c r="J43" s="175" t="n">
        <f aca="false">D39/1944</f>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0.0867089927414421</v>
      </c>
      <c r="E3" s="178" t="n">
        <f aca="false">B3*D3</f>
        <v>20753.2554814595</v>
      </c>
      <c r="F3" s="178" t="n">
        <f aca="false">'Valuation output'!C10</f>
        <v>0</v>
      </c>
      <c r="G3" s="178" t="n">
        <f aca="false">E3-H3</f>
        <v>4193.18272865013</v>
      </c>
      <c r="H3" s="178" t="n">
        <f aca="false">'Valuation output'!C7</f>
        <v>16560.0727528094</v>
      </c>
    </row>
    <row r="4" s="177" customFormat="true" ht="12" hidden="false" customHeight="false" outlineLevel="0" collapsed="false">
      <c r="A4" s="177" t="n">
        <v>2</v>
      </c>
      <c r="B4" s="178" t="n">
        <f aca="false">'Valuation output'!D3</f>
        <v>275245.3125</v>
      </c>
      <c r="C4" s="179" t="n">
        <f aca="false">B4/B3-1</f>
        <v>0.15</v>
      </c>
      <c r="D4" s="179" t="n">
        <f aca="false">'Valuation output'!D4</f>
        <v>0.0962817445560816</v>
      </c>
      <c r="E4" s="178" t="n">
        <f aca="false">B4*D4</f>
        <v>26501.0988683838</v>
      </c>
      <c r="F4" s="178" t="n">
        <f aca="false">'Valuation output'!D10</f>
        <v>0</v>
      </c>
      <c r="G4" s="178" t="n">
        <f aca="false">E4-H4</f>
        <v>5354.53101150478</v>
      </c>
      <c r="H4" s="178" t="n">
        <f aca="false">'Valuation output'!D7</f>
        <v>21146.5678568791</v>
      </c>
    </row>
    <row r="5" s="177" customFormat="true" ht="12" hidden="false" customHeight="false" outlineLevel="0" collapsed="false">
      <c r="A5" s="177" t="n">
        <v>3</v>
      </c>
      <c r="B5" s="178" t="n">
        <f aca="false">'Valuation output'!E3</f>
        <v>316532.109375</v>
      </c>
      <c r="C5" s="179" t="n">
        <f aca="false">B5/B4-1</f>
        <v>0.15</v>
      </c>
      <c r="D5" s="179" t="n">
        <f aca="false">'Valuation output'!E4</f>
        <v>0.105854496370721</v>
      </c>
      <c r="E5" s="178" t="n">
        <f aca="false">B5*D5</f>
        <v>33506.3470230526</v>
      </c>
      <c r="F5" s="178" t="n">
        <f aca="false">'Valuation output'!E10</f>
        <v>0</v>
      </c>
      <c r="G5" s="178" t="n">
        <f aca="false">E5-H5</f>
        <v>6769.93716782119</v>
      </c>
      <c r="H5" s="178" t="n">
        <f aca="false">'Valuation output'!E7</f>
        <v>26736.4098552314</v>
      </c>
    </row>
    <row r="6" s="177" customFormat="true" ht="12" hidden="false" customHeight="false" outlineLevel="0" collapsed="false">
      <c r="A6" s="177" t="n">
        <v>4</v>
      </c>
      <c r="B6" s="178" t="n">
        <f aca="false">'Valuation output'!F3</f>
        <v>364011.92578125</v>
      </c>
      <c r="C6" s="179" t="n">
        <f aca="false">B6/B5-1</f>
        <v>0.15</v>
      </c>
      <c r="D6" s="179" t="n">
        <f aca="false">'Valuation output'!F4</f>
        <v>0.115427248185361</v>
      </c>
      <c r="E6" s="178" t="n">
        <f aca="false">B6*D6</f>
        <v>42016.8948995834</v>
      </c>
      <c r="F6" s="178" t="n">
        <f aca="false">'Valuation output'!F10</f>
        <v>0</v>
      </c>
      <c r="G6" s="178" t="n">
        <f aca="false">E6-H6</f>
        <v>8489.48822327367</v>
      </c>
      <c r="H6" s="178" t="n">
        <f aca="false">'Valuation output'!F7</f>
        <v>33527.4066763097</v>
      </c>
    </row>
    <row r="7" s="177" customFormat="true" ht="12" hidden="false" customHeight="false" outlineLevel="0" collapsed="false">
      <c r="A7" s="177" t="n">
        <v>5</v>
      </c>
      <c r="B7" s="178" t="n">
        <f aca="false">'Valuation output'!G3</f>
        <v>418613.714648437</v>
      </c>
      <c r="C7" s="179" t="n">
        <f aca="false">B7/B6-1</f>
        <v>0.15</v>
      </c>
      <c r="D7" s="179" t="n">
        <f aca="false">'Valuation output'!G4</f>
        <v>0.125</v>
      </c>
      <c r="E7" s="178" t="n">
        <f aca="false">B7*D7</f>
        <v>52326.7143310547</v>
      </c>
      <c r="F7" s="178" t="n">
        <f aca="false">'Valuation output'!G10</f>
        <v>0</v>
      </c>
      <c r="G7" s="178" t="n">
        <f aca="false">E7-H7</f>
        <v>10572.5810090859</v>
      </c>
      <c r="H7" s="178" t="n">
        <f aca="false">'Valuation output'!G7</f>
        <v>41754.1333219687</v>
      </c>
    </row>
    <row r="8" s="177" customFormat="true" ht="12" hidden="false" customHeight="false" outlineLevel="0" collapsed="false">
      <c r="A8" s="177" t="n">
        <v>6</v>
      </c>
      <c r="B8" s="178" t="n">
        <f aca="false">'Valuation output'!H3</f>
        <v>471359.04269414</v>
      </c>
      <c r="C8" s="179" t="n">
        <f aca="false">B8/B7-1</f>
        <v>0.126</v>
      </c>
      <c r="D8" s="179" t="n">
        <f aca="false">'Valuation output'!H4</f>
        <v>0.125</v>
      </c>
      <c r="E8" s="178" t="n">
        <f aca="false">B8*D8</f>
        <v>58919.8803367675</v>
      </c>
      <c r="F8" s="178" t="n">
        <f aca="false">'Valuation output'!H10</f>
        <v>0</v>
      </c>
      <c r="G8" s="178" t="n">
        <f aca="false">E8-H8</f>
        <v>12351.9352291494</v>
      </c>
      <c r="H8" s="178" t="n">
        <f aca="false">'Valuation output'!H7</f>
        <v>46567.9451076181</v>
      </c>
    </row>
    <row r="9" s="177" customFormat="true" ht="12" hidden="false" customHeight="false" outlineLevel="0" collapsed="false">
      <c r="A9" s="177" t="n">
        <v>7</v>
      </c>
      <c r="B9" s="178" t="n">
        <f aca="false">'Valuation output'!I3</f>
        <v>519437.665048943</v>
      </c>
      <c r="C9" s="179" t="n">
        <f aca="false">B9/B8-1</f>
        <v>0.102</v>
      </c>
      <c r="D9" s="179" t="n">
        <f aca="false">'Valuation output'!I4</f>
        <v>0.125</v>
      </c>
      <c r="E9" s="178" t="n">
        <f aca="false">B9*D9</f>
        <v>64929.7081311178</v>
      </c>
      <c r="F9" s="178" t="n">
        <f aca="false">'Valuation output'!I10</f>
        <v>0</v>
      </c>
      <c r="G9" s="178" t="n">
        <f aca="false">E9-H9</f>
        <v>14104.6569547591</v>
      </c>
      <c r="H9" s="178" t="n">
        <f aca="false">'Valuation output'!I7</f>
        <v>50825.0511763588</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0.125</v>
      </c>
      <c r="E10" s="178" t="n">
        <f aca="false">B10*D10</f>
        <v>69994.225365345</v>
      </c>
      <c r="F10" s="178" t="n">
        <f aca="false">'Valuation output'!J10</f>
        <v>0</v>
      </c>
      <c r="G10" s="178" t="n">
        <f aca="false">E10-H10</f>
        <v>15736.0848273811</v>
      </c>
      <c r="H10" s="178" t="n">
        <f aca="false">'Valuation output'!J7</f>
        <v>54258.1405379639</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0.125</v>
      </c>
      <c r="E11" s="178" t="n">
        <f aca="false">B11*D11</f>
        <v>73773.9135350737</v>
      </c>
      <c r="F11" s="178" t="n">
        <f aca="false">'Valuation output'!K10</f>
        <v>0</v>
      </c>
      <c r="G11" s="178" t="n">
        <f aca="false">E11-H11</f>
        <v>17145.7863282387</v>
      </c>
      <c r="H11" s="178" t="n">
        <f aca="false">'Valuation output'!K7</f>
        <v>56628.127206835</v>
      </c>
    </row>
    <row r="12" s="177" customFormat="true" ht="12" hidden="false" customHeight="false" outlineLevel="0" collapsed="false">
      <c r="A12" s="177" t="n">
        <v>10</v>
      </c>
      <c r="B12" s="178" t="n">
        <f aca="false">'Valuation output'!L3</f>
        <v>607897.047529007</v>
      </c>
      <c r="C12" s="179" t="n">
        <f aca="false">B12/B11-1</f>
        <v>0.03</v>
      </c>
      <c r="D12" s="179" t="n">
        <f aca="false">'Valuation output'!L4</f>
        <v>0.125</v>
      </c>
      <c r="E12" s="178" t="n">
        <f aca="false">B12*D12</f>
        <v>75987.1309411259</v>
      </c>
      <c r="F12" s="178" t="n">
        <f aca="false">'Valuation output'!L10</f>
        <v>0</v>
      </c>
      <c r="G12" s="178" t="n">
        <f aca="false">E12-H12</f>
        <v>18236.9114258702</v>
      </c>
      <c r="H12" s="178" t="n">
        <f aca="false">'Valuation output'!L7</f>
        <v>57750.2195152557</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16560.0727528094</v>
      </c>
      <c r="C16" s="178" t="n">
        <f aca="false">B3-B2</f>
        <v>31218.75</v>
      </c>
      <c r="D16" s="182" t="n">
        <f aca="false">'Valuation output'!C38</f>
        <v>5.94727818259751</v>
      </c>
      <c r="E16" s="178" t="n">
        <f aca="false">C16/D16</f>
        <v>5249.25</v>
      </c>
      <c r="F16" s="178" t="n">
        <f aca="false">B16-E16</f>
        <v>11310.8227528094</v>
      </c>
      <c r="G16" s="178" t="n">
        <f aca="false">G15+E16</f>
        <v>89291.948571092</v>
      </c>
      <c r="H16" s="181" t="n">
        <f aca="false">B16/G16</f>
        <v>0.185459865282531</v>
      </c>
    </row>
    <row r="17" s="177" customFormat="true" ht="12" hidden="false" customHeight="false" outlineLevel="0" collapsed="false">
      <c r="A17" s="177" t="n">
        <f aca="false">A4</f>
        <v>2</v>
      </c>
      <c r="B17" s="178" t="n">
        <f aca="false">H4</f>
        <v>21146.5678568791</v>
      </c>
      <c r="C17" s="178" t="n">
        <f aca="false">B4-B3</f>
        <v>35901.5625</v>
      </c>
      <c r="D17" s="182" t="n">
        <f aca="false">'Valuation output'!D38</f>
        <v>5.94727818259751</v>
      </c>
      <c r="E17" s="178" t="n">
        <f aca="false">C17/D17</f>
        <v>6036.6375</v>
      </c>
      <c r="F17" s="178" t="n">
        <f aca="false">B17-E17</f>
        <v>15109.9303568791</v>
      </c>
      <c r="G17" s="178" t="n">
        <f aca="false">G16+E17</f>
        <v>95328.586071092</v>
      </c>
      <c r="H17" s="181" t="n">
        <f aca="false">B17/G17</f>
        <v>0.2218281916099</v>
      </c>
    </row>
    <row r="18" s="177" customFormat="true" ht="12" hidden="false" customHeight="false" outlineLevel="0" collapsed="false">
      <c r="A18" s="177" t="n">
        <f aca="false">A5</f>
        <v>3</v>
      </c>
      <c r="B18" s="178" t="n">
        <f aca="false">H5</f>
        <v>26736.4098552314</v>
      </c>
      <c r="C18" s="178" t="n">
        <f aca="false">B5-B4</f>
        <v>41286.7968749999</v>
      </c>
      <c r="D18" s="182" t="n">
        <f aca="false">'Valuation output'!E38</f>
        <v>5.94727818259751</v>
      </c>
      <c r="E18" s="178" t="n">
        <f aca="false">C18/D18</f>
        <v>6942.13312499999</v>
      </c>
      <c r="F18" s="178" t="n">
        <f aca="false">B18-E18</f>
        <v>19794.2767302314</v>
      </c>
      <c r="G18" s="178" t="n">
        <f aca="false">G17+E18</f>
        <v>102270.719196092</v>
      </c>
      <c r="H18" s="181" t="n">
        <f aca="false">B18/G18</f>
        <v>0.261427807151405</v>
      </c>
    </row>
    <row r="19" s="177" customFormat="true" ht="12" hidden="false" customHeight="false" outlineLevel="0" collapsed="false">
      <c r="A19" s="177" t="n">
        <f aca="false">A6</f>
        <v>4</v>
      </c>
      <c r="B19" s="178" t="n">
        <f aca="false">H6</f>
        <v>33527.4066763097</v>
      </c>
      <c r="C19" s="178" t="n">
        <f aca="false">B6-B5</f>
        <v>47479.8164062499</v>
      </c>
      <c r="D19" s="182" t="n">
        <f aca="false">'Valuation output'!F38</f>
        <v>5.94727818259751</v>
      </c>
      <c r="E19" s="178" t="n">
        <f aca="false">C19/D19</f>
        <v>7983.45309374999</v>
      </c>
      <c r="F19" s="178" t="n">
        <f aca="false">B19-E19</f>
        <v>25543.9535825597</v>
      </c>
      <c r="G19" s="178" t="n">
        <f aca="false">G18+E19</f>
        <v>110254.172289842</v>
      </c>
      <c r="H19" s="181" t="n">
        <f aca="false">B19/G19</f>
        <v>0.304091953891514</v>
      </c>
    </row>
    <row r="20" s="177" customFormat="true" ht="12" hidden="false" customHeight="false" outlineLevel="0" collapsed="false">
      <c r="A20" s="177" t="n">
        <f aca="false">A7</f>
        <v>5</v>
      </c>
      <c r="B20" s="178" t="n">
        <f aca="false">H7</f>
        <v>41754.1333219687</v>
      </c>
      <c r="C20" s="178" t="n">
        <f aca="false">B7-B6</f>
        <v>54601.7888671875</v>
      </c>
      <c r="D20" s="182" t="n">
        <f aca="false">'Valuation output'!G38</f>
        <v>5.94727818259751</v>
      </c>
      <c r="E20" s="178" t="n">
        <f aca="false">C20/D20</f>
        <v>9180.97105781249</v>
      </c>
      <c r="F20" s="178" t="n">
        <f aca="false">B20-E20</f>
        <v>32573.1622641562</v>
      </c>
      <c r="G20" s="178" t="n">
        <f aca="false">G19+E20</f>
        <v>119435.143347655</v>
      </c>
      <c r="H20" s="181" t="n">
        <f aca="false">B20/G20</f>
        <v>0.349596711249635</v>
      </c>
    </row>
    <row r="21" s="177" customFormat="true" ht="12" hidden="false" customHeight="false" outlineLevel="0" collapsed="false">
      <c r="A21" s="177" t="n">
        <f aca="false">A8</f>
        <v>6</v>
      </c>
      <c r="B21" s="178" t="n">
        <f aca="false">H8</f>
        <v>46567.9451076181</v>
      </c>
      <c r="C21" s="178" t="n">
        <f aca="false">B8-B7</f>
        <v>52745.3280457031</v>
      </c>
      <c r="D21" s="182" t="n">
        <f aca="false">'Valuation output'!H38</f>
        <v>5.94727818259751</v>
      </c>
      <c r="E21" s="178" t="n">
        <f aca="false">C21/D21</f>
        <v>8868.81804184687</v>
      </c>
      <c r="F21" s="178" t="n">
        <f aca="false">B21-E21</f>
        <v>37699.1270657712</v>
      </c>
      <c r="G21" s="178" t="n">
        <f aca="false">G20+E21</f>
        <v>128303.961389501</v>
      </c>
      <c r="H21" s="181" t="n">
        <f aca="false">B21/G21</f>
        <v>0.362950173972014</v>
      </c>
    </row>
    <row r="22" s="177" customFormat="true" ht="12" hidden="false" customHeight="false" outlineLevel="0" collapsed="false">
      <c r="A22" s="177" t="n">
        <f aca="false">A9</f>
        <v>7</v>
      </c>
      <c r="B22" s="178" t="n">
        <f aca="false">H9</f>
        <v>50825.0511763588</v>
      </c>
      <c r="C22" s="178" t="n">
        <f aca="false">B9-B8</f>
        <v>48078.6223548024</v>
      </c>
      <c r="D22" s="182" t="n">
        <f aca="false">'Valuation output'!I38</f>
        <v>5.94727818259751</v>
      </c>
      <c r="E22" s="178" t="n">
        <f aca="false">C22/D22</f>
        <v>8084.13880747776</v>
      </c>
      <c r="F22" s="178" t="n">
        <f aca="false">B22-E22</f>
        <v>42740.912368881</v>
      </c>
      <c r="G22" s="178" t="n">
        <f aca="false">G21+E22</f>
        <v>136388.100196979</v>
      </c>
      <c r="H22" s="181" t="n">
        <f aca="false">B22/G22</f>
        <v>0.372650187977943</v>
      </c>
    </row>
    <row r="23" s="177" customFormat="true" ht="12" hidden="false" customHeight="false" outlineLevel="0" collapsed="false">
      <c r="A23" s="177" t="n">
        <f aca="false">A10</f>
        <v>8</v>
      </c>
      <c r="B23" s="178" t="n">
        <f aca="false">H10</f>
        <v>54258.1405379639</v>
      </c>
      <c r="C23" s="178" t="n">
        <f aca="false">B10-B9</f>
        <v>40516.1378738175</v>
      </c>
      <c r="D23" s="182" t="n">
        <f aca="false">'Valuation output'!J38</f>
        <v>5.94727818259751</v>
      </c>
      <c r="E23" s="178" t="n">
        <f aca="false">C23/D23</f>
        <v>6812.55132681919</v>
      </c>
      <c r="F23" s="178" t="n">
        <f aca="false">B23-E23</f>
        <v>47445.5892111447</v>
      </c>
      <c r="G23" s="178" t="n">
        <f aca="false">G22+E23</f>
        <v>143200.651523798</v>
      </c>
      <c r="H23" s="181" t="n">
        <f aca="false">B23/G23</f>
        <v>0.378895905574472</v>
      </c>
    </row>
    <row r="24" s="177" customFormat="true" ht="12" hidden="false" customHeight="false" outlineLevel="0" collapsed="false">
      <c r="A24" s="177" t="n">
        <f aca="false">A11</f>
        <v>9</v>
      </c>
      <c r="B24" s="178" t="n">
        <f aca="false">H11</f>
        <v>56628.127206835</v>
      </c>
      <c r="C24" s="178" t="n">
        <f aca="false">B11-B10</f>
        <v>30237.505357829</v>
      </c>
      <c r="D24" s="182" t="n">
        <f aca="false">'Valuation output'!K38</f>
        <v>5.94727818259751</v>
      </c>
      <c r="E24" s="178" t="n">
        <f aca="false">C24/D24</f>
        <v>5084.25945944614</v>
      </c>
      <c r="F24" s="178" t="n">
        <f aca="false">B24-E24</f>
        <v>51543.8677473888</v>
      </c>
      <c r="G24" s="178" t="n">
        <f aca="false">G23+E24</f>
        <v>148284.910983244</v>
      </c>
      <c r="H24" s="181" t="n">
        <f aca="false">B24/G24</f>
        <v>0.381887319696565</v>
      </c>
    </row>
    <row r="25" s="177" customFormat="true" ht="12" hidden="false" customHeight="false" outlineLevel="0" collapsed="false">
      <c r="A25" s="177" t="n">
        <f aca="false">A12</f>
        <v>10</v>
      </c>
      <c r="B25" s="178" t="n">
        <f aca="false">H12</f>
        <v>57750.2195152557</v>
      </c>
      <c r="C25" s="178" t="n">
        <f aca="false">B12-B11</f>
        <v>17705.7392484177</v>
      </c>
      <c r="D25" s="182" t="n">
        <f aca="false">'Valuation output'!L38</f>
        <v>5.94727818259751</v>
      </c>
      <c r="E25" s="178" t="n">
        <f aca="false">C25/D25</f>
        <v>2977.11637236457</v>
      </c>
      <c r="F25" s="178" t="n">
        <f aca="false">B25-E25</f>
        <v>54773.1031428911</v>
      </c>
      <c r="G25" s="178" t="n">
        <f aca="false">G24+E25</f>
        <v>151262.027355609</v>
      </c>
      <c r="H25" s="181" t="n">
        <f aca="false">B25/G25</f>
        <v>0.381789273387748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11310.8227528094</v>
      </c>
      <c r="F40" s="185" t="n">
        <f aca="false">D40/C40</f>
        <v>10475.8940009349</v>
      </c>
    </row>
    <row r="41" customFormat="false" ht="12" hidden="false" customHeight="false" outlineLevel="0" collapsed="false">
      <c r="A41" s="1" t="n">
        <f aca="false">A29</f>
        <v>2</v>
      </c>
      <c r="B41" s="175" t="n">
        <f aca="false">H29</f>
        <v>0.0797</v>
      </c>
      <c r="C41" s="184" t="n">
        <f aca="false">C40*(1+B41)</f>
        <v>1.16575209</v>
      </c>
      <c r="D41" s="185" t="n">
        <f aca="false">F17</f>
        <v>15109.9303568791</v>
      </c>
      <c r="F41" s="185" t="n">
        <f aca="false">D41/C41</f>
        <v>12961.5297167334</v>
      </c>
    </row>
    <row r="42" customFormat="false" ht="12" hidden="false" customHeight="false" outlineLevel="0" collapsed="false">
      <c r="A42" s="1" t="n">
        <f aca="false">A30</f>
        <v>3</v>
      </c>
      <c r="B42" s="175" t="n">
        <f aca="false">H30</f>
        <v>0.0797</v>
      </c>
      <c r="C42" s="184" t="n">
        <f aca="false">C41*(1+B42)</f>
        <v>1.258662531573</v>
      </c>
      <c r="D42" s="185" t="n">
        <f aca="false">F18</f>
        <v>19794.2767302314</v>
      </c>
      <c r="F42" s="185" t="n">
        <f aca="false">D42/C42</f>
        <v>15726.4367800746</v>
      </c>
    </row>
    <row r="43" customFormat="false" ht="12" hidden="false" customHeight="false" outlineLevel="0" collapsed="false">
      <c r="A43" s="1" t="n">
        <f aca="false">A31</f>
        <v>4</v>
      </c>
      <c r="B43" s="175" t="n">
        <f aca="false">H31</f>
        <v>0.0797</v>
      </c>
      <c r="C43" s="184" t="n">
        <f aca="false">C42*(1+B43)</f>
        <v>1.35897793533937</v>
      </c>
      <c r="D43" s="185" t="n">
        <f aca="false">F19</f>
        <v>25543.9535825597</v>
      </c>
      <c r="F43" s="185" t="n">
        <f aca="false">D43/C43</f>
        <v>18796.444679715</v>
      </c>
    </row>
    <row r="44" customFormat="false" ht="12" hidden="false" customHeight="false" outlineLevel="0" collapsed="false">
      <c r="A44" s="1" t="n">
        <f aca="false">A32</f>
        <v>5</v>
      </c>
      <c r="B44" s="175" t="n">
        <f aca="false">H32</f>
        <v>0.0797</v>
      </c>
      <c r="C44" s="184" t="n">
        <f aca="false">C43*(1+B44)</f>
        <v>1.46728847678592</v>
      </c>
      <c r="D44" s="185" t="n">
        <f aca="false">F20</f>
        <v>32573.1622641562</v>
      </c>
      <c r="F44" s="185" t="n">
        <f aca="false">D44/C44</f>
        <v>22199.5625124158</v>
      </c>
    </row>
    <row r="45" customFormat="false" ht="12" hidden="false" customHeight="false" outlineLevel="0" collapsed="false">
      <c r="A45" s="1" t="n">
        <f aca="false">A33</f>
        <v>6</v>
      </c>
      <c r="B45" s="175" t="n">
        <f aca="false">H33</f>
        <v>0.07876</v>
      </c>
      <c r="C45" s="184" t="n">
        <f aca="false">C44*(1+B45)</f>
        <v>1.58285211721757</v>
      </c>
      <c r="D45" s="185" t="n">
        <f aca="false">F21</f>
        <v>37699.1270657712</v>
      </c>
      <c r="F45" s="185" t="n">
        <f aca="false">D45/C45</f>
        <v>23817.2136586208</v>
      </c>
    </row>
    <row r="46" customFormat="false" ht="12" hidden="false" customHeight="false" outlineLevel="0" collapsed="false">
      <c r="A46" s="1" t="n">
        <f aca="false">A34</f>
        <v>7</v>
      </c>
      <c r="B46" s="175" t="n">
        <f aca="false">H34</f>
        <v>0.07782</v>
      </c>
      <c r="C46" s="184" t="n">
        <f aca="false">C45*(1+B46)</f>
        <v>1.70602966897945</v>
      </c>
      <c r="D46" s="185" t="n">
        <f aca="false">F22</f>
        <v>42740.912368881</v>
      </c>
      <c r="F46" s="185" t="n">
        <f aca="false">D46/C46</f>
        <v>25052.8540892544</v>
      </c>
    </row>
    <row r="47" customFormat="false" ht="12" hidden="false" customHeight="false" outlineLevel="0" collapsed="false">
      <c r="A47" s="1" t="n">
        <f aca="false">A35</f>
        <v>8</v>
      </c>
      <c r="B47" s="175" t="n">
        <f aca="false">H35</f>
        <v>0.07688</v>
      </c>
      <c r="C47" s="184" t="n">
        <f aca="false">C46*(1+B47)</f>
        <v>1.83718922993059</v>
      </c>
      <c r="D47" s="185" t="n">
        <f aca="false">F23</f>
        <v>47445.5892111447</v>
      </c>
      <c r="F47" s="185" t="n">
        <f aca="false">D47/C47</f>
        <v>25825.0965323465</v>
      </c>
    </row>
    <row r="48" customFormat="false" ht="12" hidden="false" customHeight="false" outlineLevel="0" collapsed="false">
      <c r="A48" s="1" t="n">
        <f aca="false">A36</f>
        <v>9</v>
      </c>
      <c r="B48" s="175" t="n">
        <f aca="false">H36</f>
        <v>0.07594</v>
      </c>
      <c r="C48" s="184" t="n">
        <f aca="false">C47*(1+B48)</f>
        <v>1.97670538005151</v>
      </c>
      <c r="D48" s="185" t="n">
        <f aca="false">F24</f>
        <v>51543.8677473888</v>
      </c>
      <c r="F48" s="185" t="n">
        <f aca="false">D48/C48</f>
        <v>26075.6449937145</v>
      </c>
    </row>
    <row r="49" customFormat="false" ht="12" hidden="false" customHeight="false" outlineLevel="0" collapsed="false">
      <c r="A49" s="1" t="n">
        <f aca="false">A37</f>
        <v>10</v>
      </c>
      <c r="B49" s="175" t="n">
        <f aca="false">H37</f>
        <v>0.075</v>
      </c>
      <c r="C49" s="184" t="n">
        <f aca="false">C48*(1+B49)</f>
        <v>2.12495828355538</v>
      </c>
      <c r="D49" s="185" t="n">
        <f aca="false">F25</f>
        <v>54773.1031428911</v>
      </c>
      <c r="E49" s="185" t="n">
        <f aca="false">'Valuation output'!B18</f>
        <v>925286.850455541</v>
      </c>
      <c r="F49" s="185" t="n">
        <f aca="false">(D49+E49)/C49</f>
        <v>461213.738256849</v>
      </c>
    </row>
    <row r="50" customFormat="false" ht="12" hidden="false" customHeight="false" outlineLevel="0" collapsed="false">
      <c r="A50" s="1" t="s">
        <v>144</v>
      </c>
      <c r="F50" s="185"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59933.1507982351</v>
      </c>
    </row>
    <row r="6" s="215" customFormat="true" ht="15.75" hidden="false" customHeight="false" outlineLevel="0" collapsed="false">
      <c r="A6" s="214" t="s">
        <v>253</v>
      </c>
      <c r="B6" s="217" t="n">
        <f aca="false">B5/B4</f>
        <v>0.891605909817413</v>
      </c>
    </row>
    <row r="7" s="215" customFormat="true" ht="15.75" hidden="false" customHeight="false" outlineLevel="0" collapsed="false">
      <c r="A7" s="214" t="s">
        <v>254</v>
      </c>
      <c r="B7" s="217" t="n">
        <f aca="false">'Valuation output'!L40</f>
        <v>0.381789273387748</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0.63701913300395</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19795.8804814595</v>
      </c>
      <c r="D5" s="84" t="n">
        <f aca="false">D4*D3</f>
        <v>24299.1363683838</v>
      </c>
      <c r="E5" s="84" t="n">
        <f aca="false">E4*E3</f>
        <v>29707.9617105526</v>
      </c>
      <c r="F5" s="84" t="n">
        <f aca="false">F4*F3</f>
        <v>36192.7040870834</v>
      </c>
      <c r="G5" s="84" t="n">
        <f aca="false">G4*G3</f>
        <v>43954.4400380859</v>
      </c>
      <c r="H5" s="84" t="n">
        <f aca="false">H4*H3</f>
        <v>49492.6994828847</v>
      </c>
      <c r="I5" s="84" t="n">
        <f aca="false">I4*I3</f>
        <v>54540.954830139</v>
      </c>
      <c r="J5" s="84" t="n">
        <f aca="false">J4*J3</f>
        <v>58795.1493068898</v>
      </c>
      <c r="K5" s="84" t="n">
        <f aca="false">K4*K3</f>
        <v>61970.0873694619</v>
      </c>
      <c r="L5" s="84" t="n">
        <f aca="false">L4*L3</f>
        <v>63829.1899905457</v>
      </c>
      <c r="M5" s="85" t="n">
        <f aca="false">M4*M3</f>
        <v>65744.0656902621</v>
      </c>
      <c r="N5" s="87" t="n">
        <f aca="false">M5-B5</f>
        <v>49690.0855473713</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15796.1347930091</v>
      </c>
      <c r="D7" s="84" t="n">
        <f aca="false">IF(D5&gt;0,IF(D5&lt;C10,D5,D5-(D5-C10)*D6),D5)</f>
        <v>19389.5105493383</v>
      </c>
      <c r="E7" s="84" t="n">
        <f aca="false">IF(E5&gt;0,IF(E5&lt;D10,E5,E5-(E5-D10)*E6),E5)</f>
        <v>23705.4859997237</v>
      </c>
      <c r="F7" s="84" t="n">
        <f aca="false">IF(F5&gt;0,IF(F5&lt;E10,F5,F5-(F5-E10)*F6),F5)</f>
        <v>28879.9900978645</v>
      </c>
      <c r="G7" s="84" t="n">
        <f aca="false">IF(G5&gt;0,IF(G5&lt;F10,G5,G5-(G5-F10)*G6),G5)</f>
        <v>35073.4719904537</v>
      </c>
      <c r="H7" s="84" t="n">
        <f aca="false">IF(H5&gt;0,IF(H5&lt;G10,H5,H5-(H5-G10)*H6),H5)</f>
        <v>39117.0738903992</v>
      </c>
      <c r="I7" s="84" t="n">
        <f aca="false">IF(I5&gt;0,IF(I5&lt;H10,I5,I5-(I5-H10)*I6),I5)</f>
        <v>42693.0429881414</v>
      </c>
      <c r="J7" s="84" t="n">
        <f aca="false">IF(J5&gt;0,IF(J5&lt;I10,J5,J5-(J5-I10)*J6),J5)</f>
        <v>45576.8380518897</v>
      </c>
      <c r="K7" s="84" t="n">
        <f aca="false">IF(K5&gt;0,IF(K5&lt;J10,K5,K5-(K5-J10)*K6),K5)</f>
        <v>47567.6268537414</v>
      </c>
      <c r="L7" s="84" t="n">
        <f aca="false">IF(L5&gt;0,IF(L5&lt;K10,L5,L5-(L5-K10)*L6),L5)</f>
        <v>48510.1843928148</v>
      </c>
      <c r="M7" s="84" t="n">
        <f aca="false">M5*(1-M6)</f>
        <v>49965.4899245992</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14989.6469773798</v>
      </c>
      <c r="N8" s="87" t="n">
        <f aca="false">SUM(C8:M8)</f>
        <v>82208.9757618968</v>
      </c>
    </row>
    <row r="9" customFormat="false" ht="15" hidden="false" customHeight="true" outlineLevel="0" collapsed="false">
      <c r="A9" s="79" t="s">
        <v>131</v>
      </c>
      <c r="B9" s="83"/>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9768.34749746142</v>
      </c>
      <c r="D14" s="84" t="n">
        <f aca="false">D9*D13</f>
        <v>11454.2990434084</v>
      </c>
      <c r="E14" s="84" t="n">
        <f aca="false">E9*E13</f>
        <v>13318.3855515059</v>
      </c>
      <c r="F14" s="84" t="n">
        <f aca="false">F9*F13</f>
        <v>15376.6565745574</v>
      </c>
      <c r="G14" s="84" t="n">
        <f aca="false">G9*G13</f>
        <v>17646.4964744756</v>
      </c>
      <c r="H14" s="84" t="n">
        <f aca="false">H9*H13</f>
        <v>19109.969604567</v>
      </c>
      <c r="I14" s="84" t="n">
        <f aca="false">I9*I13</f>
        <v>20286.2264413999</v>
      </c>
      <c r="J14" s="84" t="n">
        <f aca="false">J9*J13</f>
        <v>21099.7789958387</v>
      </c>
      <c r="K14" s="84" t="n">
        <f aca="false">K9*K13</f>
        <v>21492.0077736562</v>
      </c>
      <c r="L14" s="84" t="n">
        <f aca="false">L9*L13</f>
        <v>21427.7467811116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34975.8429472194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777240.954382654</v>
      </c>
      <c r="C18" s="93"/>
      <c r="D18" s="95"/>
      <c r="E18" s="93"/>
      <c r="F18" s="93"/>
      <c r="G18" s="93"/>
      <c r="H18" s="93"/>
      <c r="I18" s="93"/>
      <c r="J18" s="93"/>
      <c r="K18" s="93"/>
      <c r="L18" s="93"/>
    </row>
    <row r="19" customFormat="false" ht="15.75" hidden="false" customHeight="false" outlineLevel="0" collapsed="false">
      <c r="A19" s="94" t="s">
        <v>139</v>
      </c>
      <c r="B19" s="96" t="n">
        <f aca="false">B18*L13</f>
        <v>365767.629603633</v>
      </c>
      <c r="C19" s="93"/>
      <c r="D19" s="93"/>
      <c r="E19" s="93"/>
      <c r="F19" s="93"/>
      <c r="G19" s="93"/>
      <c r="H19" s="93"/>
      <c r="I19" s="93"/>
      <c r="J19" s="93"/>
      <c r="K19" s="93"/>
      <c r="L19" s="93"/>
    </row>
    <row r="20" customFormat="false" ht="15.75" hidden="false" customHeight="false" outlineLevel="0" collapsed="false">
      <c r="A20" s="94" t="s">
        <v>140</v>
      </c>
      <c r="B20" s="96" t="n">
        <f aca="false">SUM(C14:L14)</f>
        <v>170979.914737982</v>
      </c>
      <c r="C20" s="93"/>
      <c r="D20" s="93"/>
      <c r="E20" s="93"/>
      <c r="F20" s="93"/>
      <c r="G20" s="93"/>
      <c r="H20" s="93"/>
      <c r="I20" s="93"/>
      <c r="J20" s="93"/>
      <c r="K20" s="93"/>
      <c r="L20" s="93"/>
    </row>
    <row r="21" customFormat="false" ht="15.75" hidden="false" customHeight="false" outlineLevel="0" collapsed="false">
      <c r="A21" s="94" t="s">
        <v>141</v>
      </c>
      <c r="B21" s="96" t="n">
        <f aca="false">B19+B20</f>
        <v>536747.544341615</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268373.772170807</v>
      </c>
      <c r="C23" s="93"/>
      <c r="D23" s="93"/>
      <c r="E23" s="93"/>
      <c r="F23" s="93"/>
      <c r="G23" s="93"/>
      <c r="H23" s="93"/>
      <c r="I23" s="93"/>
      <c r="J23" s="93"/>
      <c r="K23" s="93"/>
      <c r="L23" s="93"/>
    </row>
    <row r="24" customFormat="false" ht="15.75" hidden="false" customHeight="false" outlineLevel="0" collapsed="false">
      <c r="A24" s="94" t="s">
        <v>144</v>
      </c>
      <c r="B24" s="83" t="n">
        <f aca="false">B21*(1-B22)+B23*B22</f>
        <v>536747.544341615</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518362.345770523</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518362.345770523</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1042.98258706343</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1.88899606229014</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0.17690435751251</v>
      </c>
      <c r="D40" s="81" t="n">
        <f aca="false">D7/D39</f>
        <v>0.203396602723956</v>
      </c>
      <c r="E40" s="81" t="n">
        <f aca="false">E7/E39</f>
        <v>0.231791525336506</v>
      </c>
      <c r="F40" s="81" t="n">
        <f aca="false">F7/F39</f>
        <v>0.261940110728356</v>
      </c>
      <c r="G40" s="81" t="n">
        <f aca="false">G7/G39</f>
        <v>0.293661237449693</v>
      </c>
      <c r="H40" s="81" t="n">
        <f aca="false">H7/H39</f>
        <v>0.304878146136492</v>
      </c>
      <c r="I40" s="81" t="n">
        <f aca="false">I7/I39</f>
        <v>0.313026157901472</v>
      </c>
      <c r="J40" s="81" t="n">
        <f aca="false">J7/J39</f>
        <v>0.318272560682556</v>
      </c>
      <c r="K40" s="81" t="n">
        <f aca="false">K7/K39</f>
        <v>0.320785348545115</v>
      </c>
      <c r="L40" s="106" t="n">
        <f aca="false">L7/L39</f>
        <v>0.320702989645708</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623759.216649567</v>
      </c>
    </row>
    <row r="4" customFormat="false" ht="12.8" hidden="false" customHeight="false" outlineLevel="0" collapsed="false">
      <c r="A4" s="1" t="s">
        <v>798</v>
      </c>
      <c r="B4" s="185" t="n">
        <f aca="false">'Review valuation'!B31</f>
        <v>518362.345770523</v>
      </c>
    </row>
    <row r="5" customFormat="false" ht="12.8" hidden="false" customHeight="false" outlineLevel="0" collapsed="false">
      <c r="A5" s="1" t="s">
        <v>799</v>
      </c>
      <c r="B5" s="1" t="n">
        <f aca="false">B4-B3</f>
        <v>-105396.870879044</v>
      </c>
    </row>
    <row r="7" customFormat="false" ht="12.8" hidden="false" customHeight="false" outlineLevel="0" collapsed="false">
      <c r="A7" s="1" t="s">
        <v>800</v>
      </c>
      <c r="B7" s="185" t="n">
        <f aca="false">'Valuation output'!B33</f>
        <v>1255.04872565305</v>
      </c>
    </row>
    <row r="8" customFormat="false" ht="12.8" hidden="false" customHeight="false" outlineLevel="0" collapsed="false">
      <c r="A8" s="1" t="s">
        <v>801</v>
      </c>
      <c r="B8" s="185" t="n">
        <f aca="false">'Review valuation'!B33</f>
        <v>1042.98258706343</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