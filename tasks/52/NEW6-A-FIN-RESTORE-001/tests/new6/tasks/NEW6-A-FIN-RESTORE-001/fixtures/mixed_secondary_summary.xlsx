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new6sheet20.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visible"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visible" r:id="rId20"/>
    <sheet name="Review summary" sheetId="19" state="visible" r:id="rId21"/>
    <sheet name="Secondary final comparison" sheetId="20" r:id="rIdNEW620"/>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fals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fals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fals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fals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fals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fals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fals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fals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fals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fals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fals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fals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fals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fals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fals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fals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fals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fals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fals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fals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fals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fals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fals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fals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fals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fals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fals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fals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fals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fals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fals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fals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fals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fals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fals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fals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fals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fals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fals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fals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fals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fals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fals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fals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<sst xmlns="http://schemas.openxmlformats.org/spreadsheetml/2006/main" count="1495" uniqueCount="803">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</sst>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8" xfId="0" applyFont="true" applyBorder="true" applyAlignment="true" applyProtection="false">
      <alignment horizontal="center" vertical="bottom" textRotation="0" wrapText="false" indent="0" shrinkToFit="false"/>
      <protection locked="true" hidden="false"/>
    </xf>
    <xf numFmtId="166" fontId="12" fillId="3" borderId="8" xfId="0" applyFont="true" applyBorder="true" applyAlignment="true" applyProtection="fals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9"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false" applyProtection="false">
      <alignment horizontal="general" vertical="bottom" textRotation="0" wrapText="false" indent="0" shrinkToFit="false"/>
      <protection locked="true" hidden="false"/>
    </xf>
    <xf numFmtId="164" fontId="9" fillId="0" borderId="16" xfId="0" applyFont="true" applyBorder="tru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8" fontId="9" fillId="3" borderId="0"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true" applyProtection="false">
      <alignment horizontal="center" vertical="bottom" textRotation="0" wrapText="false" indent="0" shrinkToFit="false"/>
      <protection locked="true" hidden="false"/>
    </xf>
    <xf numFmtId="171" fontId="9" fillId="2"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9" fillId="2" borderId="1" xfId="0" applyFont="true" applyBorder="true" applyAlignment="true" applyProtection="false">
      <alignment horizontal="center" vertical="bottom" textRotation="0" wrapText="false" indent="0" shrinkToFit="false"/>
      <protection locked="true" hidden="false"/>
    </xf>
    <xf numFmtId="169" fontId="9" fillId="3" borderId="0" xfId="0" applyFont="true" applyBorder="true" applyAlignment="true" applyProtection="fals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71" fontId="0" fillId="2"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6"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0" applyFont="true" applyBorder="true" applyAlignment="false" applyProtection="false">
      <alignment horizontal="general" vertical="bottom" textRotation="0" wrapText="false" indent="0" shrinkToFit="false"/>
      <protection locked="true" hidden="false"/>
    </xf>
    <xf numFmtId="171" fontId="19" fillId="6" borderId="1" xfId="0" applyFont="true" applyBorder="true" applyAlignment="false" applyProtection="false">
      <alignment horizontal="general" vertical="bottom" textRotation="0" wrapText="false" indent="0" shrinkToFit="false"/>
      <protection locked="true" hidden="false"/>
    </xf>
    <xf numFmtId="173" fontId="19" fillId="6" borderId="1" xfId="0" applyFont="true" applyBorder="true" applyAlignment="false" applyProtection="fals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9" fillId="6" borderId="1" xfId="0" applyFont="true" applyBorder="true" applyAlignment="true" applyProtection="false">
      <alignment horizontal="center" vertical="bottom" textRotation="0" wrapText="false" indent="0" shrinkToFit="false"/>
      <protection locked="true" hidden="false"/>
    </xf>
    <xf numFmtId="170" fontId="19" fillId="6" borderId="1" xfId="0" applyFont="true" applyBorder="true" applyAlignment="fals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bottom" textRotation="0" wrapText="true" indent="0" shrinkToFit="false"/>
      <protection locked="true" hidden="false"/>
    </xf>
    <xf numFmtId="164" fontId="24" fillId="0" borderId="22" xfId="0" applyFont="true" applyBorder="true" applyAlignment="false" applyProtection="false">
      <alignment horizontal="general" vertical="bottom" textRotation="0" wrapText="false" indent="0" shrinkToFit="false"/>
      <protection locked="true" hidden="false"/>
    </xf>
    <xf numFmtId="164" fontId="29" fillId="0" borderId="9" xfId="0" applyFont="true" applyBorder="true" applyAlignment="true" applyProtection="false">
      <alignment horizontal="center" vertical="bottom" textRotation="0" wrapText="false" indent="0" shrinkToFit="false"/>
      <protection locked="true" hidden="false"/>
    </xf>
    <xf numFmtId="175" fontId="29" fillId="0" borderId="9"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4" fillId="0" borderId="24" xfId="0" applyFont="true" applyBorder="true" applyAlignment="false" applyProtection="fals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8" fontId="24" fillId="0" borderId="25"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general" vertical="bottom" textRotation="0" wrapText="true" indent="0" shrinkToFit="false"/>
      <protection locked="true" hidden="false"/>
    </xf>
    <xf numFmtId="164" fontId="24" fillId="0" borderId="21" xfId="0" applyFont="true" applyBorder="true" applyAlignment="false" applyProtection="false">
      <alignment horizontal="general" vertical="bottom" textRotation="0" wrapText="false" indent="0" shrinkToFit="false"/>
      <protection locked="true" hidden="false"/>
    </xf>
    <xf numFmtId="167" fontId="24" fillId="0" borderId="25" xfId="0" applyFont="true" applyBorder="true" applyAlignment="true" applyProtection="false">
      <alignment horizontal="general" vertical="bottom" textRotation="0" wrapText="false" indent="0" shrinkToFit="false"/>
      <protection locked="true" hidden="false"/>
    </xf>
    <xf numFmtId="167" fontId="24" fillId="0" borderId="8"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8" fontId="24" fillId="0" borderId="15" xfId="0" applyFont="true" applyBorder="tru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24" fillId="0" borderId="28" xfId="0" applyFont="true" applyBorder="true" applyAlignment="true" applyProtection="false">
      <alignment horizontal="center" vertical="bottom" textRotation="0" wrapText="false" indent="0" shrinkToFit="false"/>
      <protection locked="true" hidden="false"/>
    </xf>
    <xf numFmtId="164" fontId="24" fillId="0" borderId="29" xfId="0" applyFont="true" applyBorder="true" applyAlignment="true" applyProtection="false">
      <alignment horizontal="center" vertical="bottom" textRotation="0" wrapText="false" indent="0" shrinkToFit="false"/>
      <protection locked="true" hidden="false"/>
    </xf>
    <xf numFmtId="168" fontId="24" fillId="0" borderId="18" xfId="0" applyFont="true" applyBorder="true" applyAlignment="true" applyProtection="false">
      <alignment horizontal="center" vertical="bottom" textRotation="0" wrapText="false" indent="0" shrinkToFit="false"/>
      <protection locked="true" hidden="false"/>
    </xf>
    <xf numFmtId="164" fontId="24" fillId="0" borderId="30" xfId="0" applyFont="true" applyBorder="true" applyAlignment="false" applyProtection="false">
      <alignment horizontal="general"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9" fillId="0" borderId="32" xfId="0" applyFont="true" applyBorder="true" applyAlignment="true" applyProtection="false">
      <alignment horizontal="center"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64" fontId="29" fillId="0" borderId="34"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fals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4" fillId="0" borderId="32" xfId="0" applyFont="true" applyBorder="true" applyAlignment="true" applyProtection="fals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30" fillId="0" borderId="13"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false">
      <alignment horizontal="left" vertical="bottom" textRotation="0" wrapText="fals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4" fontId="24"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27" xfId="0" applyFont="true" applyBorder="true" applyAlignment="true" applyProtection="fals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false">
      <alignment horizontal="right" vertical="bottom" textRotation="0" wrapText="false" indent="0" shrinkToFit="false"/>
      <protection locked="true" hidden="false"/>
    </xf>
    <xf numFmtId="171" fontId="24" fillId="0" borderId="36" xfId="0" applyFont="true" applyBorder="true" applyAlignment="true" applyProtection="fals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36" fillId="6" borderId="1" xfId="0" applyFont="true" applyBorder="true" applyAlignment="false" applyProtection="fals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false" applyProtection="fals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false" applyProtection="false">
      <alignment horizontal="general" vertical="bottom" textRotation="0" wrapText="false" indent="0" shrinkToFit="false"/>
      <protection locked="true" hidden="false"/>
    </xf>
    <xf numFmtId="177" fontId="36" fillId="6"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6" fontId="40" fillId="0" borderId="1" xfId="0" applyFont="true" applyBorder="true" applyAlignment="false" applyProtection="false">
      <alignment horizontal="general" vertical="bottom" textRotation="0" wrapText="false" indent="0" shrinkToFit="false"/>
      <protection locked="true" hidden="false"/>
    </xf>
    <xf numFmtId="167" fontId="36" fillId="0" borderId="1" xfId="0" applyFont="true" applyBorder="true" applyAlignment="false" applyProtection="false">
      <alignment horizontal="general" vertical="bottom" textRotation="0" wrapText="false" indent="0" shrinkToFit="false"/>
      <protection locked="true" hidden="false"/>
    </xf>
    <xf numFmtId="168" fontId="40" fillId="0" borderId="0" xfId="0" applyFont="true" applyBorder="false" applyAlignment="false" applyProtection="false">
      <alignment horizontal="general" vertical="bottom" textRotation="0" wrapText="false" indent="0" shrinkToFit="false"/>
      <protection locked="true" hidden="false"/>
    </xf>
    <xf numFmtId="178" fontId="36" fillId="0" borderId="1" xfId="0" applyFont="true" applyBorder="true" applyAlignment="false" applyProtection="false">
      <alignment horizontal="general"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8" fontId="40" fillId="0" borderId="1" xfId="0" applyFont="true" applyBorder="true" applyAlignment="false" applyProtection="fals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false" applyProtection="false">
      <alignment horizontal="general" vertical="bottom" textRotation="0" wrapText="false" indent="0" shrinkToFit="false"/>
      <protection locked="true" hidden="false"/>
    </xf>
    <xf numFmtId="168" fontId="36"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6" borderId="1" xfId="0" applyFont="true" applyBorder="true" applyAlignment="false" applyProtection="false">
      <alignment horizontal="general" vertical="bottom" textRotation="0" wrapText="false" indent="0" shrinkToFit="false"/>
      <protection locked="true" hidden="false"/>
    </xf>
    <xf numFmtId="164" fontId="43" fillId="6" borderId="1"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false" applyProtection="false">
      <alignment horizontal="general" vertical="bottom" textRotation="0" wrapText="false" indent="0" shrinkToFit="false"/>
      <protection locked="true" hidden="false"/>
    </xf>
    <xf numFmtId="164" fontId="43" fillId="6" borderId="15" xfId="0" applyFont="true" applyBorder="true" applyAlignment="false" applyProtection="false">
      <alignment horizontal="general" vertical="bottom" textRotation="0" wrapText="false" indent="0" shrinkToFit="false"/>
      <protection locked="true" hidden="false"/>
    </xf>
    <xf numFmtId="168" fontId="43" fillId="6" borderId="15" xfId="0" applyFont="true" applyBorder="true" applyAlignment="true" applyProtection="false">
      <alignment horizontal="right" vertical="bottom" textRotation="0" wrapText="fals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8" fontId="44" fillId="0" borderId="7" xfId="0" applyFont="true" applyBorder="true" applyAlignment="true" applyProtection="false">
      <alignment horizontal="center" vertical="bottom" textRotation="0" wrapText="false" indent="0" shrinkToFit="false"/>
      <protection locked="true" hidden="false"/>
    </xf>
    <xf numFmtId="164" fontId="40" fillId="3" borderId="38" xfId="0" applyFont="true" applyBorder="true" applyAlignment="true" applyProtection="false">
      <alignment horizontal="general" vertical="center" textRotation="0" wrapText="true" indent="0" shrinkToFit="false"/>
      <protection locked="true" hidden="false"/>
    </xf>
    <xf numFmtId="164" fontId="37" fillId="3" borderId="9" xfId="0" applyFont="true" applyBorder="true" applyAlignment="true" applyProtection="false">
      <alignment horizontal="center" vertical="center" textRotation="0" wrapText="true" indent="0" shrinkToFit="false"/>
      <protection locked="true" hidden="false"/>
    </xf>
    <xf numFmtId="164" fontId="37" fillId="3" borderId="39" xfId="0" applyFont="true" applyBorder="true" applyAlignment="true" applyProtection="false">
      <alignment horizontal="center" vertical="center" textRotation="0" wrapText="true" indent="0" shrinkToFit="false"/>
      <protection locked="true" hidden="false"/>
    </xf>
    <xf numFmtId="164" fontId="36" fillId="3" borderId="38" xfId="0" applyFont="true" applyBorder="true" applyAlignment="true" applyProtection="false">
      <alignment horizontal="general"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false" indent="0" shrinkToFit="false"/>
      <protection locked="true" hidden="false"/>
    </xf>
    <xf numFmtId="164" fontId="36" fillId="3" borderId="41" xfId="0" applyFont="tru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bottom" textRotation="0" wrapText="false" indent="0" shrinkToFit="false"/>
      <protection locked="true" hidden="false"/>
    </xf>
    <xf numFmtId="164" fontId="36" fillId="6" borderId="40" xfId="0" applyFont="true" applyBorder="true" applyAlignment="true" applyProtection="false">
      <alignment horizontal="left" vertical="bottom" textRotation="0" wrapText="false" indent="0" shrinkToFit="false"/>
      <protection locked="true" hidden="false"/>
    </xf>
    <xf numFmtId="164" fontId="36" fillId="3" borderId="42" xfId="0" applyFont="true" applyBorder="true" applyAlignment="false" applyProtection="fals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false">
      <alignment horizontal="center"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80" fontId="45" fillId="0" borderId="1" xfId="0" applyFont="true" applyBorder="true" applyAlignment="true" applyProtection="false">
      <alignment horizontal="center" vertical="bottom" textRotation="0" wrapText="false" indent="0" shrinkToFit="false"/>
      <protection locked="true" hidden="false"/>
    </xf>
    <xf numFmtId="167" fontId="45" fillId="9" borderId="1" xfId="0" applyFont="true" applyBorder="true" applyAlignment="true" applyProtection="false">
      <alignment horizontal="center" vertical="bottom" textRotation="0" wrapText="false" indent="0" shrinkToFit="false"/>
      <protection locked="true" hidden="false"/>
    </xf>
    <xf numFmtId="167" fontId="46" fillId="0" borderId="0" xfId="0" applyFont="true" applyBorder="false" applyAlignment="false" applyProtection="fals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fals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false" applyProtection="false">
      <alignment horizontal="general" vertical="bottom" textRotation="0" wrapText="false" indent="0" shrinkToFit="false"/>
      <protection locked="true" hidden="false"/>
    </xf>
    <xf numFmtId="171" fontId="36" fillId="0" borderId="19" xfId="0" applyFont="true" applyBorder="true" applyAlignment="false" applyProtection="fals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82" fontId="47" fillId="2" borderId="1" xfId="0" applyFont="true" applyBorder="true" applyAlignment="true" applyProtection="false">
      <alignment horizontal="right" vertical="bottom" textRotation="0" wrapText="false" indent="0" shrinkToFit="false"/>
      <protection locked="true" hidden="false"/>
    </xf>
    <xf numFmtId="164" fontId="48" fillId="2"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36" fillId="2" borderId="7"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5" xfId="0" applyFont="true" applyBorder="true" applyAlignment="false" applyProtection="false">
      <alignment horizontal="general" vertical="bottom" textRotation="0" wrapText="false" indent="0" shrinkToFit="false"/>
      <protection locked="true" hidden="false"/>
    </xf>
    <xf numFmtId="166" fontId="36" fillId="6" borderId="15" xfId="0" applyFont="true" applyBorder="true" applyAlignment="false" applyProtection="fals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false" applyProtection="false">
      <alignment horizontal="general" vertical="bottom" textRotation="0" wrapText="false" indent="0" shrinkToFit="false"/>
      <protection locked="true" hidden="false"/>
    </xf>
    <xf numFmtId="164" fontId="36" fillId="6" borderId="7" xfId="0" applyFont="true" applyBorder="true" applyAlignment="false" applyProtection="false">
      <alignment horizontal="general" vertical="bottom" textRotation="0" wrapText="false" indent="0" shrinkToFit="false"/>
      <protection locked="true" hidden="false"/>
    </xf>
    <xf numFmtId="166" fontId="36" fillId="6" borderId="7" xfId="0" applyFont="true" applyBorder="true" applyAlignment="false" applyProtection="false">
      <alignment horizontal="general" vertical="bottom" textRotation="0" wrapText="false" indent="0" shrinkToFit="false"/>
      <protection locked="true" hidden="false"/>
    </xf>
    <xf numFmtId="173" fontId="36" fillId="6" borderId="7" xfId="0" applyFont="true" applyBorder="true" applyAlignment="false" applyProtection="false">
      <alignment horizontal="general" vertical="bottom" textRotation="0" wrapText="false" indent="0" shrinkToFit="false"/>
      <protection locked="true" hidden="false"/>
    </xf>
    <xf numFmtId="166" fontId="36" fillId="6" borderId="44" xfId="0" applyFont="tru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2" borderId="1" xfId="0" applyFont="true" applyBorder="true" applyAlignment="false" applyProtection="false">
      <alignment horizontal="general" vertical="bottom" textRotation="0" wrapText="false" indent="0" shrinkToFit="false"/>
      <protection locked="true" hidden="false"/>
    </xf>
    <xf numFmtId="164" fontId="36" fillId="1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7" fontId="36" fillId="2" borderId="1" xfId="0" applyFont="true" applyBorder="true" applyAlignment="false" applyProtection="false">
      <alignment horizontal="general" vertical="bottom" textRotation="0" wrapText="false" indent="0" shrinkToFit="false"/>
      <protection locked="true" hidden="false"/>
    </xf>
    <xf numFmtId="167" fontId="36" fillId="9" borderId="1" xfId="0" applyFont="true" applyBorder="true" applyAlignment="false" applyProtection="false">
      <alignment horizontal="general" vertical="bottom" textRotation="0" wrapText="false" indent="0" shrinkToFit="false"/>
      <protection locked="true" hidden="false"/>
    </xf>
    <xf numFmtId="168" fontId="36" fillId="2" borderId="1" xfId="0" applyFont="true" applyBorder="true" applyAlignment="true" applyProtection="false">
      <alignment horizontal="center" vertical="bottom" textRotation="0" wrapText="false" indent="0" shrinkToFit="false"/>
      <protection locked="true" hidden="false"/>
    </xf>
    <xf numFmtId="168" fontId="36" fillId="6"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8" fontId="0" fillId="2" borderId="1" xfId="0" applyFont="fals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fals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center" vertical="bottom" textRotation="0" wrapText="false" indent="0" shrinkToFit="false"/>
      <protection locked="true" hidden="false"/>
    </xf>
    <xf numFmtId="168" fontId="36" fillId="2" borderId="1" xfId="0" applyFont="true" applyBorder="true" applyAlignment="false" applyProtection="false">
      <alignment horizontal="general" vertical="bottom" textRotation="0" wrapText="false" indent="0" shrinkToFit="false"/>
      <protection locked="true" hidden="false"/>
    </xf>
    <xf numFmtId="183" fontId="36" fillId="6"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false" applyProtection="false">
      <alignment horizontal="general" vertical="bottom" textRotation="0" wrapText="false" indent="0" shrinkToFit="false"/>
      <protection locked="true" hidden="false"/>
    </xf>
    <xf numFmtId="185" fontId="36" fillId="6"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68" fontId="36" fillId="6" borderId="15" xfId="0" applyFont="true" applyBorder="true" applyAlignment="false" applyProtection="fals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1" fontId="36" fillId="6" borderId="7" xfId="0" applyFont="true" applyBorder="true" applyAlignment="false" applyProtection="false">
      <alignment horizontal="general" vertical="bottom" textRotation="0" wrapText="false" indent="0" shrinkToFit="false"/>
      <protection locked="true" hidden="false"/>
    </xf>
    <xf numFmtId="168" fontId="36" fillId="6" borderId="7" xfId="0" applyFont="true" applyBorder="true" applyAlignment="false" applyProtection="false">
      <alignment horizontal="general" vertical="bottom" textRotation="0" wrapText="false" indent="0" shrinkToFit="false"/>
      <protection locked="true" hidden="false"/>
    </xf>
    <xf numFmtId="167" fontId="40" fillId="6" borderId="7" xfId="0" applyFont="true" applyBorder="true" applyAlignment="true" applyProtection="false">
      <alignment horizontal="center" vertical="bottom" textRotation="0" wrapText="false" indent="0" shrinkToFit="false"/>
      <protection locked="true" hidden="false"/>
    </xf>
    <xf numFmtId="164" fontId="55" fillId="6" borderId="44" xfId="0" applyFont="true" applyBorder="true" applyAlignment="true" applyProtection="fals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false">
      <alignment horizontal="center" vertical="bottom" textRotation="0" wrapText="false" indent="0" shrinkToFit="false"/>
      <protection locked="true" hidden="false"/>
    </xf>
    <xf numFmtId="168" fontId="40" fillId="0" borderId="0" xfId="0" applyFont="true" applyBorder="true" applyAlignment="true" applyProtection="false">
      <alignment horizontal="center" vertical="bottom" textRotation="0" wrapText="false" indent="0" shrinkToFit="false"/>
      <protection locked="true" hidden="false"/>
    </xf>
    <xf numFmtId="168" fontId="37" fillId="0" borderId="0"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4" fontId="48" fillId="0" borderId="1" xfId="0" applyFont="true" applyBorder="true" applyAlignment="true" applyProtection="fals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false">
      <alignment horizontal="center" vertical="bottom" textRotation="0" wrapText="false" indent="0" shrinkToFit="false"/>
      <protection locked="true" hidden="false"/>
    </xf>
    <xf numFmtId="168" fontId="48"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6" fillId="0" borderId="1" xfId="0" applyFont="true" applyBorder="true" applyAlignment="true" applyProtection="false">
      <alignment horizontal="center" vertical="bottom" textRotation="0" wrapText="true" indent="0" shrinkToFit="false"/>
      <protection locked="true" hidden="false"/>
    </xf>
    <xf numFmtId="168" fontId="56" fillId="0" borderId="1" xfId="0" applyFont="true" applyBorder="true" applyAlignment="true" applyProtection="false">
      <alignment horizontal="center" vertical="bottom" textRotation="0" wrapText="true" indent="0" shrinkToFit="false"/>
      <protection locked="true" hidden="false"/>
    </xf>
    <xf numFmtId="167" fontId="56" fillId="0"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7" fontId="43" fillId="0" borderId="0" xfId="0" applyFont="true" applyBorder="fals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25"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8" fontId="30"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8" fontId="30" fillId="0" borderId="8" xfId="0" applyFont="true" applyBorder="true" applyAlignment="true" applyProtection="false">
      <alignment horizontal="center" vertical="bottom" textRotation="0" wrapText="false" indent="0" shrinkToFit="false"/>
      <protection locked="true" hidden="false"/>
    </xf>
    <xf numFmtId="164" fontId="27" fillId="0" borderId="46"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46"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bottom" textRotation="0" wrapText="false" indent="0" shrinkToFit="false"/>
      <protection locked="true" hidden="false"/>
    </xf>
    <xf numFmtId="168" fontId="30" fillId="0" borderId="25" xfId="0" applyFont="true" applyBorder="true" applyAlignment="true" applyProtection="fals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8" fillId="0" borderId="46" xfId="0" applyFont="true" applyBorder="true" applyAlignment="true" applyProtection="false">
      <alignment horizontal="left"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false">
      <alignment horizontal="center" vertical="bottom" textRotation="0" wrapText="false" indent="0" shrinkToFit="false"/>
      <protection locked="true" hidden="false"/>
    </xf>
    <xf numFmtId="164" fontId="24" fillId="0" borderId="31"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1" fontId="56" fillId="0" borderId="0" xfId="0" applyFont="true" applyBorder="fals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5" xfId="0" applyFont="true" applyBorder="true" applyAlignment="true" applyProtection="fals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 Id="rIdNEW620" Type="http://schemas.openxmlformats.org/officeDocument/2006/relationships/worksheet" Target="worksheets/new6sheet20.xml"/></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434520</xdr:colOff>
      <xdr:row>3</xdr:row>
      <xdr:rowOff>92160</xdr:rowOff>
    </xdr:to>
    <xdr:sp>
      <xdr:nvSpPr>
        <xdr:cNvPr id="1" name="TextBox 2"/>
        <xdr:cNvSpPr/>
      </xdr:nvSpPr>
      <xdr:spPr>
        <a:xfrm>
          <a:off x="14919840" y="73800"/>
          <a:ext cx="2215080" cy="608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627480</xdr:colOff>
      <xdr:row>45</xdr:row>
      <xdr:rowOff>20880</xdr:rowOff>
    </xdr:to>
    <xdr:sp>
      <xdr:nvSpPr>
        <xdr:cNvPr id="2" name="TextBox 3"/>
        <xdr:cNvSpPr/>
      </xdr:nvSpPr>
      <xdr:spPr>
        <a:xfrm>
          <a:off x="12715200" y="8098920"/>
          <a:ext cx="4612680" cy="78012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411480</xdr:colOff>
      <xdr:row>9</xdr:row>
      <xdr:rowOff>9720</xdr:rowOff>
    </xdr:to>
    <xdr:sp>
      <xdr:nvSpPr>
        <xdr:cNvPr id="3" name="TextBox 1"/>
        <xdr:cNvSpPr/>
      </xdr:nvSpPr>
      <xdr:spPr>
        <a:xfrm>
          <a:off x="15854760" y="1306800"/>
          <a:ext cx="213336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276120</xdr:colOff>
      <xdr:row>6</xdr:row>
      <xdr:rowOff>9360</xdr:rowOff>
    </xdr:to>
    <xdr:sp>
      <xdr:nvSpPr>
        <xdr:cNvPr id="4" name="TextBox 4"/>
        <xdr:cNvSpPr/>
      </xdr:nvSpPr>
      <xdr:spPr>
        <a:xfrm>
          <a:off x="15834240" y="735120"/>
          <a:ext cx="289512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35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356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new6sheet20.xml><?xml version="1.0" encoding="utf-8"?>
<worksheet xmlns="http://schemas.openxmlformats.org/spreadsheetml/2006/main">
  <sheetData>
    <row r="1">
      <c r="A1" t="inlineStr">
        <is>
          <t>Equity value difference</t>
        </is>
      </c>
      <c r="B1">
        <v>12345</v>
      </c>
    </row>
  </sheetData>
</worksheet>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e">
        <f aca="false">cb_data_!#ref!</f>
      </c>
      <c r="B11" s="0" t="e">
        <f aca="false">'input sheet'!#ref!</f>
      </c>
      <c r="C11" s="0" t="e">
        <f aca="false">'valuation output'!#ref!</f>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t="s">
        <v>14</v>
      </c>
    </row>
    <row r="26" customFormat="false" ht="12" hidden="false" customHeight="false" outlineLevel="0" collapsed="false">
      <c r="A26" s="2" t="s">
        <v>15</v>
      </c>
      <c r="B26" s="2" t="s">
        <v>16</v>
      </c>
      <c r="C26" s="2" t="s">
        <v>16</v>
      </c>
    </row>
    <row r="27" customFormat="false" ht="12" hidden="false" customHeight="false" outlineLevel="0" collapsed="false">
      <c r="A27" s="3" t="s">
        <v>17</v>
      </c>
      <c r="B27" s="3" t="s">
        <v>18</v>
      </c>
      <c r="C27" s="3" t="s">
        <v>19</v>
      </c>
    </row>
    <row r="28" customFormat="false" ht="12" hidden="false" customHeight="false" outlineLevel="0" collapsed="false">
      <c r="A28" s="2" t="s">
        <v>20</v>
      </c>
      <c r="B28" s="2" t="s">
        <v>20</v>
      </c>
      <c r="C28" s="2" t="s">
        <v>20</v>
      </c>
    </row>
    <row r="29" customFormat="false" ht="12" hidden="false" customHeight="false" outlineLevel="0" collapsed="false">
      <c r="B29" s="2" t="s">
        <v>15</v>
      </c>
      <c r="C29" s="2" t="s">
        <v>15</v>
      </c>
    </row>
    <row r="30" customFormat="false" ht="12" hidden="false" customHeight="false" outlineLevel="0" collapsed="false">
      <c r="B30" s="3" t="s">
        <v>21</v>
      </c>
      <c r="C30" s="3" t="s">
        <v>22</v>
      </c>
    </row>
    <row r="31" customFormat="false" ht="12" hidden="false" customHeight="false" outlineLevel="0" collapsed="false">
      <c r="B31" s="2" t="s">
        <v>20</v>
      </c>
      <c r="C31" s="2"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4" width="49.67"/>
    <col collapsed="false" customWidth="true" hidden="false" outlineLevel="0" max="2" min="2" style="4" width="26.5"/>
    <col collapsed="false" customWidth="true" hidden="false" outlineLevel="0" max="3" min="3" style="4" width="17"/>
    <col collapsed="false" customWidth="true" hidden="false" outlineLevel="0" max="4" min="4" style="4" width="16.67"/>
    <col collapsed="false" customWidth="false" hidden="false" outlineLevel="0" max="7" min="5" style="4" width="10.83"/>
    <col collapsed="false" customWidth="true" hidden="false" outlineLevel="0" max="8" min="8" style="4" width="11"/>
    <col collapsed="false" customWidth="true" hidden="false" outlineLevel="0" max="9" min="9" style="4" width="13.5"/>
    <col collapsed="false" customWidth="true" hidden="false" outlineLevel="0" max="10" min="10" style="4" width="15"/>
    <col collapsed="false" customWidth="true" hidden="false" outlineLevel="0" max="11" min="11" style="4" width="17.5"/>
    <col collapsed="false" customWidth="false" hidden="false" outlineLevel="0" max="16384" min="12" style="4" width="10.83"/>
  </cols>
  <sheetData>
    <row r="1" customFormat="false" ht="12.65" hidden="false" customHeight="false" outlineLevel="0" collapsed="false">
      <c r="A1" s="5" t="s">
        <v>23</v>
      </c>
      <c r="B1" s="6" t="n">
        <v>41882</v>
      </c>
      <c r="C1" s="7" t="s">
        <v>24</v>
      </c>
      <c r="D1" s="8"/>
      <c r="E1" s="8"/>
      <c r="F1" s="8"/>
      <c r="G1" s="8"/>
      <c r="H1" s="8"/>
      <c r="I1" s="8"/>
      <c r="J1" s="9"/>
    </row>
    <row r="2" s="15" customFormat="true" ht="12.65" hidden="false" customHeight="false" outlineLevel="0" collapsed="false">
      <c r="A2" s="10" t="s">
        <v>25</v>
      </c>
      <c r="B2" s="11" t="s">
        <v>26</v>
      </c>
      <c r="C2" s="12" t="s">
        <v>27</v>
      </c>
      <c r="D2" s="13"/>
      <c r="E2" s="13"/>
      <c r="F2" s="13"/>
      <c r="G2" s="13"/>
      <c r="H2" s="13"/>
      <c r="I2" s="13"/>
      <c r="J2" s="14"/>
    </row>
    <row r="3" s="15" customFormat="true" ht="12.65" hidden="false" customHeight="false" outlineLevel="0" collapsed="false">
      <c r="A3" s="16" t="s">
        <v>28</v>
      </c>
      <c r="B3" s="16"/>
      <c r="C3" s="16"/>
      <c r="D3" s="16"/>
      <c r="E3" s="16"/>
      <c r="F3" s="16"/>
      <c r="G3" s="16"/>
      <c r="H3" s="16"/>
      <c r="I3" s="16"/>
      <c r="J3" s="16"/>
    </row>
    <row r="4" s="15" customFormat="true" ht="12.65" hidden="false" customHeight="false" outlineLevel="0" collapsed="false">
      <c r="A4" s="17"/>
      <c r="B4" s="17" t="s">
        <v>29</v>
      </c>
      <c r="C4" s="18" t="s">
        <v>30</v>
      </c>
      <c r="D4" s="13"/>
      <c r="E4" s="13"/>
      <c r="F4" s="13"/>
      <c r="G4" s="13"/>
      <c r="H4" s="13"/>
      <c r="I4" s="13"/>
    </row>
    <row r="5" s="15" customFormat="true" ht="12.65" hidden="false" customHeight="false" outlineLevel="0" collapsed="false">
      <c r="A5" s="19" t="s">
        <v>31</v>
      </c>
      <c r="B5" s="20" t="s">
        <v>32</v>
      </c>
      <c r="C5" s="18"/>
      <c r="D5" s="13"/>
      <c r="E5" s="13"/>
      <c r="F5" s="13"/>
      <c r="G5" s="13"/>
      <c r="H5" s="13"/>
      <c r="I5" s="13"/>
    </row>
    <row r="6" s="15" customFormat="true" ht="12.65" hidden="false" customHeight="false" outlineLevel="0" collapsed="false">
      <c r="A6" s="19" t="s">
        <v>33</v>
      </c>
      <c r="B6" s="20" t="s">
        <v>34</v>
      </c>
      <c r="C6" s="13"/>
      <c r="D6" s="13"/>
      <c r="E6" s="13"/>
      <c r="F6" s="13"/>
      <c r="G6" s="13"/>
      <c r="H6" s="13"/>
      <c r="I6" s="13"/>
    </row>
    <row r="7" s="15" customFormat="true" ht="12.65" hidden="false" customHeight="false" outlineLevel="0" collapsed="false">
      <c r="A7" s="19" t="s">
        <v>35</v>
      </c>
      <c r="B7" s="20" t="s">
        <v>34</v>
      </c>
      <c r="C7" s="21" t="s">
        <v>36</v>
      </c>
      <c r="D7" s="21" t="s">
        <v>37</v>
      </c>
      <c r="E7" s="13"/>
      <c r="F7" s="13"/>
      <c r="G7" s="13"/>
      <c r="H7" s="13"/>
      <c r="I7" s="13"/>
    </row>
    <row r="8" s="15" customFormat="true" ht="12.65" hidden="false" customHeight="false" outlineLevel="0" collapsed="false">
      <c r="A8" s="22" t="s">
        <v>38</v>
      </c>
      <c r="B8" s="23" t="n">
        <v>208125</v>
      </c>
      <c r="C8" s="23" t="n">
        <v>177866</v>
      </c>
      <c r="D8" s="24" t="n">
        <v>0.5</v>
      </c>
    </row>
    <row r="9" s="15" customFormat="true" ht="12.65" hidden="false" customHeight="false" outlineLevel="0" collapsed="false">
      <c r="A9" s="22" t="s">
        <v>39</v>
      </c>
      <c r="B9" s="23" t="n">
        <v>7385</v>
      </c>
      <c r="C9" s="23" t="n">
        <v>4106</v>
      </c>
      <c r="D9" s="24" t="n">
        <v>0.5</v>
      </c>
    </row>
    <row r="10" s="15" customFormat="true" ht="12.65" hidden="false" customHeight="false" outlineLevel="0" collapsed="false">
      <c r="A10" s="22" t="s">
        <v>40</v>
      </c>
      <c r="B10" s="23" t="n">
        <v>1239</v>
      </c>
      <c r="C10" s="23" t="n">
        <v>848</v>
      </c>
      <c r="D10" s="25"/>
    </row>
    <row r="11" s="15" customFormat="true" ht="12.65" hidden="false" customHeight="false" outlineLevel="0" collapsed="false">
      <c r="A11" s="22" t="s">
        <v>41</v>
      </c>
      <c r="B11" s="23" t="n">
        <v>34995</v>
      </c>
      <c r="C11" s="23" t="n">
        <v>27709</v>
      </c>
      <c r="D11" s="25"/>
    </row>
    <row r="12" s="15" customFormat="true" ht="12.65" hidden="false" customHeight="false" outlineLevel="0" collapsed="false">
      <c r="A12" s="22" t="s">
        <v>42</v>
      </c>
      <c r="B12" s="23" t="n">
        <v>27050</v>
      </c>
      <c r="C12" s="23" t="n">
        <v>24473</v>
      </c>
      <c r="D12" s="25"/>
    </row>
    <row r="13" s="15" customFormat="true" ht="12.65" hidden="false" customHeight="false" outlineLevel="0" collapsed="false">
      <c r="A13" s="26" t="s">
        <v>43</v>
      </c>
      <c r="B13" s="27" t="s">
        <v>44</v>
      </c>
      <c r="C13" s="28" t="s">
        <v>45</v>
      </c>
      <c r="D13" s="25"/>
    </row>
    <row r="14" s="15" customFormat="true" ht="12.65" hidden="false" customHeight="false" outlineLevel="0" collapsed="false">
      <c r="A14" s="22" t="s">
        <v>46</v>
      </c>
      <c r="B14" s="23" t="s">
        <v>44</v>
      </c>
      <c r="C14" s="25" t="s">
        <v>47</v>
      </c>
      <c r="D14" s="25"/>
    </row>
    <row r="15" s="15" customFormat="true" ht="12.65" hidden="false" customHeight="false" outlineLevel="0" collapsed="false">
      <c r="A15" s="22" t="s">
        <v>48</v>
      </c>
      <c r="B15" s="23" t="n">
        <v>27050</v>
      </c>
      <c r="C15" s="23" t="n">
        <v>30986</v>
      </c>
      <c r="D15" s="25"/>
    </row>
    <row r="16" s="15" customFormat="true" ht="12.65" hidden="false" customHeight="false" outlineLevel="0" collapsed="false">
      <c r="A16" s="22" t="s">
        <v>49</v>
      </c>
      <c r="B16" s="29" t="n">
        <v>0</v>
      </c>
      <c r="C16" s="23" t="n">
        <v>0</v>
      </c>
      <c r="D16" s="25"/>
    </row>
    <row r="17" s="15" customFormat="true" ht="12.65" hidden="false" customHeight="false" outlineLevel="0" collapsed="false">
      <c r="A17" s="22" t="s">
        <v>50</v>
      </c>
      <c r="B17" s="29" t="n">
        <v>0</v>
      </c>
      <c r="C17" s="23" t="n">
        <v>0</v>
      </c>
      <c r="D17" s="25"/>
    </row>
    <row r="18" s="15" customFormat="true" ht="12.65" hidden="false" customHeight="false" outlineLevel="0" collapsed="false">
      <c r="A18" s="22" t="s">
        <v>51</v>
      </c>
      <c r="B18" s="30" t="n">
        <v>497</v>
      </c>
      <c r="C18" s="25"/>
    </row>
    <row r="19" s="15" customFormat="true" ht="12.65" hidden="false" customHeight="false" outlineLevel="0" collapsed="false">
      <c r="A19" s="22" t="s">
        <v>52</v>
      </c>
      <c r="B19" s="23" t="n">
        <v>1970.19</v>
      </c>
      <c r="C19" s="25"/>
      <c r="E19" s="31" t="s">
        <v>53</v>
      </c>
      <c r="F19" s="32"/>
      <c r="G19" s="32"/>
      <c r="H19" s="32"/>
      <c r="I19" s="32"/>
      <c r="J19" s="32"/>
      <c r="K19" s="33"/>
    </row>
    <row r="20" s="15" customFormat="true" ht="12.65" hidden="false" customHeight="false" outlineLevel="0" collapsed="false">
      <c r="A20" s="34" t="s">
        <v>54</v>
      </c>
      <c r="B20" s="35" t="n">
        <f aca="false">769/3806</f>
      </c>
      <c r="C20" s="25"/>
      <c r="E20" s="36" t="s">
        <v>55</v>
      </c>
      <c r="F20" s="13"/>
      <c r="G20" s="13"/>
      <c r="H20" s="13"/>
      <c r="I20" s="13"/>
      <c r="J20" s="13"/>
      <c r="K20" s="37"/>
    </row>
    <row r="21" s="15" customFormat="true" ht="12.65" hidden="false" customHeight="false" outlineLevel="0" collapsed="false">
      <c r="A21" s="34" t="s">
        <v>56</v>
      </c>
      <c r="B21" s="35" t="n">
        <v>0.24</v>
      </c>
      <c r="C21" s="25"/>
      <c r="E21" s="38"/>
      <c r="F21" s="13"/>
      <c r="G21" s="13"/>
      <c r="H21" s="13"/>
      <c r="I21" s="26" t="s">
        <v>57</v>
      </c>
      <c r="J21" s="26" t="s">
        <v>58</v>
      </c>
      <c r="K21" s="37" t="s">
        <v>59</v>
      </c>
    </row>
    <row r="22" s="15" customFormat="true" ht="12.65" hidden="false" customHeight="false" outlineLevel="0" collapsed="false">
      <c r="A22" s="39" t="s">
        <v>60</v>
      </c>
      <c r="B22" s="40"/>
      <c r="C22" s="25"/>
      <c r="E22" s="41" t="s">
        <v>61</v>
      </c>
      <c r="F22" s="13"/>
      <c r="G22" s="13"/>
      <c r="H22" s="13"/>
      <c r="I22" s="42" t="n">
        <f aca="false">IF(C8&gt;0,(B8/C8)^(1/D8)-1, "NA")</f>
      </c>
      <c r="J22" s="42" t="n">
        <f aca="false">VLOOKUP(B6,'Industry Averages(US)'!A2:S95,3)</f>
      </c>
      <c r="K22" s="43" t="n">
        <f aca="false">VLOOKUP(B7,'Global industry averages'!A2:N95,3)</f>
      </c>
    </row>
    <row r="23" s="15" customFormat="true" ht="12.65" hidden="false" customHeight="false" outlineLevel="0" collapsed="false">
      <c r="A23" s="22" t="s">
        <v>62</v>
      </c>
      <c r="B23" s="44" t="n">
        <v>0.15</v>
      </c>
      <c r="C23" s="25" t="s">
        <v>63</v>
      </c>
      <c r="E23" s="41" t="s">
        <v>64</v>
      </c>
      <c r="F23" s="13"/>
      <c r="G23" s="13"/>
      <c r="H23" s="13"/>
      <c r="I23" s="42" t="n">
        <f aca="false">'Valuation output'!B4</f>
      </c>
      <c r="J23" s="43" t="n">
        <f aca="false">VLOOKUP(B6,'Industry Averages(US)'!A2:S95,4)</f>
      </c>
      <c r="K23" s="43" t="n">
        <f aca="false">VLOOKUP(B7,'Global industry averages'!A2:N95,4)</f>
      </c>
    </row>
    <row r="24" s="15" customFormat="true" ht="12.65" hidden="false" customHeight="false" outlineLevel="0" collapsed="false">
      <c r="A24" s="22" t="s">
        <v>65</v>
      </c>
      <c r="B24" s="44" t="n">
        <v>0.125</v>
      </c>
      <c r="C24" s="25" t="s">
        <v>66</v>
      </c>
      <c r="E24" s="41" t="s">
        <v>67</v>
      </c>
      <c r="F24" s="13"/>
      <c r="G24" s="13"/>
      <c r="H24" s="13"/>
      <c r="I24" s="45" t="n">
        <f aca="false">B8/(B11+B12-B15)</f>
      </c>
      <c r="J24" s="45" t="n">
        <f aca="false">VLOOKUP(B6,'Industry Averages(US)'!A2:S95,14)</f>
      </c>
      <c r="K24" s="45" t="n">
        <f aca="false">VLOOKUP(B7,'Global industry averages'!A2:N95,14)</f>
      </c>
    </row>
    <row r="25" s="15" customFormat="true" ht="12.65" hidden="false" customHeight="false" outlineLevel="0" collapsed="false">
      <c r="A25" s="22" t="s">
        <v>68</v>
      </c>
      <c r="B25" s="46" t="n">
        <v>5</v>
      </c>
      <c r="C25" s="25" t="s">
        <v>69</v>
      </c>
      <c r="E25" s="41" t="s">
        <v>70</v>
      </c>
      <c r="F25" s="13"/>
      <c r="G25" s="13"/>
      <c r="H25" s="13"/>
      <c r="I25" s="43" t="n">
        <f aca="false">'Valuation output'!B7/'Valuation output'!B39</f>
      </c>
      <c r="J25" s="43" t="n">
        <f aca="false">VLOOKUP(B6,'Industry Averages(US)'!A2:S95,5)</f>
      </c>
      <c r="K25" s="43" t="n">
        <f aca="false">VLOOKUP(B7,'Global industry averages'!A2:N95,5)</f>
      </c>
    </row>
    <row r="26" s="15" customFormat="true" ht="12.65" hidden="false" customHeight="false" outlineLevel="0" collapsed="false">
      <c r="A26" s="22" t="s">
        <v>71</v>
      </c>
      <c r="B26" s="46" t="n">
        <f aca="false">I24</f>
      </c>
      <c r="C26" s="25" t="s">
        <v>72</v>
      </c>
      <c r="E26" s="41" t="s">
        <v>73</v>
      </c>
      <c r="F26" s="13"/>
      <c r="G26" s="13"/>
      <c r="H26" s="13"/>
      <c r="I26" s="47"/>
      <c r="J26" s="48" t="n">
        <f aca="false">VLOOKUP(B6,'Industry Averages(US)'!A2:S95,10)</f>
      </c>
      <c r="K26" s="43" t="n">
        <f aca="false">VLOOKUP(B6,'Global industry averages'!A2:Z95,10)</f>
      </c>
    </row>
    <row r="27" s="15" customFormat="true" ht="12.65" hidden="false" customHeight="false" outlineLevel="0" collapsed="false">
      <c r="A27" s="39" t="s">
        <v>74</v>
      </c>
      <c r="B27" s="49"/>
      <c r="C27" s="25"/>
      <c r="E27" s="50" t="s">
        <v>75</v>
      </c>
      <c r="F27" s="51"/>
      <c r="G27" s="51"/>
      <c r="H27" s="51"/>
      <c r="I27" s="51"/>
      <c r="J27" s="52" t="n">
        <f aca="false">VLOOKUP(B6,'Industry Averages(US)'!A2:S95,13)</f>
      </c>
      <c r="K27" s="43" t="n">
        <f aca="false">VLOOKUP(B6,'Global industry averages'!A2:Z95,13)</f>
      </c>
    </row>
    <row r="28" s="15" customFormat="true" ht="12.65" hidden="false" customHeight="false" outlineLevel="0" collapsed="false">
      <c r="A28" s="22" t="s">
        <v>76</v>
      </c>
      <c r="B28" s="53" t="n">
        <v>0.03</v>
      </c>
      <c r="C28" s="25"/>
    </row>
    <row r="29" s="15" customFormat="true" ht="12.65" hidden="false" customHeight="false" outlineLevel="0" collapsed="false">
      <c r="A29" s="22" t="s">
        <v>77</v>
      </c>
      <c r="B29" s="44" t="n">
        <v>0.0797</v>
      </c>
      <c r="C29" s="25"/>
      <c r="E29" s="54" t="s">
        <v>78</v>
      </c>
      <c r="F29" s="54"/>
      <c r="G29" s="54"/>
      <c r="H29" s="54"/>
      <c r="I29" s="54"/>
      <c r="J29" s="54"/>
    </row>
    <row r="30" s="15" customFormat="true" ht="12.65" hidden="false" customHeight="false" outlineLevel="0" collapsed="false">
      <c r="A30" s="39" t="s">
        <v>79</v>
      </c>
      <c r="B30" s="55"/>
      <c r="C30" s="55"/>
      <c r="D30" s="25"/>
      <c r="E30" s="56" t="s">
        <v>80</v>
      </c>
      <c r="F30" s="34"/>
      <c r="G30" s="34"/>
      <c r="H30" s="34"/>
      <c r="I30" s="34"/>
      <c r="J30" s="57" t="n">
        <f aca="false">'Valuation output'!M3</f>
      </c>
    </row>
    <row r="31" s="15" customFormat="true" ht="12.65" hidden="false" customHeight="false" outlineLevel="0" collapsed="false">
      <c r="A31" s="34" t="s">
        <v>81</v>
      </c>
      <c r="B31" s="53" t="s">
        <v>82</v>
      </c>
      <c r="D31" s="25"/>
      <c r="E31" s="56" t="s">
        <v>83</v>
      </c>
      <c r="F31" s="34"/>
      <c r="G31" s="34"/>
      <c r="H31" s="34"/>
      <c r="I31" s="34"/>
      <c r="J31" s="57" t="n">
        <f aca="false">'Valuation output'!M5</f>
      </c>
    </row>
    <row r="32" s="15" customFormat="true" ht="12.65" hidden="false" customHeight="false" outlineLevel="0" collapsed="false">
      <c r="A32" s="34" t="s">
        <v>84</v>
      </c>
      <c r="B32" s="46" t="n">
        <v>21.65</v>
      </c>
      <c r="C32" s="58"/>
      <c r="D32" s="25"/>
      <c r="E32" s="56" t="s">
        <v>85</v>
      </c>
      <c r="F32" s="34"/>
      <c r="G32" s="34"/>
      <c r="H32" s="34"/>
      <c r="I32" s="34"/>
      <c r="J32" s="42" t="n">
        <f aca="false">'Valuation output'!L40</f>
      </c>
    </row>
    <row r="33" s="15" customFormat="true" ht="12.65" hidden="false" customHeight="false" outlineLevel="0" collapsed="false">
      <c r="A33" s="34" t="s">
        <v>86</v>
      </c>
      <c r="B33" s="59" t="n">
        <v>61.13</v>
      </c>
      <c r="C33" s="60"/>
      <c r="D33" s="25"/>
      <c r="E33" s="61" t="s">
        <v>87</v>
      </c>
      <c r="F33" s="51"/>
      <c r="G33" s="51"/>
      <c r="H33" s="51"/>
      <c r="I33" s="51"/>
      <c r="J33" s="62"/>
    </row>
    <row r="34" s="15" customFormat="true" ht="12.65" hidden="false" customHeight="false" outlineLevel="0" collapsed="false">
      <c r="A34" s="34" t="s">
        <v>88</v>
      </c>
      <c r="B34" s="46" t="n">
        <v>5.97</v>
      </c>
      <c r="C34" s="58"/>
      <c r="D34" s="25"/>
    </row>
    <row r="35" s="15" customFormat="true" ht="12.65" hidden="false" customHeight="false" outlineLevel="0" collapsed="false">
      <c r="A35" s="34" t="s">
        <v>89</v>
      </c>
      <c r="B35" s="53" t="n">
        <v>0.3</v>
      </c>
      <c r="C35" s="25"/>
    </row>
    <row r="36" s="15" customFormat="true" ht="12.65" hidden="false" customHeight="false" outlineLevel="0" collapsed="false">
      <c r="A36" s="34"/>
      <c r="B36" s="63"/>
      <c r="C36" s="55"/>
      <c r="D36" s="25"/>
    </row>
    <row r="37" s="66" customFormat="true" ht="12.65" hidden="false" customHeight="false" outlineLevel="0" collapsed="false">
      <c r="A37" s="64" t="s">
        <v>90</v>
      </c>
      <c r="B37" s="64"/>
      <c r="C37" s="65"/>
      <c r="D37" s="25"/>
      <c r="H37" s="15"/>
      <c r="I37" s="15"/>
      <c r="J37" s="15"/>
      <c r="K37" s="15"/>
      <c r="L37" s="15"/>
      <c r="M37" s="15"/>
      <c r="N37" s="15"/>
    </row>
    <row r="38" s="15" customFormat="true" ht="12.65" hidden="false" customHeight="false" outlineLevel="0" collapsed="false">
      <c r="A38" s="67" t="s">
        <v>91</v>
      </c>
      <c r="B38" s="67"/>
      <c r="C38" s="68"/>
      <c r="D38" s="25"/>
    </row>
    <row r="39" s="15" customFormat="true" ht="12.65" hidden="false" customHeight="false" outlineLevel="0" collapsed="false">
      <c r="A39" s="69" t="s">
        <v>92</v>
      </c>
      <c r="B39" s="70" t="s">
        <v>44</v>
      </c>
      <c r="C39" s="25" t="s">
        <v>93</v>
      </c>
      <c r="N39" s="66"/>
    </row>
    <row r="40" s="66" customFormat="true" ht="12.65" hidden="false" customHeight="false" outlineLevel="0" collapsed="false">
      <c r="A40" s="69" t="s">
        <v>94</v>
      </c>
      <c r="B40" s="53" t="n">
        <v>0.075</v>
      </c>
      <c r="C40" s="25" t="s">
        <v>95</v>
      </c>
      <c r="D40" s="15"/>
      <c r="N40" s="15"/>
    </row>
    <row r="41" s="15" customFormat="true" ht="12.65" hidden="false" customHeight="false" outlineLevel="0" collapsed="false">
      <c r="A41" s="66" t="s">
        <v>96</v>
      </c>
      <c r="B41" s="66"/>
      <c r="C41" s="25"/>
      <c r="D41" s="66"/>
    </row>
    <row r="42" s="15" customFormat="true" ht="12.65" hidden="false" customHeight="false" outlineLevel="0" collapsed="false">
      <c r="A42" s="15" t="s">
        <v>92</v>
      </c>
      <c r="B42" s="70" t="s">
        <v>44</v>
      </c>
      <c r="C42" s="25" t="s">
        <v>97</v>
      </c>
      <c r="N42" s="66"/>
    </row>
    <row r="43" s="15" customFormat="true" ht="12.65" hidden="false" customHeight="false" outlineLevel="0" collapsed="false">
      <c r="A43" s="15" t="s">
        <v>98</v>
      </c>
      <c r="B43" s="71" t="n">
        <v>0.1</v>
      </c>
      <c r="C43" s="25" t="s">
        <v>99</v>
      </c>
      <c r="H43" s="66"/>
      <c r="I43" s="66"/>
      <c r="J43" s="66"/>
      <c r="K43" s="66"/>
      <c r="L43" s="66"/>
      <c r="M43" s="66"/>
    </row>
    <row r="44" s="15" customFormat="true" ht="12.65" hidden="false" customHeight="false" outlineLevel="0" collapsed="false">
      <c r="A44" s="66" t="s">
        <v>100</v>
      </c>
      <c r="C44" s="25"/>
    </row>
    <row r="45" s="15" customFormat="true" ht="12.65" hidden="false" customHeight="false" outlineLevel="0" collapsed="false">
      <c r="A45" s="15" t="s">
        <v>92</v>
      </c>
      <c r="B45" s="70" t="s">
        <v>82</v>
      </c>
      <c r="C45" s="25" t="s">
        <v>101</v>
      </c>
    </row>
    <row r="46" s="15" customFormat="true" ht="12.65" hidden="false" customHeight="false" outlineLevel="0" collapsed="false">
      <c r="A46" s="15" t="s">
        <v>102</v>
      </c>
      <c r="B46" s="71" t="n">
        <v>0.2</v>
      </c>
      <c r="C46" s="25" t="s">
        <v>103</v>
      </c>
    </row>
    <row r="47" s="15" customFormat="true" ht="12.65" hidden="false" customHeight="false" outlineLevel="0" collapsed="false">
      <c r="A47" s="15" t="s">
        <v>104</v>
      </c>
      <c r="B47" s="71" t="s">
        <v>105</v>
      </c>
      <c r="C47" s="25" t="s">
        <v>106</v>
      </c>
    </row>
    <row r="48" s="15" customFormat="true" ht="12.65" hidden="false" customHeight="false" outlineLevel="0" collapsed="false">
      <c r="A48" s="15" t="s">
        <v>107</v>
      </c>
      <c r="B48" s="71" t="n">
        <v>0.5</v>
      </c>
      <c r="C48" s="25" t="s">
        <v>108</v>
      </c>
    </row>
    <row r="49" s="15" customFormat="true" ht="12.65" hidden="false" customHeight="false" outlineLevel="0" collapsed="false">
      <c r="A49" s="66" t="s">
        <v>109</v>
      </c>
      <c r="B49" s="72"/>
      <c r="C49" s="25"/>
    </row>
    <row r="50" s="15" customFormat="true" ht="12.65" hidden="false" customHeight="false" outlineLevel="0" collapsed="false">
      <c r="A50" s="15" t="s">
        <v>92</v>
      </c>
      <c r="B50" s="71" t="s">
        <v>82</v>
      </c>
      <c r="C50" s="25"/>
    </row>
    <row r="51" s="15" customFormat="true" ht="12.65" hidden="false" customHeight="false" outlineLevel="0" collapsed="false">
      <c r="A51" s="66" t="s">
        <v>110</v>
      </c>
      <c r="C51" s="25"/>
    </row>
    <row r="52" s="15" customFormat="true" ht="12.65" hidden="false" customHeight="false" outlineLevel="0" collapsed="false">
      <c r="A52" s="15" t="s">
        <v>92</v>
      </c>
      <c r="B52" s="70" t="s">
        <v>82</v>
      </c>
      <c r="C52" s="25" t="s">
        <v>111</v>
      </c>
    </row>
    <row r="53" s="15" customFormat="true" ht="12.65" hidden="false" customHeight="false" outlineLevel="0" collapsed="false">
      <c r="A53" s="15" t="s">
        <v>112</v>
      </c>
      <c r="B53" s="59" t="n">
        <v>250</v>
      </c>
      <c r="C53" s="25" t="s">
        <v>113</v>
      </c>
    </row>
    <row r="54" s="15" customFormat="true" ht="12.65" hidden="false" customHeight="false" outlineLevel="0" collapsed="false">
      <c r="A54" s="15" t="s">
        <v>114</v>
      </c>
      <c r="B54" s="60"/>
      <c r="C54" s="25"/>
    </row>
    <row r="55" s="15" customFormat="true" ht="12.65" hidden="false" customHeight="false" outlineLevel="0" collapsed="false">
      <c r="A55" s="15" t="s">
        <v>92</v>
      </c>
      <c r="B55" s="59" t="s">
        <v>82</v>
      </c>
      <c r="C55" s="25"/>
    </row>
    <row r="56" s="74" customFormat="true" ht="12.65" hidden="false" customHeight="false" outlineLevel="0" collapsed="false">
      <c r="A56" s="15" t="s">
        <v>115</v>
      </c>
      <c r="B56" s="73" t="n">
        <v>0.01</v>
      </c>
      <c r="C56" s="25" t="s">
        <v>116</v>
      </c>
      <c r="D56" s="15"/>
      <c r="H56" s="66"/>
      <c r="I56" s="66"/>
      <c r="J56" s="66"/>
      <c r="K56" s="66"/>
      <c r="L56" s="66"/>
      <c r="M56" s="66"/>
      <c r="N56" s="66"/>
    </row>
    <row r="57" customFormat="false" ht="12.65" hidden="false" customHeight="false" outlineLevel="0" collapsed="false">
      <c r="A57" s="74" t="s">
        <v>117</v>
      </c>
      <c r="B57" s="74"/>
      <c r="C57" s="74"/>
      <c r="D57" s="74"/>
      <c r="H57" s="15"/>
      <c r="I57" s="15"/>
      <c r="J57" s="15"/>
      <c r="K57" s="15"/>
      <c r="L57" s="15"/>
      <c r="M57" s="15"/>
      <c r="N57" s="15"/>
    </row>
    <row r="58" customFormat="false" ht="12.65" hidden="false" customHeight="false" outlineLevel="0" collapsed="false">
      <c r="A58" s="4" t="s">
        <v>118</v>
      </c>
      <c r="B58" s="75" t="s">
        <v>82</v>
      </c>
      <c r="H58" s="15"/>
      <c r="I58" s="15"/>
      <c r="J58" s="15"/>
      <c r="K58" s="15"/>
      <c r="L58" s="15"/>
      <c r="M58" s="15"/>
    </row>
    <row r="59" customFormat="false" ht="12" hidden="false" customHeight="false" outlineLevel="0" collapsed="false">
      <c r="A59" s="4" t="s">
        <v>119</v>
      </c>
      <c r="B59" s="76" t="n">
        <v>140000</v>
      </c>
      <c r="C59" s="77" t="s">
        <v>120</v>
      </c>
    </row>
    <row r="60" customFormat="false" ht="12" hidden="false" customHeight="false" outlineLevel="0" collapsed="false">
      <c r="A60" s="78" t="s">
        <v>121</v>
      </c>
      <c r="B60" s="79" t="n">
        <v>0.15</v>
      </c>
      <c r="C60" s="77" t="s">
        <v>122</v>
      </c>
    </row>
    <row r="61" customFormat="false" ht="12" hidden="false" customHeight="false" outlineLevel="0" collapsed="false">
      <c r="A61" s="80"/>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sheet'!$B$24,'Input sheet'!$B$24-(('Input sheet'!$B$24-$B$4)/'Input sheet'!$B$25)*('Input sheet'!$B$25-C1))</f>
      </c>
      <c r="D4" s="88" t="n">
        <f aca="false">IF(D1&gt;'Input sheet'!$B$25,'Input sheet'!$B$24,'Input sheet'!$B$24-(('Input sheet'!$B$24-$B$4)/'Input sheet'!$B$25)*('Input sheet'!$B$25-D1))</f>
      </c>
      <c r="E4" s="88" t="n">
        <f aca="false">IF(E1&gt;'Input sheet'!$B$25,'Input sheet'!$B$24,'Input sheet'!$B$24-(('Input sheet'!$B$24-$B$4)/'Input sheet'!$B$25)*('Input sheet'!$B$25-E1))</f>
      </c>
      <c r="F4" s="88" t="n">
        <f aca="false">IF(F1&gt;'Input sheet'!$B$25,'Input sheet'!$B$24,'Input sheet'!$B$24-(('Input sheet'!$B$24-$B$4)/'Input sheet'!$B$25)*('Input sheet'!$B$25-F1))</f>
      </c>
      <c r="G4" s="88" t="n">
        <f aca="false">IF(G1&gt;'Input sheet'!$B$25,'Input sheet'!$B$24,'Input sheet'!$B$24-(('Input sheet'!$B$24-$B$4)/'Input sheet'!$B$25)*('Input sheet'!$B$25-G1))</f>
      </c>
      <c r="H4" s="88" t="n">
        <f aca="false">IF(H1&gt;'Input sheet'!$B$25,'Input sheet'!$B$24,'Input sheet'!$B$24-(('Input sheet'!$B$24-$B$4)/'Input sheet'!$B$25)*('Input sheet'!$B$25-H1))</f>
      </c>
      <c r="I4" s="88" t="n">
        <f aca="false">IF(I1&gt;'Input sheet'!$B$25,'Input sheet'!$B$24,'Input sheet'!$B$24-(('Input sheet'!$B$24-$B$4)/'Input sheet'!$B$25)*('Input sheet'!$B$25-I1))</f>
      </c>
      <c r="J4" s="88" t="n">
        <f aca="false">IF(J1&gt;'Input sheet'!$B$25,'Input sheet'!$B$24,'Input sheet'!$B$24-(('Input sheet'!$B$24-$B$4)/'Input sheet'!$B$25)*('Input sheet'!$B$25-J1))</f>
      </c>
      <c r="K4" s="88" t="n">
        <f aca="false">IF(K1&gt;'Input sheet'!$B$25,'Input sheet'!$B$24,'Input sheet'!$B$24-(('Input sheet'!$B$24-$B$4)/'Input sheet'!$B$25)*('Input sheet'!$B$25-K1))</f>
      </c>
      <c r="L4" s="88" t="n">
        <f aca="false">IF(L1&gt;'Input sheet'!$B$25,'Input sheet'!$B$24,'Input sheet'!$B$24-(('Input sheet'!$B$24-$B$4)/'Input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sheet'!B48,'Valuation output'!B21*'Input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sheet'!B43,'Valuation output'!L12)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c>
      <c r="B1" s="118"/>
      <c r="C1" s="118"/>
      <c r="D1" s="118"/>
      <c r="E1" s="118"/>
      <c r="F1" s="118"/>
      <c r="G1" s="118"/>
    </row>
    <row r="2" customFormat="false" ht="15.75" hidden="false" customHeight="false" outlineLevel="0" collapsed="false">
      <c r="A2" s="119" t="s">
        <v>161</v>
      </c>
      <c r="B2" s="119"/>
      <c r="C2" s="119"/>
      <c r="D2" s="119"/>
      <c r="E2" s="119"/>
      <c r="F2" s="119"/>
      <c r="G2" s="119"/>
    </row>
    <row r="3" customFormat="false" ht="15.75" hidden="false" customHeight="true" outlineLevel="0" collapsed="false">
      <c r="A3" s="120" t="s">
        <v>162</v>
      </c>
      <c r="B3" s="120"/>
      <c r="C3" s="120"/>
      <c r="D3" s="120"/>
      <c r="E3" s="120"/>
      <c r="F3" s="120"/>
      <c r="G3" s="120"/>
      <c r="H3" s="121" t="s">
        <v>163</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164</v>
      </c>
      <c r="B7" s="119"/>
      <c r="C7" s="119"/>
      <c r="D7" s="119"/>
      <c r="E7" s="119"/>
      <c r="F7" s="119"/>
      <c r="G7" s="119"/>
    </row>
    <row r="8" customFormat="false" ht="15.75" hidden="false" customHeight="false" outlineLevel="0" collapsed="false">
      <c r="A8" s="122"/>
      <c r="B8" s="123" t="s">
        <v>123</v>
      </c>
      <c r="C8" s="124" t="s">
        <v>165</v>
      </c>
      <c r="D8" s="123" t="s">
        <v>166</v>
      </c>
      <c r="E8" s="123"/>
      <c r="F8" s="123" t="s">
        <v>157</v>
      </c>
      <c r="G8" s="125" t="s">
        <v>167</v>
      </c>
    </row>
    <row r="9" customFormat="false" ht="15.75" hidden="false" customHeight="true" outlineLevel="0" collapsed="false">
      <c r="A9" s="126" t="s">
        <v>168</v>
      </c>
      <c r="B9" s="127" t="n">
        <f aca="false">'Valuation output'!B3</f>
      </c>
      <c r="C9" s="128" t="n">
        <f aca="false">'Input sheet'!B23</f>
      </c>
      <c r="D9" s="128" t="n">
        <f aca="false">F9</f>
      </c>
      <c r="E9" s="129"/>
      <c r="F9" s="128" t="n">
        <f aca="false">'Valuation output'!M2</f>
      </c>
      <c r="G9" s="130" t="s">
        <v>169</v>
      </c>
      <c r="H9" s="131" t="s">
        <v>170</v>
      </c>
      <c r="I9" s="131"/>
      <c r="J9" s="131"/>
      <c r="K9" s="131"/>
    </row>
    <row r="10" customFormat="false" ht="25.35" hidden="false" customHeight="false" outlineLevel="0" collapsed="false">
      <c r="A10" s="126" t="s">
        <v>171</v>
      </c>
      <c r="B10" s="128" t="n">
        <f aca="false">'Valuation output'!B4</f>
      </c>
      <c r="C10" s="132" t="n">
        <f aca="false">B10</f>
      </c>
      <c r="D10" s="133" t="n">
        <f aca="false">F10</f>
      </c>
      <c r="E10" s="133"/>
      <c r="F10" s="128" t="n">
        <f aca="false">'Valuation output'!M4</f>
      </c>
      <c r="G10" s="134" t="s">
        <v>172</v>
      </c>
      <c r="H10" s="131"/>
      <c r="I10" s="131"/>
      <c r="J10" s="131"/>
      <c r="K10" s="131"/>
    </row>
    <row r="11" customFormat="false" ht="15.75" hidden="false" customHeight="false" outlineLevel="0" collapsed="false">
      <c r="A11" s="126" t="s">
        <v>128</v>
      </c>
      <c r="B11" s="128" t="n">
        <f aca="false">'Valuation output'!B6</f>
      </c>
      <c r="C11" s="132" t="n">
        <f aca="false">B11</f>
      </c>
      <c r="D11" s="133" t="n">
        <f aca="false">F11</f>
      </c>
      <c r="E11" s="133"/>
      <c r="F11" s="128" t="n">
        <f aca="false">'Valuation output'!M6</f>
      </c>
      <c r="G11" s="135" t="s">
        <v>173</v>
      </c>
      <c r="H11" s="131"/>
      <c r="I11" s="131"/>
      <c r="J11" s="131"/>
      <c r="K11" s="131"/>
    </row>
    <row r="12" customFormat="false" ht="25.35" hidden="false" customHeight="false" outlineLevel="0" collapsed="false">
      <c r="A12" s="126" t="s">
        <v>174</v>
      </c>
      <c r="B12" s="129"/>
      <c r="C12" s="136" t="s">
        <v>175</v>
      </c>
      <c r="D12" s="137" t="n">
        <f aca="false">'Input sheet'!B26</f>
      </c>
      <c r="E12" s="138" t="s">
        <v>176</v>
      </c>
      <c r="F12" s="139" t="n">
        <f aca="false">'Valuation output'!M2/'Valuation output'!M40</f>
      </c>
      <c r="G12" s="134" t="s">
        <v>177</v>
      </c>
      <c r="H12" s="131"/>
      <c r="I12" s="131"/>
      <c r="J12" s="131"/>
      <c r="K12" s="131"/>
    </row>
    <row r="13" customFormat="false" ht="15.75" hidden="false" customHeight="false" outlineLevel="0" collapsed="false">
      <c r="A13" s="140" t="s">
        <v>178</v>
      </c>
      <c r="B13" s="141" t="n">
        <f aca="false">'Valuation output'!B40</f>
      </c>
      <c r="C13" s="142" t="s">
        <v>179</v>
      </c>
      <c r="D13" s="143" t="n">
        <f aca="false">Diagnostics!B6</f>
      </c>
      <c r="E13" s="144"/>
      <c r="F13" s="145" t="n">
        <f aca="false">'Valuation output'!M40</f>
      </c>
      <c r="G13" s="146" t="s">
        <v>180</v>
      </c>
      <c r="H13" s="131"/>
      <c r="I13" s="131"/>
      <c r="J13" s="131"/>
      <c r="K13" s="131"/>
    </row>
    <row r="14" customFormat="false" ht="15.75" hidden="false" customHeight="false" outlineLevel="0" collapsed="false">
      <c r="A14" s="147" t="s">
        <v>181</v>
      </c>
      <c r="B14" s="148"/>
      <c r="C14" s="132" t="n">
        <f aca="false">'Valuation output'!C12</f>
      </c>
      <c r="D14" s="133" t="n">
        <f aca="false">F14</f>
      </c>
      <c r="E14" s="149"/>
      <c r="F14" s="150" t="n">
        <f aca="false">'Valuation output'!M12</f>
      </c>
      <c r="G14" s="151" t="s">
        <v>182</v>
      </c>
      <c r="H14" s="131"/>
      <c r="I14" s="131"/>
      <c r="J14" s="131"/>
      <c r="K14" s="131"/>
    </row>
    <row r="15" customFormat="false" ht="15.75" hidden="false" customHeight="false" outlineLevel="0" collapsed="false">
      <c r="A15" s="152" t="s">
        <v>183</v>
      </c>
      <c r="B15" s="152"/>
      <c r="C15" s="152"/>
      <c r="D15" s="152"/>
      <c r="E15" s="152"/>
      <c r="F15" s="152"/>
      <c r="G15" s="152"/>
    </row>
    <row r="16" customFormat="false" ht="15.75" hidden="false" customHeight="true" outlineLevel="0" collapsed="false">
      <c r="A16" s="153"/>
      <c r="B16" s="154" t="s">
        <v>38</v>
      </c>
      <c r="C16" s="154" t="s">
        <v>184</v>
      </c>
      <c r="D16" s="154" t="s">
        <v>185</v>
      </c>
      <c r="E16" s="154" t="s">
        <v>186</v>
      </c>
      <c r="F16" s="154" t="s">
        <v>187</v>
      </c>
      <c r="G16" s="155" t="s">
        <v>131</v>
      </c>
      <c r="H16" s="156" t="s">
        <v>188</v>
      </c>
      <c r="I16" s="156"/>
      <c r="J16" s="156"/>
      <c r="K16" s="156"/>
    </row>
    <row r="17" customFormat="false" ht="15.75" hidden="false" customHeight="false" outlineLevel="0" collapsed="false">
      <c r="A17" s="157" t="n">
        <v>1</v>
      </c>
      <c r="B17" s="158" t="n">
        <f aca="false">'Valuation output'!C3</f>
      </c>
      <c r="C17" s="159" t="n">
        <f aca="false">'Valuation output'!C4</f>
      </c>
      <c r="D17" s="127" t="n">
        <f aca="false">B17*C17</f>
      </c>
      <c r="E17" s="158" t="n">
        <f aca="false">'Valuation output'!C7</f>
      </c>
      <c r="F17" s="158" t="n">
        <f aca="false">'Valuation output'!C8</f>
      </c>
      <c r="G17" s="160" t="n">
        <f aca="false">E17-F17</f>
      </c>
      <c r="H17" s="156"/>
      <c r="I17" s="156"/>
      <c r="J17" s="156"/>
      <c r="K17" s="156"/>
    </row>
    <row r="18" customFormat="false" ht="15.75" hidden="false" customHeight="false" outlineLevel="0" collapsed="false">
      <c r="A18" s="157" t="n">
        <v>2</v>
      </c>
      <c r="B18" s="158" t="n">
        <f aca="false">'Valuation output'!D3</f>
      </c>
      <c r="C18" s="159" t="n">
        <f aca="false">'Valuation output'!D4</f>
      </c>
      <c r="D18" s="127" t="n">
        <f aca="false">B18*C18</f>
      </c>
      <c r="E18" s="158" t="n">
        <f aca="false">'Valuation output'!D7</f>
      </c>
      <c r="F18" s="158" t="n">
        <f aca="false">'Valuation output'!D8</f>
      </c>
      <c r="G18" s="160" t="n">
        <f aca="false">E18-F18</f>
      </c>
      <c r="H18" s="156"/>
      <c r="I18" s="156"/>
      <c r="J18" s="156"/>
      <c r="K18" s="156"/>
    </row>
    <row r="19" customFormat="false" ht="15.75" hidden="false" customHeight="false" outlineLevel="0" collapsed="false">
      <c r="A19" s="157" t="n">
        <v>3</v>
      </c>
      <c r="B19" s="158" t="n">
        <f aca="false">'Valuation output'!E3</f>
      </c>
      <c r="C19" s="159" t="n">
        <f aca="false">'Valuation output'!E4</f>
      </c>
      <c r="D19" s="127" t="n">
        <f aca="false">B19*C19</f>
      </c>
      <c r="E19" s="158" t="n">
        <f aca="false">'Valuation output'!E7</f>
      </c>
      <c r="F19" s="158" t="n">
        <f aca="false">'Valuation output'!E8</f>
      </c>
      <c r="G19" s="160" t="n">
        <f aca="false">E19-F19</f>
      </c>
      <c r="H19" s="156"/>
      <c r="I19" s="156"/>
      <c r="J19" s="156"/>
      <c r="K19" s="156"/>
    </row>
    <row r="20" customFormat="false" ht="15.75" hidden="false" customHeight="false" outlineLevel="0" collapsed="false">
      <c r="A20" s="157" t="n">
        <v>4</v>
      </c>
      <c r="B20" s="158" t="n">
        <f aca="false">'Valuation output'!F3</f>
      </c>
      <c r="C20" s="159" t="n">
        <f aca="false">'Valuation output'!F4</f>
      </c>
      <c r="D20" s="127" t="n">
        <f aca="false">B20*C20</f>
      </c>
      <c r="E20" s="158" t="n">
        <f aca="false">'Valuation output'!F7</f>
      </c>
      <c r="F20" s="158" t="n">
        <f aca="false">'Valuation output'!F8</f>
      </c>
      <c r="G20" s="160" t="n">
        <f aca="false">E20-F20</f>
      </c>
      <c r="H20" s="156"/>
      <c r="I20" s="156"/>
      <c r="J20" s="156"/>
      <c r="K20" s="156"/>
    </row>
    <row r="21" customFormat="false" ht="15.75" hidden="false" customHeight="false" outlineLevel="0" collapsed="false">
      <c r="A21" s="157" t="n">
        <v>5</v>
      </c>
      <c r="B21" s="158" t="n">
        <f aca="false">'Valuation output'!G3</f>
      </c>
      <c r="C21" s="159" t="n">
        <f aca="false">'Valuation output'!G4</f>
      </c>
      <c r="D21" s="127" t="n">
        <f aca="false">B21*C21</f>
      </c>
      <c r="E21" s="158" t="n">
        <f aca="false">'Valuation output'!G7</f>
      </c>
      <c r="F21" s="158" t="n">
        <f aca="false">'Valuation output'!G8</f>
      </c>
      <c r="G21" s="160" t="n">
        <f aca="false">E21-F21</f>
      </c>
      <c r="H21" s="156"/>
      <c r="I21" s="156"/>
      <c r="J21" s="156"/>
      <c r="K21" s="156"/>
    </row>
    <row r="22" customFormat="false" ht="15.75" hidden="false" customHeight="false" outlineLevel="0" collapsed="false">
      <c r="A22" s="157" t="n">
        <v>6</v>
      </c>
      <c r="B22" s="158" t="n">
        <f aca="false">'Valuation output'!H3</f>
      </c>
      <c r="C22" s="159" t="n">
        <f aca="false">'Valuation output'!H4</f>
      </c>
      <c r="D22" s="127" t="n">
        <f aca="false">B22*C22</f>
      </c>
      <c r="E22" s="158" t="n">
        <f aca="false">'Valuation output'!H7</f>
      </c>
      <c r="F22" s="158" t="n">
        <f aca="false">'Valuation output'!H8</f>
      </c>
      <c r="G22" s="160" t="n">
        <f aca="false">E22-F22</f>
      </c>
      <c r="H22" s="156"/>
      <c r="I22" s="156"/>
      <c r="J22" s="156"/>
      <c r="K22" s="156"/>
    </row>
    <row r="23" customFormat="false" ht="15.75" hidden="false" customHeight="false" outlineLevel="0" collapsed="false">
      <c r="A23" s="157" t="n">
        <v>7</v>
      </c>
      <c r="B23" s="158" t="n">
        <f aca="false">'Valuation output'!I3</f>
      </c>
      <c r="C23" s="159" t="n">
        <f aca="false">'Valuation output'!I4</f>
      </c>
      <c r="D23" s="127" t="n">
        <f aca="false">B23*C23</f>
      </c>
      <c r="E23" s="158" t="n">
        <f aca="false">'Valuation output'!I7</f>
      </c>
      <c r="F23" s="158" t="n">
        <f aca="false">'Valuation output'!I8</f>
      </c>
      <c r="G23" s="160" t="n">
        <f aca="false">E23-F23</f>
      </c>
      <c r="H23" s="156"/>
      <c r="I23" s="156"/>
      <c r="J23" s="156"/>
      <c r="K23" s="156"/>
    </row>
    <row r="24" customFormat="false" ht="15.75" hidden="false" customHeight="false" outlineLevel="0" collapsed="false">
      <c r="A24" s="157" t="n">
        <v>8</v>
      </c>
      <c r="B24" s="158" t="n">
        <f aca="false">'Valuation output'!J3</f>
      </c>
      <c r="C24" s="159" t="n">
        <f aca="false">'Valuation output'!J4</f>
      </c>
      <c r="D24" s="127" t="n">
        <f aca="false">B24*C24</f>
      </c>
      <c r="E24" s="158" t="n">
        <f aca="false">'Valuation output'!J7</f>
      </c>
      <c r="F24" s="158" t="n">
        <f aca="false">'Valuation output'!J8</f>
      </c>
      <c r="G24" s="160" t="n">
        <f aca="false">E24-F24</f>
      </c>
      <c r="H24" s="156"/>
      <c r="I24" s="156"/>
      <c r="J24" s="156"/>
      <c r="K24" s="156"/>
    </row>
    <row r="25" customFormat="false" ht="15.75" hidden="false" customHeight="false" outlineLevel="0" collapsed="false">
      <c r="A25" s="157" t="n">
        <v>9</v>
      </c>
      <c r="B25" s="158" t="n">
        <f aca="false">'Valuation output'!K3</f>
      </c>
      <c r="C25" s="159" t="n">
        <f aca="false">'Valuation output'!K4</f>
      </c>
      <c r="D25" s="127" t="n">
        <f aca="false">B25*C25</f>
      </c>
      <c r="E25" s="158" t="n">
        <f aca="false">'Valuation output'!K7</f>
      </c>
      <c r="F25" s="158" t="n">
        <f aca="false">'Valuation output'!K8</f>
      </c>
      <c r="G25" s="160" t="n">
        <f aca="false">E25-F25</f>
      </c>
      <c r="H25" s="156"/>
      <c r="I25" s="156"/>
      <c r="J25" s="156"/>
      <c r="K25" s="156"/>
    </row>
    <row r="26" customFormat="false" ht="15.75" hidden="false" customHeight="false" outlineLevel="0" collapsed="false">
      <c r="A26" s="157" t="n">
        <v>10</v>
      </c>
      <c r="B26" s="158" t="n">
        <f aca="false">'Valuation output'!L3</f>
      </c>
      <c r="C26" s="159" t="n">
        <f aca="false">'Valuation output'!L4</f>
      </c>
      <c r="D26" s="127" t="n">
        <f aca="false">B26*C26</f>
      </c>
      <c r="E26" s="158" t="n">
        <f aca="false">'Valuation output'!L7</f>
      </c>
      <c r="F26" s="158" t="n">
        <f aca="false">'Valuation output'!L8</f>
      </c>
      <c r="G26" s="160" t="n">
        <f aca="false">E26-F26</f>
      </c>
      <c r="H26" s="156"/>
      <c r="I26" s="156"/>
      <c r="J26" s="156"/>
      <c r="K26" s="156"/>
    </row>
    <row r="27" customFormat="false" ht="15.75" hidden="false" customHeight="false" outlineLevel="0" collapsed="false">
      <c r="A27" s="161" t="s">
        <v>124</v>
      </c>
      <c r="B27" s="162" t="n">
        <f aca="false">'Valuation output'!M3</f>
      </c>
      <c r="C27" s="163" t="n">
        <f aca="false">'Valuation output'!M4</f>
      </c>
      <c r="D27" s="127" t="n">
        <f aca="false">B27*C27</f>
      </c>
      <c r="E27" s="162" t="n">
        <f aca="false">'Valuation output'!M7</f>
      </c>
      <c r="F27" s="162" t="n">
        <f aca="false">'Valuation output'!M8</f>
      </c>
      <c r="G27" s="160" t="n">
        <f aca="false">E27-F27</f>
      </c>
      <c r="H27" s="156"/>
      <c r="I27" s="156"/>
      <c r="J27" s="156"/>
      <c r="K27" s="156"/>
    </row>
    <row r="28" customFormat="false" ht="15.75" hidden="false" customHeight="false" outlineLevel="0" collapsed="false">
      <c r="A28" s="164" t="s">
        <v>189</v>
      </c>
      <c r="B28" s="164"/>
      <c r="C28" s="164"/>
      <c r="D28" s="164"/>
      <c r="E28" s="164"/>
      <c r="F28" s="164"/>
      <c r="G28" s="164"/>
    </row>
    <row r="29" customFormat="false" ht="15.75" hidden="false" customHeight="true" outlineLevel="0" collapsed="false">
      <c r="A29" s="165" t="s">
        <v>138</v>
      </c>
      <c r="B29" s="165"/>
      <c r="C29" s="165"/>
      <c r="D29" s="166" t="n">
        <f aca="false">'Valuation output'!B18</f>
      </c>
      <c r="E29" s="167"/>
      <c r="F29" s="168"/>
      <c r="G29" s="169"/>
      <c r="H29" s="170" t="s">
        <v>190</v>
      </c>
      <c r="I29" s="170"/>
      <c r="J29" s="170"/>
      <c r="K29" s="170"/>
    </row>
    <row r="30" customFormat="false" ht="15.75" hidden="false" customHeight="false" outlineLevel="0" collapsed="false">
      <c r="A30" s="171" t="s">
        <v>139</v>
      </c>
      <c r="B30" s="171"/>
      <c r="C30" s="171"/>
      <c r="D30" s="172" t="n">
        <f aca="false">'Valuation output'!B19</f>
      </c>
      <c r="E30" s="173"/>
      <c r="F30" s="174"/>
      <c r="G30" s="175"/>
      <c r="H30" s="170"/>
      <c r="I30" s="170"/>
      <c r="J30" s="170"/>
      <c r="K30" s="170"/>
    </row>
    <row r="31" customFormat="false" ht="15.75" hidden="false" customHeight="false" outlineLevel="0" collapsed="false">
      <c r="A31" s="171" t="s">
        <v>140</v>
      </c>
      <c r="B31" s="171"/>
      <c r="C31" s="171"/>
      <c r="D31" s="172" t="n">
        <f aca="false">'Valuation output'!B20</f>
      </c>
      <c r="E31" s="173"/>
      <c r="F31" s="174"/>
      <c r="G31" s="175"/>
      <c r="H31" s="170"/>
      <c r="I31" s="170"/>
      <c r="J31" s="170"/>
      <c r="K31" s="170"/>
    </row>
    <row r="32" customFormat="false" ht="15.75" hidden="false" customHeight="false" outlineLevel="0" collapsed="false">
      <c r="A32" s="171" t="s">
        <v>144</v>
      </c>
      <c r="B32" s="171"/>
      <c r="C32" s="171"/>
      <c r="D32" s="172" t="n">
        <f aca="false">'Valuation output'!B21</f>
      </c>
      <c r="E32" s="173"/>
      <c r="F32" s="174"/>
      <c r="G32" s="175"/>
      <c r="H32" s="170"/>
      <c r="I32" s="170"/>
      <c r="J32" s="170"/>
      <c r="K32" s="170"/>
    </row>
    <row r="33" customFormat="false" ht="15.75" hidden="false" customHeight="false" outlineLevel="0" collapsed="false">
      <c r="A33" s="171" t="s">
        <v>191</v>
      </c>
      <c r="B33" s="171"/>
      <c r="C33" s="171"/>
      <c r="D33" s="176" t="n">
        <f aca="false">D32-'Valuation output'!B24</f>
      </c>
      <c r="E33" s="177" t="s">
        <v>142</v>
      </c>
      <c r="F33" s="177"/>
      <c r="G33" s="178" t="n">
        <f aca="false">'Valuation output'!B22</f>
      </c>
      <c r="H33" s="170"/>
      <c r="I33" s="170"/>
      <c r="J33" s="170"/>
      <c r="K33" s="170"/>
    </row>
    <row r="34" customFormat="false" ht="15.75" hidden="false" customHeight="false" outlineLevel="0" collapsed="false">
      <c r="A34" s="171" t="s">
        <v>192</v>
      </c>
      <c r="B34" s="171"/>
      <c r="C34" s="171"/>
      <c r="D34" s="172" t="n">
        <f aca="false">'Valuation output'!B25+'Valuation output'!B26</f>
      </c>
      <c r="E34" s="173"/>
      <c r="F34" s="174"/>
      <c r="G34" s="175"/>
      <c r="H34" s="170"/>
      <c r="I34" s="170"/>
      <c r="J34" s="170"/>
      <c r="K34" s="170"/>
    </row>
    <row r="35" customFormat="false" ht="15.75" hidden="false" customHeight="false" outlineLevel="0" collapsed="false">
      <c r="A35" s="171" t="s">
        <v>193</v>
      </c>
      <c r="B35" s="171"/>
      <c r="C35" s="171"/>
      <c r="D35" s="172" t="n">
        <f aca="false">'Valuation output'!B27+'Valuation output'!B28</f>
      </c>
      <c r="E35" s="173"/>
      <c r="F35" s="174"/>
      <c r="G35" s="175"/>
      <c r="H35" s="170"/>
      <c r="I35" s="170"/>
      <c r="J35" s="170"/>
      <c r="K35" s="170"/>
    </row>
    <row r="36" customFormat="false" ht="15.75" hidden="false" customHeight="false" outlineLevel="0" collapsed="false">
      <c r="A36" s="171" t="s">
        <v>149</v>
      </c>
      <c r="B36" s="171"/>
      <c r="C36" s="171"/>
      <c r="D36" s="172" t="n">
        <f aca="false">D32-D33-D34+D35</f>
      </c>
      <c r="E36" s="173"/>
      <c r="F36" s="174"/>
      <c r="G36" s="175"/>
      <c r="H36" s="170"/>
      <c r="I36" s="170"/>
      <c r="J36" s="170"/>
      <c r="K36" s="170"/>
    </row>
    <row r="37" customFormat="false" ht="15.75" hidden="false" customHeight="false" outlineLevel="0" collapsed="false">
      <c r="A37" s="171" t="s">
        <v>194</v>
      </c>
      <c r="B37" s="171"/>
      <c r="C37" s="171"/>
      <c r="D37" s="172" t="n">
        <f aca="false">'Valuation output'!B30</f>
      </c>
      <c r="E37" s="173"/>
      <c r="F37" s="174"/>
      <c r="G37" s="175"/>
      <c r="H37" s="170"/>
      <c r="I37" s="170"/>
      <c r="J37" s="170"/>
      <c r="K37" s="170"/>
    </row>
    <row r="38" customFormat="false" ht="15.75" hidden="false" customHeight="false" outlineLevel="0" collapsed="false">
      <c r="A38" s="179" t="s">
        <v>152</v>
      </c>
      <c r="B38" s="179"/>
      <c r="C38" s="179"/>
      <c r="D38" s="180" t="n">
        <f aca="false">'Valuation output'!B32</f>
      </c>
      <c r="E38" s="174"/>
      <c r="F38" s="181"/>
      <c r="G38" s="175"/>
      <c r="H38" s="170"/>
      <c r="I38" s="170"/>
      <c r="J38" s="170"/>
      <c r="K38" s="170"/>
    </row>
    <row r="39" customFormat="false" ht="15.75" hidden="false" customHeight="false" outlineLevel="0" collapsed="false">
      <c r="A39" s="182" t="s">
        <v>195</v>
      </c>
      <c r="B39" s="182"/>
      <c r="C39" s="182"/>
      <c r="D39" s="183" t="n">
        <f aca="false">(D36-D37)/D38</f>
      </c>
      <c r="E39" s="184" t="s">
        <v>196</v>
      </c>
      <c r="F39" s="184"/>
      <c r="G39" s="185" t="n">
        <f aca="false">'Input sheet'!B19</f>
      </c>
      <c r="H39" s="170"/>
      <c r="I39" s="170"/>
      <c r="J39" s="170"/>
      <c r="K39" s="170"/>
    </row>
    <row r="43" customFormat="false" ht="15.75" hidden="false" customHeight="false" outlineLevel="0" collapsed="false">
      <c r="J43" s="186" t="n">
        <f aca="false">D39/1944</f>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8" customFormat="true" ht="30.55" hidden="false" customHeight="false" outlineLevel="0" collapsed="false">
      <c r="A1" s="187" t="s">
        <v>197</v>
      </c>
      <c r="B1" s="187" t="s">
        <v>38</v>
      </c>
      <c r="C1" s="187" t="s">
        <v>198</v>
      </c>
      <c r="D1" s="187" t="s">
        <v>199</v>
      </c>
      <c r="E1" s="187" t="s">
        <v>200</v>
      </c>
      <c r="F1" s="187" t="s">
        <v>132</v>
      </c>
      <c r="G1" s="187" t="s">
        <v>201</v>
      </c>
      <c r="H1" s="187" t="s">
        <v>202</v>
      </c>
    </row>
    <row r="2" s="188" customFormat="true" ht="12" hidden="false" customHeight="false" outlineLevel="0" collapsed="false">
      <c r="A2" s="188" t="s">
        <v>203</v>
      </c>
      <c r="B2" s="189" t="n">
        <f aca="false">'Valuation output'!B3</f>
      </c>
      <c r="D2" s="190" t="n">
        <f aca="false">'Valuation output'!B4</f>
      </c>
      <c r="E2" s="189" t="n">
        <f aca="false">B2*D2</f>
      </c>
      <c r="F2" s="189" t="n">
        <f aca="false">'Valuation output'!B10</f>
      </c>
      <c r="G2" s="189" t="n">
        <f aca="false">E2-H2</f>
      </c>
      <c r="H2" s="189" t="n">
        <f aca="false">'Valuation output'!B7</f>
      </c>
    </row>
    <row r="3" s="188" customFormat="true" ht="12" hidden="false" customHeight="false" outlineLevel="0" collapsed="false">
      <c r="A3" s="188" t="n">
        <v>1</v>
      </c>
      <c r="B3" s="189" t="n">
        <f aca="false">'Valuation output'!C3</f>
      </c>
      <c r="C3" s="190" t="n">
        <f aca="false">'Valuation output'!C2</f>
      </c>
      <c r="D3" s="190" t="n">
        <f aca="false">'Valuation output'!C4</f>
      </c>
      <c r="E3" s="189" t="n">
        <f aca="false">B3*D3</f>
      </c>
      <c r="F3" s="189" t="n">
        <f aca="false">'Valuation output'!C10</f>
      </c>
      <c r="G3" s="189" t="n">
        <f aca="false">E3-H3</f>
      </c>
      <c r="H3" s="189" t="n">
        <f aca="false">'Valuation output'!C7</f>
      </c>
    </row>
    <row r="4" s="188" customFormat="true" ht="12" hidden="false" customHeight="false" outlineLevel="0" collapsed="false">
      <c r="A4" s="188" t="n">
        <v>2</v>
      </c>
      <c r="B4" s="189" t="n">
        <f aca="false">'Valuation output'!D3</f>
      </c>
      <c r="C4" s="190" t="n">
        <f aca="false">B4/B3-1</f>
      </c>
      <c r="D4" s="190" t="n">
        <f aca="false">'Valuation output'!D4</f>
      </c>
      <c r="E4" s="189" t="n">
        <f aca="false">B4*D4</f>
      </c>
      <c r="F4" s="189" t="n">
        <f aca="false">'Valuation output'!D10</f>
      </c>
      <c r="G4" s="189" t="n">
        <f aca="false">E4-H4</f>
      </c>
      <c r="H4" s="189" t="n">
        <f aca="false">'Valuation output'!D7</f>
      </c>
    </row>
    <row r="5" s="188" customFormat="true" ht="12" hidden="false" customHeight="false" outlineLevel="0" collapsed="false">
      <c r="A5" s="188" t="n">
        <v>3</v>
      </c>
      <c r="B5" s="189" t="n">
        <f aca="false">'Valuation output'!E3</f>
      </c>
      <c r="C5" s="190" t="n">
        <f aca="false">B5/B4-1</f>
      </c>
      <c r="D5" s="190" t="n">
        <f aca="false">'Valuation output'!E4</f>
      </c>
      <c r="E5" s="189" t="n">
        <f aca="false">B5*D5</f>
      </c>
      <c r="F5" s="189" t="n">
        <f aca="false">'Valuation output'!E10</f>
      </c>
      <c r="G5" s="189" t="n">
        <f aca="false">E5-H5</f>
      </c>
      <c r="H5" s="189" t="n">
        <f aca="false">'Valuation output'!E7</f>
      </c>
    </row>
    <row r="6" s="188" customFormat="true" ht="12" hidden="false" customHeight="false" outlineLevel="0" collapsed="false">
      <c r="A6" s="188" t="n">
        <v>4</v>
      </c>
      <c r="B6" s="189" t="n">
        <f aca="false">'Valuation output'!F3</f>
      </c>
      <c r="C6" s="190" t="n">
        <f aca="false">B6/B5-1</f>
      </c>
      <c r="D6" s="190" t="n">
        <f aca="false">'Valuation output'!F4</f>
      </c>
      <c r="E6" s="189" t="n">
        <f aca="false">B6*D6</f>
      </c>
      <c r="F6" s="189" t="n">
        <f aca="false">'Valuation output'!F10</f>
      </c>
      <c r="G6" s="189" t="n">
        <f aca="false">E6-H6</f>
      </c>
      <c r="H6" s="189" t="n">
        <f aca="false">'Valuation output'!F7</f>
      </c>
    </row>
    <row r="7" s="188" customFormat="true" ht="12" hidden="false" customHeight="false" outlineLevel="0" collapsed="false">
      <c r="A7" s="188" t="n">
        <v>5</v>
      </c>
      <c r="B7" s="189" t="n">
        <f aca="false">'Valuation output'!G3</f>
      </c>
      <c r="C7" s="190" t="n">
        <f aca="false">B7/B6-1</f>
      </c>
      <c r="D7" s="190" t="n">
        <f aca="false">'Valuation output'!G4</f>
      </c>
      <c r="E7" s="189" t="n">
        <f aca="false">B7*D7</f>
      </c>
      <c r="F7" s="189" t="n">
        <f aca="false">'Valuation output'!G10</f>
      </c>
      <c r="G7" s="189" t="n">
        <f aca="false">E7-H7</f>
      </c>
      <c r="H7" s="189" t="n">
        <f aca="false">'Valuation output'!G7</f>
      </c>
    </row>
    <row r="8" s="188" customFormat="true" ht="12" hidden="false" customHeight="false" outlineLevel="0" collapsed="false">
      <c r="A8" s="188" t="n">
        <v>6</v>
      </c>
      <c r="B8" s="189" t="n">
        <f aca="false">'Valuation output'!H3</f>
      </c>
      <c r="C8" s="190" t="n">
        <f aca="false">B8/B7-1</f>
      </c>
      <c r="D8" s="190" t="n">
        <f aca="false">'Valuation output'!H4</f>
      </c>
      <c r="E8" s="189" t="n">
        <f aca="false">B8*D8</f>
      </c>
      <c r="F8" s="189" t="n">
        <f aca="false">'Valuation output'!H10</f>
      </c>
      <c r="G8" s="189" t="n">
        <f aca="false">E8-H8</f>
      </c>
      <c r="H8" s="189" t="n">
        <f aca="false">'Valuation output'!H7</f>
      </c>
    </row>
    <row r="9" s="188" customFormat="true" ht="12" hidden="false" customHeight="false" outlineLevel="0" collapsed="false">
      <c r="A9" s="188" t="n">
        <v>7</v>
      </c>
      <c r="B9" s="189" t="n">
        <f aca="false">'Valuation output'!I3</f>
      </c>
      <c r="C9" s="190" t="n">
        <f aca="false">B9/B8-1</f>
      </c>
      <c r="D9" s="190" t="n">
        <f aca="false">'Valuation output'!I4</f>
      </c>
      <c r="E9" s="189" t="n">
        <f aca="false">B9*D9</f>
      </c>
      <c r="F9" s="189" t="n">
        <f aca="false">'Valuation output'!I10</f>
      </c>
      <c r="G9" s="189" t="n">
        <f aca="false">E9-H9</f>
      </c>
      <c r="H9" s="189" t="n">
        <f aca="false">'Valuation output'!I7</f>
      </c>
    </row>
    <row r="10" s="188" customFormat="true" ht="12" hidden="false" customHeight="false" outlineLevel="0" collapsed="false">
      <c r="A10" s="188" t="n">
        <v>8</v>
      </c>
      <c r="B10" s="189" t="n">
        <f aca="false">'Valuation output'!J3</f>
      </c>
      <c r="C10" s="190" t="n">
        <f aca="false">B10/B9-1</f>
      </c>
      <c r="D10" s="190" t="n">
        <f aca="false">'Valuation output'!J4</f>
      </c>
      <c r="E10" s="189" t="n">
        <f aca="false">B10*D10</f>
      </c>
      <c r="F10" s="189" t="n">
        <f aca="false">'Valuation output'!J10</f>
      </c>
      <c r="G10" s="189" t="n">
        <f aca="false">E10-H10</f>
      </c>
      <c r="H10" s="189" t="n">
        <f aca="false">'Valuation output'!J7</f>
      </c>
    </row>
    <row r="11" s="188" customFormat="true" ht="12" hidden="false" customHeight="false" outlineLevel="0" collapsed="false">
      <c r="A11" s="188" t="n">
        <v>9</v>
      </c>
      <c r="B11" s="189" t="n">
        <f aca="false">'Valuation output'!K3</f>
      </c>
      <c r="C11" s="190" t="n">
        <f aca="false">B11/B10-1</f>
      </c>
      <c r="D11" s="190" t="n">
        <f aca="false">'Valuation output'!K4</f>
      </c>
      <c r="E11" s="189" t="n">
        <f aca="false">B11*D11</f>
      </c>
      <c r="F11" s="189" t="n">
        <f aca="false">'Valuation output'!K10</f>
      </c>
      <c r="G11" s="189" t="n">
        <f aca="false">E11-H11</f>
      </c>
      <c r="H11" s="189" t="n">
        <f aca="false">'Valuation output'!K7</f>
      </c>
    </row>
    <row r="12" s="188" customFormat="true" ht="12" hidden="false" customHeight="false" outlineLevel="0" collapsed="false">
      <c r="A12" s="188" t="n">
        <v>10</v>
      </c>
      <c r="B12" s="189" t="n">
        <f aca="false">'Valuation output'!L3</f>
      </c>
      <c r="C12" s="190" t="n">
        <f aca="false">B12/B11-1</f>
      </c>
      <c r="D12" s="190" t="n">
        <f aca="false">'Valuation output'!L4</f>
      </c>
      <c r="E12" s="189" t="n">
        <f aca="false">B12*D12</f>
      </c>
      <c r="F12" s="189" t="n">
        <f aca="false">'Valuation output'!L10</f>
      </c>
      <c r="G12" s="189" t="n">
        <f aca="false">E12-H12</f>
      </c>
      <c r="H12" s="189" t="n">
        <f aca="false">'Valuation output'!L7</f>
      </c>
    </row>
    <row r="13" s="188" customFormat="true" ht="12" hidden="false" customHeight="false" outlineLevel="0" collapsed="false"/>
    <row r="14" s="188" customFormat="true" ht="30.55" hidden="false" customHeight="false" outlineLevel="0" collapsed="false">
      <c r="A14" s="187" t="s">
        <v>197</v>
      </c>
      <c r="B14" s="187" t="s">
        <v>202</v>
      </c>
      <c r="C14" s="187" t="s">
        <v>204</v>
      </c>
      <c r="D14" s="187" t="s">
        <v>205</v>
      </c>
      <c r="E14" s="187" t="s">
        <v>206</v>
      </c>
      <c r="F14" s="187" t="s">
        <v>131</v>
      </c>
      <c r="G14" s="187" t="s">
        <v>207</v>
      </c>
      <c r="H14" s="187" t="s">
        <v>208</v>
      </c>
    </row>
    <row r="15" s="188" customFormat="true" ht="12" hidden="false" customHeight="false" outlineLevel="0" collapsed="false">
      <c r="A15" s="188" t="str">
        <f aca="false">A2</f>
      </c>
      <c r="B15" s="189" t="n">
        <f aca="false">H2</f>
      </c>
      <c r="G15" s="191" t="n">
        <f aca="false">'Valuation output'!B39</f>
      </c>
      <c r="H15" s="192" t="n">
        <f aca="false">B15/G15</f>
      </c>
    </row>
    <row r="16" s="188" customFormat="true" ht="12" hidden="false" customHeight="false" outlineLevel="0" collapsed="false">
      <c r="A16" s="188" t="n">
        <f aca="false">A3</f>
      </c>
      <c r="B16" s="189" t="n">
        <f aca="false">H3</f>
      </c>
      <c r="C16" s="189" t="n">
        <f aca="false">B3-B2</f>
      </c>
      <c r="D16" s="193" t="n">
        <f aca="false">'Valuation output'!C38</f>
      </c>
      <c r="E16" s="189" t="n">
        <f aca="false">C16/D16</f>
      </c>
      <c r="F16" s="189" t="n">
        <f aca="false">B16-E16</f>
      </c>
      <c r="G16" s="189" t="n">
        <f aca="false">G15+E16</f>
      </c>
      <c r="H16" s="192" t="n">
        <f aca="false">B16/G16</f>
      </c>
    </row>
    <row r="17" s="188" customFormat="true" ht="12" hidden="false" customHeight="false" outlineLevel="0" collapsed="false">
      <c r="A17" s="188" t="n">
        <f aca="false">A4</f>
      </c>
      <c r="B17" s="189" t="n">
        <f aca="false">H4</f>
      </c>
      <c r="C17" s="189" t="n">
        <f aca="false">B4-B3</f>
      </c>
      <c r="D17" s="193" t="n">
        <f aca="false">'Valuation output'!D38</f>
      </c>
      <c r="E17" s="189" t="n">
        <f aca="false">C17/D17</f>
      </c>
      <c r="F17" s="189" t="n">
        <f aca="false">B17-E17</f>
      </c>
      <c r="G17" s="189" t="n">
        <f aca="false">G16+E17</f>
      </c>
      <c r="H17" s="192" t="n">
        <f aca="false">B17/G17</f>
      </c>
    </row>
    <row r="18" s="188" customFormat="true" ht="12" hidden="false" customHeight="false" outlineLevel="0" collapsed="false">
      <c r="A18" s="188" t="n">
        <f aca="false">A5</f>
      </c>
      <c r="B18" s="189" t="n">
        <f aca="false">H5</f>
      </c>
      <c r="C18" s="189" t="n">
        <f aca="false">B5-B4</f>
      </c>
      <c r="D18" s="193" t="n">
        <f aca="false">'Valuation output'!E38</f>
      </c>
      <c r="E18" s="189" t="n">
        <f aca="false">C18/D18</f>
      </c>
      <c r="F18" s="189" t="n">
        <f aca="false">B18-E18</f>
      </c>
      <c r="G18" s="189" t="n">
        <f aca="false">G17+E18</f>
      </c>
      <c r="H18" s="192" t="n">
        <f aca="false">B18/G18</f>
      </c>
    </row>
    <row r="19" s="188" customFormat="true" ht="12" hidden="false" customHeight="false" outlineLevel="0" collapsed="false">
      <c r="A19" s="188" t="n">
        <f aca="false">A6</f>
      </c>
      <c r="B19" s="189" t="n">
        <f aca="false">H6</f>
      </c>
      <c r="C19" s="189" t="n">
        <f aca="false">B6-B5</f>
      </c>
      <c r="D19" s="193" t="n">
        <f aca="false">'Valuation output'!F38</f>
      </c>
      <c r="E19" s="189" t="n">
        <f aca="false">C19/D19</f>
      </c>
      <c r="F19" s="189" t="n">
        <f aca="false">B19-E19</f>
      </c>
      <c r="G19" s="189" t="n">
        <f aca="false">G18+E19</f>
      </c>
      <c r="H19" s="192" t="n">
        <f aca="false">B19/G19</f>
      </c>
    </row>
    <row r="20" s="188" customFormat="true" ht="12" hidden="false" customHeight="false" outlineLevel="0" collapsed="false">
      <c r="A20" s="188" t="n">
        <f aca="false">A7</f>
      </c>
      <c r="B20" s="189" t="n">
        <f aca="false">H7</f>
      </c>
      <c r="C20" s="189" t="n">
        <f aca="false">B7-B6</f>
      </c>
      <c r="D20" s="193" t="n">
        <f aca="false">'Valuation output'!G38</f>
      </c>
      <c r="E20" s="189" t="n">
        <f aca="false">C20/D20</f>
      </c>
      <c r="F20" s="189" t="n">
        <f aca="false">B20-E20</f>
      </c>
      <c r="G20" s="189" t="n">
        <f aca="false">G19+E20</f>
      </c>
      <c r="H20" s="192" t="n">
        <f aca="false">B20/G20</f>
      </c>
    </row>
    <row r="21" s="188" customFormat="true" ht="12" hidden="false" customHeight="false" outlineLevel="0" collapsed="false">
      <c r="A21" s="188" t="n">
        <f aca="false">A8</f>
      </c>
      <c r="B21" s="189" t="n">
        <f aca="false">H8</f>
      </c>
      <c r="C21" s="189" t="n">
        <f aca="false">B8-B7</f>
      </c>
      <c r="D21" s="193" t="n">
        <f aca="false">'Valuation output'!H38</f>
      </c>
      <c r="E21" s="189" t="n">
        <f aca="false">C21/D21</f>
      </c>
      <c r="F21" s="189" t="n">
        <f aca="false">B21-E21</f>
      </c>
      <c r="G21" s="189" t="n">
        <f aca="false">G20+E21</f>
      </c>
      <c r="H21" s="192" t="n">
        <f aca="false">B21/G21</f>
      </c>
    </row>
    <row r="22" s="188" customFormat="true" ht="12" hidden="false" customHeight="false" outlineLevel="0" collapsed="false">
      <c r="A22" s="188" t="n">
        <f aca="false">A9</f>
      </c>
      <c r="B22" s="189" t="n">
        <f aca="false">H9</f>
      </c>
      <c r="C22" s="189" t="n">
        <f aca="false">B9-B8</f>
      </c>
      <c r="D22" s="193" t="n">
        <f aca="false">'Valuation output'!I38</f>
      </c>
      <c r="E22" s="189" t="n">
        <f aca="false">C22/D22</f>
      </c>
      <c r="F22" s="189" t="n">
        <f aca="false">B22-E22</f>
      </c>
      <c r="G22" s="189" t="n">
        <f aca="false">G21+E22</f>
      </c>
      <c r="H22" s="192" t="n">
        <f aca="false">B22/G22</f>
      </c>
    </row>
    <row r="23" s="188" customFormat="true" ht="12" hidden="false" customHeight="false" outlineLevel="0" collapsed="false">
      <c r="A23" s="188" t="n">
        <f aca="false">A10</f>
      </c>
      <c r="B23" s="189" t="n">
        <f aca="false">H10</f>
      </c>
      <c r="C23" s="189" t="n">
        <f aca="false">B10-B9</f>
      </c>
      <c r="D23" s="193" t="n">
        <f aca="false">'Valuation output'!J38</f>
      </c>
      <c r="E23" s="189" t="n">
        <f aca="false">C23/D23</f>
      </c>
      <c r="F23" s="189" t="n">
        <f aca="false">B23-E23</f>
      </c>
      <c r="G23" s="189" t="n">
        <f aca="false">G22+E23</f>
      </c>
      <c r="H23" s="192" t="n">
        <f aca="false">B23/G23</f>
      </c>
    </row>
    <row r="24" s="188" customFormat="true" ht="12" hidden="false" customHeight="false" outlineLevel="0" collapsed="false">
      <c r="A24" s="188" t="n">
        <f aca="false">A11</f>
      </c>
      <c r="B24" s="189" t="n">
        <f aca="false">H11</f>
      </c>
      <c r="C24" s="189" t="n">
        <f aca="false">B11-B10</f>
      </c>
      <c r="D24" s="193" t="n">
        <f aca="false">'Valuation output'!K38</f>
      </c>
      <c r="E24" s="189" t="n">
        <f aca="false">C24/D24</f>
      </c>
      <c r="F24" s="189" t="n">
        <f aca="false">B24-E24</f>
      </c>
      <c r="G24" s="189" t="n">
        <f aca="false">G23+E24</f>
      </c>
      <c r="H24" s="192" t="n">
        <f aca="false">B24/G24</f>
      </c>
    </row>
    <row r="25" s="188" customFormat="true" ht="12" hidden="false" customHeight="false" outlineLevel="0" collapsed="false">
      <c r="A25" s="188" t="n">
        <f aca="false">A12</f>
      </c>
      <c r="B25" s="189" t="n">
        <f aca="false">H12</f>
      </c>
      <c r="C25" s="189" t="n">
        <f aca="false">B12-B11</f>
      </c>
      <c r="D25" s="193" t="n">
        <f aca="false">'Valuation output'!L38</f>
      </c>
      <c r="E25" s="189" t="n">
        <f aca="false">C25/D25</f>
      </c>
      <c r="F25" s="189" t="n">
        <f aca="false">B25-E25</f>
      </c>
      <c r="G25" s="189" t="n">
        <f aca="false">G24+E25</f>
      </c>
      <c r="H25" s="192" t="n">
        <f aca="false">B25/G25</f>
      </c>
    </row>
    <row r="26" s="188" customFormat="true" ht="12" hidden="false" customHeight="false" outlineLevel="0" collapsed="false"/>
    <row r="27" s="188" customFormat="true" ht="20.85" hidden="false" customHeight="false" outlineLevel="0" collapsed="false">
      <c r="A27" s="187" t="s">
        <v>197</v>
      </c>
      <c r="B27" s="187" t="s">
        <v>209</v>
      </c>
      <c r="C27" s="187" t="s">
        <v>210</v>
      </c>
      <c r="D27" s="187" t="s">
        <v>211</v>
      </c>
      <c r="E27" s="187" t="s">
        <v>212</v>
      </c>
      <c r="F27" s="187" t="s">
        <v>213</v>
      </c>
      <c r="G27" s="187" t="s">
        <v>214</v>
      </c>
      <c r="H27" s="187" t="s">
        <v>215</v>
      </c>
    </row>
    <row r="28" customFormat="false" ht="12" hidden="false" customHeight="false" outlineLevel="0" collapsed="false">
      <c r="A28" s="0" t="n">
        <f aca="false">A16</f>
      </c>
      <c r="H28" s="194" t="n">
        <f aca="false">'Valuation output'!C12</f>
      </c>
    </row>
    <row r="29" customFormat="false" ht="12" hidden="false" customHeight="false" outlineLevel="0" collapsed="false">
      <c r="A29" s="0" t="n">
        <f aca="false">A17</f>
      </c>
      <c r="H29" s="194" t="n">
        <f aca="false">'Valuation output'!D12</f>
      </c>
    </row>
    <row r="30" customFormat="false" ht="12" hidden="false" customHeight="false" outlineLevel="0" collapsed="false">
      <c r="A30" s="0" t="n">
        <f aca="false">A18</f>
      </c>
      <c r="H30" s="194" t="n">
        <f aca="false">'Valuation output'!E12</f>
      </c>
    </row>
    <row r="31" customFormat="false" ht="12" hidden="false" customHeight="false" outlineLevel="0" collapsed="false">
      <c r="A31" s="0" t="n">
        <f aca="false">A19</f>
      </c>
      <c r="H31" s="194" t="n">
        <f aca="false">'Valuation output'!F12</f>
      </c>
    </row>
    <row r="32" customFormat="false" ht="12" hidden="false" customHeight="false" outlineLevel="0" collapsed="false">
      <c r="A32" s="0" t="n">
        <f aca="false">A20</f>
      </c>
      <c r="H32" s="194" t="n">
        <f aca="false">'Valuation output'!G12</f>
      </c>
    </row>
    <row r="33" customFormat="false" ht="12" hidden="false" customHeight="false" outlineLevel="0" collapsed="false">
      <c r="A33" s="0" t="n">
        <f aca="false">A21</f>
      </c>
      <c r="H33" s="194" t="n">
        <f aca="false">'Valuation output'!H12</f>
      </c>
    </row>
    <row r="34" customFormat="false" ht="12" hidden="false" customHeight="false" outlineLevel="0" collapsed="false">
      <c r="A34" s="0" t="n">
        <f aca="false">A22</f>
      </c>
      <c r="H34" s="194" t="n">
        <f aca="false">'Valuation output'!I12</f>
      </c>
    </row>
    <row r="35" customFormat="false" ht="12" hidden="false" customHeight="false" outlineLevel="0" collapsed="false">
      <c r="A35" s="0" t="n">
        <f aca="false">A23</f>
      </c>
      <c r="H35" s="194" t="n">
        <f aca="false">'Valuation output'!J12</f>
      </c>
    </row>
    <row r="36" customFormat="false" ht="12" hidden="false" customHeight="false" outlineLevel="0" collapsed="false">
      <c r="A36" s="0" t="n">
        <f aca="false">A24</f>
      </c>
      <c r="H36" s="194" t="n">
        <f aca="false">'Valuation output'!K12</f>
      </c>
    </row>
    <row r="37" customFormat="false" ht="12" hidden="false" customHeight="false" outlineLevel="0" collapsed="false">
      <c r="A37" s="0" t="n">
        <f aca="false">A25</f>
      </c>
      <c r="H37" s="194" t="n">
        <f aca="false">'Valuation output'!L12</f>
      </c>
    </row>
    <row r="39" customFormat="false" ht="20.85" hidden="false" customHeight="false" outlineLevel="0" collapsed="false">
      <c r="A39" s="187" t="s">
        <v>197</v>
      </c>
      <c r="B39" s="187" t="s">
        <v>215</v>
      </c>
      <c r="C39" s="187" t="s">
        <v>216</v>
      </c>
      <c r="D39" s="187" t="s">
        <v>131</v>
      </c>
      <c r="E39" s="187" t="s">
        <v>217</v>
      </c>
      <c r="F39" s="187" t="s">
        <v>218</v>
      </c>
    </row>
    <row r="40" customFormat="false" ht="12" hidden="false" customHeight="false" outlineLevel="0" collapsed="false">
      <c r="A40" s="0" t="n">
        <f aca="false">A28</f>
      </c>
      <c r="B40" s="186" t="n">
        <f aca="false">H28</f>
      </c>
      <c r="C40" s="195" t="n">
        <f aca="false">(1+'Summary Sheet'!B40)</f>
      </c>
      <c r="D40" s="196" t="n">
        <f aca="false">F16</f>
      </c>
      <c r="F40" s="196" t="n">
        <f aca="false">D40/C40</f>
      </c>
    </row>
    <row r="41" customFormat="false" ht="12" hidden="false" customHeight="false" outlineLevel="0" collapsed="false">
      <c r="A41" s="0" t="n">
        <f aca="false">A29</f>
      </c>
      <c r="B41" s="186" t="n">
        <f aca="false">H29</f>
      </c>
      <c r="C41" s="195" t="n">
        <f aca="false">C40*(1+B41)</f>
      </c>
      <c r="D41" s="196" t="n">
        <f aca="false">F17</f>
      </c>
      <c r="F41" s="196" t="n">
        <f aca="false">D41/C41</f>
      </c>
    </row>
    <row r="42" customFormat="false" ht="12" hidden="false" customHeight="false" outlineLevel="0" collapsed="false">
      <c r="A42" s="0" t="n">
        <f aca="false">A30</f>
      </c>
      <c r="B42" s="186" t="n">
        <f aca="false">H30</f>
      </c>
      <c r="C42" s="195" t="n">
        <f aca="false">C41*(1+B42)</f>
      </c>
      <c r="D42" s="196" t="n">
        <f aca="false">F18</f>
      </c>
      <c r="F42" s="196" t="n">
        <f aca="false">D42/C42</f>
      </c>
    </row>
    <row r="43" customFormat="false" ht="12" hidden="false" customHeight="false" outlineLevel="0" collapsed="false">
      <c r="A43" s="0" t="n">
        <f aca="false">A31</f>
      </c>
      <c r="B43" s="186" t="n">
        <f aca="false">H31</f>
      </c>
      <c r="C43" s="195" t="n">
        <f aca="false">C42*(1+B43)</f>
      </c>
      <c r="D43" s="196" t="n">
        <f aca="false">F19</f>
      </c>
      <c r="F43" s="196" t="n">
        <f aca="false">D43/C43</f>
      </c>
    </row>
    <row r="44" customFormat="false" ht="12" hidden="false" customHeight="false" outlineLevel="0" collapsed="false">
      <c r="A44" s="0" t="n">
        <f aca="false">A32</f>
      </c>
      <c r="B44" s="186" t="n">
        <f aca="false">H32</f>
      </c>
      <c r="C44" s="195" t="n">
        <f aca="false">C43*(1+B44)</f>
      </c>
      <c r="D44" s="196" t="n">
        <f aca="false">F20</f>
      </c>
      <c r="F44" s="196" t="n">
        <f aca="false">D44/C44</f>
      </c>
    </row>
    <row r="45" customFormat="false" ht="12" hidden="false" customHeight="false" outlineLevel="0" collapsed="false">
      <c r="A45" s="0" t="n">
        <f aca="false">A33</f>
      </c>
      <c r="B45" s="186" t="n">
        <f aca="false">H33</f>
      </c>
      <c r="C45" s="195" t="n">
        <f aca="false">C44*(1+B45)</f>
      </c>
      <c r="D45" s="196" t="n">
        <f aca="false">F21</f>
      </c>
      <c r="F45" s="196" t="n">
        <f aca="false">D45/C45</f>
      </c>
    </row>
    <row r="46" customFormat="false" ht="12" hidden="false" customHeight="false" outlineLevel="0" collapsed="false">
      <c r="A46" s="0" t="n">
        <f aca="false">A34</f>
      </c>
      <c r="B46" s="186" t="n">
        <f aca="false">H34</f>
      </c>
      <c r="C46" s="195" t="n">
        <f aca="false">C45*(1+B46)</f>
      </c>
      <c r="D46" s="196" t="n">
        <f aca="false">F22</f>
      </c>
      <c r="F46" s="196" t="n">
        <f aca="false">D46/C46</f>
      </c>
    </row>
    <row r="47" customFormat="false" ht="12" hidden="false" customHeight="false" outlineLevel="0" collapsed="false">
      <c r="A47" s="0" t="n">
        <f aca="false">A35</f>
      </c>
      <c r="B47" s="186" t="n">
        <f aca="false">H35</f>
      </c>
      <c r="C47" s="195" t="n">
        <f aca="false">C46*(1+B47)</f>
      </c>
      <c r="D47" s="196" t="n">
        <f aca="false">F23</f>
      </c>
      <c r="F47" s="196" t="n">
        <f aca="false">D47/C47</f>
      </c>
    </row>
    <row r="48" customFormat="false" ht="12" hidden="false" customHeight="false" outlineLevel="0" collapsed="false">
      <c r="A48" s="0" t="n">
        <f aca="false">A36</f>
      </c>
      <c r="B48" s="186" t="n">
        <f aca="false">H36</f>
      </c>
      <c r="C48" s="195" t="n">
        <f aca="false">C47*(1+B48)</f>
      </c>
      <c r="D48" s="196" t="n">
        <f aca="false">F24</f>
      </c>
      <c r="F48" s="196" t="n">
        <f aca="false">D48/C48</f>
      </c>
    </row>
    <row r="49" customFormat="false" ht="12" hidden="false" customHeight="false" outlineLevel="0" collapsed="false">
      <c r="A49" s="0" t="n">
        <f aca="false">A37</f>
      </c>
      <c r="B49" s="186" t="n">
        <f aca="false">H37</f>
      </c>
      <c r="C49" s="195" t="n">
        <f aca="false">C48*(1+B49)</f>
      </c>
      <c r="D49" s="196" t="n">
        <f aca="false">F25</f>
      </c>
      <c r="E49" s="196" t="n">
        <f aca="false">'Valuation output'!B18</f>
      </c>
      <c r="F49" s="196" t="n">
        <f aca="false">(D49+E49)/C49</f>
      </c>
    </row>
    <row r="50" customFormat="false" ht="12" hidden="false" customHeight="false" outlineLevel="0" collapsed="false">
      <c r="A50" s="0" t="s">
        <v>144</v>
      </c>
      <c r="F50" s="196" t="n">
        <f aca="false">SUM(F40:F49)</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8" customFormat="true" ht="17.35" hidden="false" customHeight="false" outlineLevel="0" collapsed="false">
      <c r="A1" s="197" t="s">
        <v>219</v>
      </c>
      <c r="B1" s="197"/>
    </row>
    <row r="2" customFormat="false" ht="12.65" hidden="false" customHeight="false" outlineLevel="0" collapsed="false">
      <c r="A2" s="199" t="s">
        <v>220</v>
      </c>
      <c r="B2" s="199"/>
      <c r="D2" s="200" t="n">
        <f aca="false">'Input sheet'!B19</f>
      </c>
    </row>
    <row r="3" customFormat="false" ht="12.65" hidden="false" customHeight="false" outlineLevel="0" collapsed="false">
      <c r="A3" s="199" t="s">
        <v>221</v>
      </c>
      <c r="B3" s="199"/>
      <c r="D3" s="201" t="n">
        <f aca="false">'Input sheet'!B33</f>
      </c>
    </row>
    <row r="4" customFormat="false" ht="12.65" hidden="false" customHeight="false" outlineLevel="0" collapsed="false">
      <c r="A4" s="199" t="s">
        <v>222</v>
      </c>
      <c r="B4" s="199"/>
      <c r="D4" s="202" t="n">
        <f aca="false">'Input sheet'!B34</f>
      </c>
    </row>
    <row r="5" customFormat="false" ht="12.65" hidden="false" customHeight="false" outlineLevel="0" collapsed="false">
      <c r="A5" s="199" t="s">
        <v>223</v>
      </c>
      <c r="B5" s="199"/>
      <c r="D5" s="203" t="n">
        <f aca="false">'Input sheet'!B35</f>
      </c>
      <c r="E5" s="199" t="s">
        <v>224</v>
      </c>
    </row>
    <row r="6" customFormat="false" ht="12.65" hidden="false" customHeight="false" outlineLevel="0" collapsed="false">
      <c r="A6" s="199" t="s">
        <v>225</v>
      </c>
      <c r="B6" s="199"/>
      <c r="D6" s="204" t="n">
        <v>0</v>
      </c>
    </row>
    <row r="7" customFormat="false" ht="12.65" hidden="false" customHeight="false" outlineLevel="0" collapsed="false">
      <c r="A7" s="199" t="s">
        <v>226</v>
      </c>
      <c r="B7" s="199"/>
      <c r="D7" s="204" t="n">
        <f aca="false">'Input sheet'!B28</f>
      </c>
    </row>
    <row r="8" customFormat="false" ht="12.65" hidden="false" customHeight="false" outlineLevel="0" collapsed="false">
      <c r="A8" s="199" t="s">
        <v>227</v>
      </c>
      <c r="B8" s="199"/>
      <c r="D8" s="202" t="n">
        <f aca="false">'Input sheet'!B32</f>
      </c>
    </row>
    <row r="9" customFormat="false" ht="12.65" hidden="false" customHeight="false" outlineLevel="0" collapsed="false">
      <c r="A9" s="199" t="s">
        <v>228</v>
      </c>
      <c r="B9" s="199"/>
      <c r="D9" s="205" t="n">
        <f aca="false">'Input sheet'!B18</f>
      </c>
    </row>
    <row r="10" customFormat="false" ht="12.65" hidden="false" customHeight="false" outlineLevel="0" collapsed="false">
      <c r="A10" s="199"/>
      <c r="B10" s="199"/>
    </row>
    <row r="11" s="208" customFormat="true" ht="12.65" hidden="false" customHeight="false" outlineLevel="0" collapsed="false">
      <c r="A11" s="206" t="s">
        <v>229</v>
      </c>
      <c r="B11" s="207"/>
    </row>
    <row r="12" s="199" customFormat="true" ht="12.65" hidden="false" customHeight="false" outlineLevel="0" collapsed="false">
      <c r="A12" s="209" t="s">
        <v>230</v>
      </c>
    </row>
    <row r="13" s="199" customFormat="true" ht="12.65" hidden="false" customHeight="false" outlineLevel="0" collapsed="false">
      <c r="A13" s="199" t="s">
        <v>231</v>
      </c>
      <c r="C13" s="210" t="n">
        <f aca="false">D2</f>
      </c>
      <c r="D13" s="199" t="s">
        <v>232</v>
      </c>
      <c r="F13" s="211" t="n">
        <f aca="false">D8</f>
      </c>
      <c r="G13" s="212"/>
    </row>
    <row r="14" s="199" customFormat="true" ht="12.65" hidden="false" customHeight="false" outlineLevel="0" collapsed="false">
      <c r="A14" s="199" t="s">
        <v>233</v>
      </c>
      <c r="C14" s="210" t="n">
        <f aca="false">D3</f>
      </c>
      <c r="D14" s="199" t="s">
        <v>234</v>
      </c>
      <c r="F14" s="213" t="n">
        <f aca="false">D9</f>
      </c>
      <c r="G14" s="212"/>
    </row>
    <row r="15" s="199" customFormat="true" ht="12.65" hidden="false" customHeight="false" outlineLevel="0" collapsed="false">
      <c r="A15" s="199" t="s">
        <v>235</v>
      </c>
      <c r="C15" s="214" t="e">
        <f aca="false">(C13*F14+C26*F13)/(F14+F13)</f>
      </c>
      <c r="D15" s="199" t="s">
        <v>236</v>
      </c>
      <c r="F15" s="215" t="n">
        <f aca="false">D7</f>
      </c>
    </row>
    <row r="16" s="199" customFormat="true" ht="12.65" hidden="false" customHeight="false" outlineLevel="0" collapsed="false">
      <c r="A16" s="199" t="s">
        <v>237</v>
      </c>
      <c r="C16" s="210" t="n">
        <f aca="false">C14</f>
      </c>
      <c r="D16" s="199" t="s">
        <v>238</v>
      </c>
      <c r="F16" s="216" t="n">
        <f aca="false">D5^2</f>
      </c>
    </row>
    <row r="17" s="199" customFormat="true" ht="12.65" hidden="false" customHeight="false" outlineLevel="0" collapsed="false">
      <c r="A17" s="199" t="s">
        <v>239</v>
      </c>
      <c r="C17" s="217" t="n">
        <f aca="false">D4</f>
      </c>
      <c r="D17" s="199" t="s">
        <v>240</v>
      </c>
      <c r="F17" s="215" t="n">
        <f aca="false">D6</f>
      </c>
    </row>
    <row r="18" s="199" customFormat="true" ht="12.65" hidden="false" customHeight="false" outlineLevel="0" collapsed="false">
      <c r="C18" s="209"/>
      <c r="D18" s="199" t="s">
        <v>241</v>
      </c>
      <c r="F18" s="218" t="n">
        <f aca="false">F15-F17</f>
      </c>
    </row>
    <row r="19" s="199" customFormat="true" ht="12.65" hidden="false" customHeight="false" outlineLevel="0" collapsed="false"/>
    <row r="20" s="199" customFormat="true" ht="12.65" hidden="false" customHeight="false" outlineLevel="0" collapsed="false">
      <c r="A20" s="199" t="s">
        <v>242</v>
      </c>
      <c r="B20" s="219" t="e">
        <f aca="false">(LN(C15/C16)+(F18+(F16/2))*C17)/(((F16)^(0.5))*(C17^0.5))</f>
      </c>
    </row>
    <row r="21" s="199" customFormat="true" ht="12.65" hidden="false" customHeight="false" outlineLevel="0" collapsed="false">
      <c r="A21" s="199" t="s">
        <v>243</v>
      </c>
      <c r="B21" s="219" t="e">
        <f aca="false">NORMSDIST(B20)</f>
      </c>
    </row>
    <row r="22" s="199" customFormat="true" ht="12.65" hidden="false" customHeight="false" outlineLevel="0" collapsed="false"/>
    <row r="23" s="199" customFormat="true" ht="15.75" hidden="false" customHeight="true" outlineLevel="0" collapsed="false">
      <c r="A23" s="199" t="s">
        <v>244</v>
      </c>
      <c r="B23" s="219" t="e">
        <f aca="false">B20-((F16^0.5)*(C17^(0.5)))</f>
      </c>
    </row>
    <row r="24" s="199" customFormat="true" ht="12.65" hidden="false" customHeight="false" outlineLevel="0" collapsed="false">
      <c r="A24" s="199" t="s">
        <v>245</v>
      </c>
      <c r="B24" s="219" t="e">
        <f aca="false">NORMSDIST(B23)</f>
      </c>
    </row>
    <row r="25" customFormat="false" ht="12.65" hidden="false" customHeight="false" outlineLevel="0" collapsed="false">
      <c r="A25" s="199"/>
      <c r="B25" s="199"/>
    </row>
    <row r="26" s="199" customFormat="true" ht="12.65" hidden="false" customHeight="false" outlineLevel="0" collapsed="false">
      <c r="A26" s="199" t="s">
        <v>246</v>
      </c>
      <c r="C26" s="220" t="e">
        <f aca="false">((EXP((0-F17)*C17))*C15*B21-C16*(EXP((0-F15)*C17))*B24)</f>
      </c>
      <c r="G26" s="221"/>
    </row>
    <row r="27" s="199" customFormat="true" ht="12.65" hidden="false" customHeight="false" outlineLevel="0" collapsed="false">
      <c r="A27" s="199" t="s">
        <v>247</v>
      </c>
      <c r="D27" s="222" t="e">
        <f aca="false">C26*D8</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23" width="61.67"/>
    <col collapsed="false" customWidth="true" hidden="false" outlineLevel="0" max="2" min="2" style="223" width="43.83"/>
    <col collapsed="false" customWidth="true" hidden="false" outlineLevel="0" max="3" min="3" style="223" width="68"/>
    <col collapsed="false" customWidth="false" hidden="false" outlineLevel="0" max="16384" min="4" style="223" width="10.83"/>
  </cols>
  <sheetData>
    <row r="1" s="226" customFormat="true" ht="15.75" hidden="false" customHeight="false" outlineLevel="0" collapsed="false">
      <c r="A1" s="224" t="s">
        <v>248</v>
      </c>
      <c r="B1" s="225"/>
    </row>
    <row r="2" s="226" customFormat="true" ht="15.75" hidden="false" customHeight="false" outlineLevel="0" collapsed="false">
      <c r="A2" s="225" t="s">
        <v>249</v>
      </c>
      <c r="B2" s="227" t="n">
        <f aca="false">'Valuation output'!B39</f>
      </c>
    </row>
    <row r="3" s="226" customFormat="true" ht="15.75" hidden="false" customHeight="false" outlineLevel="0" collapsed="false">
      <c r="A3" s="225" t="s">
        <v>250</v>
      </c>
      <c r="B3" s="227" t="n">
        <f aca="false">'Valuation output'!L39</f>
      </c>
    </row>
    <row r="4" s="226" customFormat="true" ht="15.75" hidden="false" customHeight="false" outlineLevel="0" collapsed="false">
      <c r="A4" s="225" t="s">
        <v>251</v>
      </c>
      <c r="B4" s="227" t="n">
        <f aca="false">B3-B2</f>
      </c>
    </row>
    <row r="5" s="226" customFormat="true" ht="15.75" hidden="false" customHeight="false" outlineLevel="0" collapsed="false">
      <c r="A5" s="225" t="s">
        <v>252</v>
      </c>
      <c r="B5" s="227" t="n">
        <f aca="false">'Valuation output'!L5-'Valuation output'!B5</f>
      </c>
    </row>
    <row r="6" s="226" customFormat="true" ht="15.75" hidden="false" customHeight="false" outlineLevel="0" collapsed="false">
      <c r="A6" s="225" t="s">
        <v>253</v>
      </c>
      <c r="B6" s="228" t="n">
        <f aca="false">B5/B4</f>
      </c>
    </row>
    <row r="7" s="226" customFormat="true" ht="15.75" hidden="false" customHeight="false" outlineLevel="0" collapsed="false">
      <c r="A7" s="225" t="s">
        <v>254</v>
      </c>
      <c r="B7" s="228" t="n">
        <f aca="false">'Valuation output'!L40</f>
      </c>
    </row>
    <row r="8" s="226" customFormat="true" ht="15.75" hidden="false" customHeight="false" outlineLevel="0" collapsed="false">
      <c r="A8" s="225" t="s">
        <v>255</v>
      </c>
      <c r="B8" s="228" t="n">
        <f aca="false">(1/'Valuation output'!L13)^(1/10)-1</f>
      </c>
    </row>
    <row r="9" s="226" customFormat="true" ht="15.75" hidden="false" customHeight="false" outlineLevel="0" collapsed="false">
      <c r="A9" s="229" t="s">
        <v>256</v>
      </c>
      <c r="B9" s="230" t="n">
        <f aca="false">'Valuation output'!B33/'Valuation output'!B34</f>
      </c>
    </row>
    <row r="10" s="226" customFormat="true" ht="15.75" hidden="false" customHeight="false" outlineLevel="0" collapsed="false">
      <c r="A10" s="231"/>
      <c r="B10" s="232" t="str">
        <f aca="false">IF(B9="NA","Value is negative. See below",IF(B9&gt;2,"Value seems high. See below",IF(B9&lt;0.5,"Value seems low. See below"," ")))</f>
      </c>
      <c r="C10" s="232"/>
    </row>
    <row r="11" s="199" customFormat="true" ht="15.75" hidden="false" customHeight="false" outlineLevel="0" collapsed="false">
      <c r="A11" s="233" t="s">
        <v>257</v>
      </c>
      <c r="B11" s="234" t="s">
        <v>258</v>
      </c>
      <c r="C11" s="235" t="s">
        <v>259</v>
      </c>
    </row>
    <row r="12" s="199" customFormat="true" ht="15.75" hidden="false" customHeight="false" outlineLevel="0" collapsed="false">
      <c r="A12" s="236" t="s">
        <v>260</v>
      </c>
      <c r="B12" s="237" t="s">
        <v>261</v>
      </c>
      <c r="C12" s="238" t="s">
        <v>262</v>
      </c>
    </row>
    <row r="13" s="199" customFormat="true" ht="15.75" hidden="false" customHeight="false" outlineLevel="0" collapsed="false">
      <c r="A13" s="236" t="s">
        <v>263</v>
      </c>
      <c r="B13" s="239" t="s">
        <v>264</v>
      </c>
      <c r="C13" s="240" t="s">
        <v>265</v>
      </c>
      <c r="D13" s="199" t="s">
        <v>266</v>
      </c>
    </row>
    <row r="14" s="199" customFormat="true" ht="15.75" hidden="false" customHeight="false" outlineLevel="0" collapsed="false">
      <c r="A14" s="241" t="s">
        <v>267</v>
      </c>
      <c r="B14" s="242" t="s">
        <v>268</v>
      </c>
      <c r="C14" s="243" t="s">
        <v>269</v>
      </c>
      <c r="D14" s="199" t="s">
        <v>266</v>
      </c>
    </row>
    <row r="15" s="199" customFormat="true" ht="15.75" hidden="false" customHeight="false" outlineLevel="0" collapsed="false">
      <c r="A15" s="244" t="s">
        <v>270</v>
      </c>
      <c r="B15" s="245" t="s">
        <v>271</v>
      </c>
      <c r="C15" s="246" t="s">
        <v>272</v>
      </c>
      <c r="D15" s="199" t="s">
        <v>273</v>
      </c>
    </row>
    <row r="16" customFormat="false" ht="15.75" hidden="false" customHeight="false" outlineLevel="0" collapsed="false">
      <c r="B16" s="247"/>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7" customFormat="true" ht="17.35" hidden="false" customHeight="false" outlineLevel="0" collapsed="false">
      <c r="A1" s="248" t="s">
        <v>274</v>
      </c>
      <c r="B1" s="248"/>
      <c r="C1" s="248"/>
      <c r="D1" s="248"/>
      <c r="E1" s="248"/>
      <c r="F1" s="248"/>
      <c r="G1" s="248"/>
      <c r="H1" s="248"/>
      <c r="I1" s="248"/>
      <c r="J1" s="248"/>
    </row>
    <row r="2" s="199" customFormat="true" ht="12.65" hidden="false" customHeight="false" outlineLevel="0" collapsed="false">
      <c r="A2" s="199" t="s">
        <v>275</v>
      </c>
    </row>
    <row r="3" s="199" customFormat="true" ht="12.65" hidden="false" customHeight="false" outlineLevel="0" collapsed="false">
      <c r="A3" s="199" t="s">
        <v>276</v>
      </c>
    </row>
    <row r="4" s="199" customFormat="true" ht="12.65" hidden="false" customHeight="false" outlineLevel="0" collapsed="false"/>
    <row r="5" s="199" customFormat="true" ht="12.65" hidden="false" customHeight="false" outlineLevel="0" collapsed="false">
      <c r="A5" s="209" t="s">
        <v>257</v>
      </c>
    </row>
    <row r="6" s="199" customFormat="true" ht="12.65" hidden="false" customHeight="false" outlineLevel="0" collapsed="false">
      <c r="A6" s="199" t="s">
        <v>277</v>
      </c>
      <c r="F6" s="249" t="n">
        <v>2</v>
      </c>
      <c r="G6" s="199" t="s">
        <v>278</v>
      </c>
    </row>
    <row r="7" s="199" customFormat="true" ht="12.65" hidden="false" customHeight="false" outlineLevel="0" collapsed="false">
      <c r="A7" s="199" t="s">
        <v>279</v>
      </c>
      <c r="F7" s="250" t="n">
        <v>22620</v>
      </c>
      <c r="G7" s="199" t="s">
        <v>280</v>
      </c>
    </row>
    <row r="8" s="199" customFormat="true" ht="12.65" hidden="false" customHeight="false" outlineLevel="0" collapsed="false">
      <c r="A8" s="199" t="s">
        <v>281</v>
      </c>
    </row>
    <row r="9" s="199" customFormat="true" ht="12.65" hidden="false" customHeight="false" outlineLevel="0" collapsed="false">
      <c r="A9" s="199" t="s">
        <v>282</v>
      </c>
    </row>
    <row r="10" s="253" customFormat="true" ht="12.65" hidden="false" customHeight="false" outlineLevel="0" collapsed="false">
      <c r="A10" s="251" t="s">
        <v>197</v>
      </c>
      <c r="B10" s="251" t="s">
        <v>283</v>
      </c>
      <c r="C10" s="252"/>
      <c r="D10" s="252"/>
      <c r="E10" s="252"/>
      <c r="F10" s="252"/>
      <c r="G10" s="252"/>
      <c r="H10" s="252"/>
      <c r="I10" s="252"/>
    </row>
    <row r="11" s="253" customFormat="true" ht="12.65" hidden="false" customHeight="false" outlineLevel="0" collapsed="false">
      <c r="A11" s="254" t="n">
        <v>-1</v>
      </c>
      <c r="B11" s="255" t="n">
        <v>16085</v>
      </c>
      <c r="C11" s="252" t="s">
        <v>284</v>
      </c>
      <c r="D11" s="252"/>
      <c r="E11" s="252"/>
      <c r="F11" s="252"/>
      <c r="G11" s="252"/>
      <c r="H11" s="252"/>
      <c r="I11" s="252"/>
    </row>
    <row r="12" s="253" customFormat="true" ht="12.65" hidden="false" customHeight="false" outlineLevel="0" collapsed="false">
      <c r="A12" s="254" t="n">
        <f aca="false">IF((0-A11)&lt;$F$6,IF(A11&gt;-1,,A11-1),)</f>
      </c>
      <c r="B12" s="255" t="n">
        <v>12540</v>
      </c>
      <c r="C12" s="252" t="s">
        <v>285</v>
      </c>
      <c r="D12" s="252"/>
      <c r="E12" s="252"/>
      <c r="F12" s="252"/>
      <c r="G12" s="252"/>
      <c r="H12" s="252"/>
      <c r="I12" s="252"/>
    </row>
    <row r="13" s="253" customFormat="true" ht="12.65" hidden="false" customHeight="false" outlineLevel="0" collapsed="false">
      <c r="A13" s="254" t="n">
        <f aca="false">IF((0-A12)&lt;$F$6,IF(A12&gt;-1,,A12-1),)</f>
      </c>
      <c r="B13" s="255"/>
      <c r="C13" s="252"/>
      <c r="D13" s="252"/>
      <c r="E13" s="252"/>
      <c r="F13" s="252"/>
      <c r="G13" s="252"/>
      <c r="H13" s="252"/>
      <c r="I13" s="252"/>
    </row>
    <row r="14" s="253" customFormat="true" ht="12.65" hidden="false" customHeight="false" outlineLevel="0" collapsed="false">
      <c r="A14" s="254" t="n">
        <f aca="false">IF((0-A13)&lt;$F$6,IF(A13&gt;-1,,A13-1),)</f>
      </c>
      <c r="B14" s="255"/>
      <c r="C14" s="252"/>
      <c r="D14" s="252"/>
      <c r="E14" s="252"/>
      <c r="F14" s="252"/>
      <c r="G14" s="252"/>
      <c r="H14" s="252"/>
      <c r="I14" s="252"/>
    </row>
    <row r="15" s="253" customFormat="true" ht="12.65" hidden="false" customHeight="false" outlineLevel="0" collapsed="false">
      <c r="A15" s="254" t="n">
        <f aca="false">IF((0-A14)&lt;$F$6,IF(A14&gt;-1,,A14-1),)</f>
      </c>
      <c r="B15" s="255"/>
      <c r="C15" s="252"/>
      <c r="D15" s="252"/>
      <c r="E15" s="252"/>
      <c r="F15" s="252"/>
      <c r="G15" s="252"/>
      <c r="H15" s="252"/>
      <c r="I15" s="252"/>
    </row>
    <row r="16" s="253" customFormat="true" ht="12.65" hidden="false" customHeight="false" outlineLevel="0" collapsed="false">
      <c r="A16" s="254" t="n">
        <f aca="false">IF((0-A15)&lt;$F$6,IF(A15&gt;-1,,A15-1),)</f>
      </c>
      <c r="B16" s="255"/>
      <c r="C16" s="252"/>
      <c r="D16" s="252"/>
      <c r="E16" s="252"/>
      <c r="F16" s="252"/>
      <c r="G16" s="252"/>
      <c r="H16" s="252"/>
      <c r="I16" s="252"/>
    </row>
    <row r="17" s="253" customFormat="true" ht="12.65" hidden="false" customHeight="false" outlineLevel="0" collapsed="false">
      <c r="A17" s="254" t="n">
        <f aca="false">IF((0-A16)&lt;$F$6,IF(A16&gt;-1,,A16-1),)</f>
      </c>
      <c r="B17" s="255"/>
      <c r="C17" s="252"/>
      <c r="D17" s="252"/>
      <c r="E17" s="252"/>
      <c r="F17" s="252"/>
      <c r="G17" s="252"/>
      <c r="H17" s="252"/>
      <c r="I17" s="252"/>
    </row>
    <row r="18" s="253" customFormat="true" ht="12.65" hidden="false" customHeight="false" outlineLevel="0" collapsed="false">
      <c r="A18" s="254" t="n">
        <f aca="false">IF((0-A17)&lt;$F$6,IF(A17&gt;-1,,A17-1),)</f>
      </c>
      <c r="B18" s="255"/>
      <c r="C18" s="252"/>
      <c r="D18" s="252"/>
      <c r="E18" s="252"/>
      <c r="F18" s="252"/>
      <c r="G18" s="252"/>
      <c r="H18" s="252"/>
      <c r="I18" s="252"/>
    </row>
    <row r="19" s="253" customFormat="true" ht="12.65" hidden="false" customHeight="false" outlineLevel="0" collapsed="false">
      <c r="A19" s="254" t="n">
        <f aca="false">IF((0-A18)&lt;$F$6,IF(A18&gt;-1,,A18-1),)</f>
      </c>
      <c r="B19" s="255"/>
      <c r="C19" s="252"/>
      <c r="D19" s="252"/>
      <c r="E19" s="252"/>
      <c r="F19" s="252"/>
      <c r="G19" s="252"/>
      <c r="H19" s="252"/>
      <c r="I19" s="252"/>
    </row>
    <row r="20" s="253" customFormat="true" ht="12.65" hidden="false" customHeight="false" outlineLevel="0" collapsed="false">
      <c r="A20" s="254" t="n">
        <f aca="false">IF((0-A19)&lt;$F$6,IF(A19&gt;-1,,A19-1),)</f>
      </c>
      <c r="B20" s="255"/>
      <c r="C20" s="252"/>
      <c r="D20" s="252"/>
      <c r="E20" s="252"/>
      <c r="F20" s="252"/>
      <c r="G20" s="252"/>
      <c r="H20" s="252"/>
      <c r="I20" s="252"/>
    </row>
    <row r="21" s="253" customFormat="true" ht="12.65" hidden="false" customHeight="false" outlineLevel="0" collapsed="false">
      <c r="A21" s="252"/>
      <c r="B21" s="252"/>
      <c r="C21" s="252"/>
      <c r="D21" s="252"/>
      <c r="E21" s="252"/>
      <c r="F21" s="252"/>
      <c r="G21" s="252"/>
      <c r="H21" s="252"/>
      <c r="I21" s="252"/>
    </row>
    <row r="22" s="253" customFormat="true" ht="12.65" hidden="false" customHeight="false" outlineLevel="0" collapsed="false">
      <c r="A22" s="256" t="s">
        <v>286</v>
      </c>
      <c r="B22" s="252"/>
      <c r="C22" s="252"/>
      <c r="D22" s="252"/>
      <c r="E22" s="252"/>
      <c r="F22" s="252"/>
      <c r="G22" s="252"/>
      <c r="H22" s="252"/>
      <c r="I22" s="252"/>
    </row>
    <row r="23" s="253" customFormat="true" ht="12.65" hidden="false" customHeight="false" outlineLevel="0" collapsed="false">
      <c r="A23" s="251" t="s">
        <v>197</v>
      </c>
      <c r="B23" s="251" t="s">
        <v>287</v>
      </c>
      <c r="C23" s="251" t="s">
        <v>288</v>
      </c>
      <c r="D23" s="251"/>
      <c r="E23" s="252" t="s">
        <v>289</v>
      </c>
      <c r="F23" s="252"/>
      <c r="G23" s="252"/>
      <c r="H23" s="252"/>
      <c r="I23" s="252"/>
    </row>
    <row r="24" s="253" customFormat="true" ht="12.65" hidden="false" customHeight="false" outlineLevel="0" collapsed="false">
      <c r="A24" s="251" t="s">
        <v>290</v>
      </c>
      <c r="B24" s="251" t="n">
        <f aca="false">F7</f>
      </c>
      <c r="C24" s="251" t="n">
        <f aca="false">1</f>
      </c>
      <c r="D24" s="251" t="n">
        <f aca="false">B24*C24</f>
      </c>
      <c r="E24" s="252"/>
      <c r="F24" s="252"/>
      <c r="G24" s="252"/>
      <c r="H24" s="252"/>
      <c r="I24" s="252"/>
    </row>
    <row r="25" s="253" customFormat="true" ht="12.65" hidden="false" customHeight="false" outlineLevel="0" collapsed="false">
      <c r="A25" s="254" t="n">
        <f aca="false">A11</f>
      </c>
      <c r="B25" s="251" t="n">
        <f aca="false">B11</f>
      </c>
      <c r="C25" s="251" t="n">
        <f aca="false">IF(A25&lt;0,($F$6+A25)/$F$6,0)</f>
      </c>
      <c r="D25" s="251" t="n">
        <f aca="false">B25*C25</f>
      </c>
      <c r="E25" s="257" t="n">
        <f aca="false">IF(A25&lt;0,B25/$F$6,0)</f>
      </c>
      <c r="F25" s="252"/>
      <c r="G25" s="252"/>
      <c r="H25" s="252"/>
      <c r="I25" s="252"/>
    </row>
    <row r="26" s="253" customFormat="true" ht="12.65" hidden="false" customHeight="false" outlineLevel="0" collapsed="false">
      <c r="A26" s="254" t="n">
        <f aca="false">A12</f>
      </c>
      <c r="B26" s="251" t="n">
        <f aca="false">B12</f>
      </c>
      <c r="C26" s="251" t="n">
        <f aca="false">IF(A26&lt;0,($F$6+A26)/$F$6,0)</f>
      </c>
      <c r="D26" s="251" t="n">
        <f aca="false">B26*C26</f>
      </c>
      <c r="E26" s="257" t="n">
        <f aca="false">IF(A26&lt;0,B26/$F$6,0)</f>
      </c>
      <c r="F26" s="252"/>
      <c r="G26" s="252"/>
      <c r="H26" s="252"/>
      <c r="I26" s="252"/>
    </row>
    <row r="27" s="253" customFormat="true" ht="12.65" hidden="false" customHeight="false" outlineLevel="0" collapsed="false">
      <c r="A27" s="254" t="n">
        <f aca="false">A13</f>
      </c>
      <c r="B27" s="251" t="n">
        <f aca="false">B13</f>
      </c>
      <c r="C27" s="251" t="n">
        <f aca="false">IF(A27&lt;0,($F$6+A27)/$F$6,0)</f>
      </c>
      <c r="D27" s="251" t="n">
        <f aca="false">B27*C27</f>
      </c>
      <c r="E27" s="257" t="n">
        <f aca="false">IF(A27&lt;0,B27/$F$6,0)</f>
      </c>
      <c r="F27" s="252"/>
      <c r="G27" s="252"/>
      <c r="H27" s="252"/>
      <c r="I27" s="252"/>
    </row>
    <row r="28" s="253" customFormat="true" ht="12.65" hidden="false" customHeight="false" outlineLevel="0" collapsed="false">
      <c r="A28" s="254" t="n">
        <f aca="false">A14</f>
      </c>
      <c r="B28" s="251" t="n">
        <f aca="false">B14</f>
      </c>
      <c r="C28" s="251" t="n">
        <f aca="false">IF(A28&lt;0,($F$6+A28)/$F$6,0)</f>
      </c>
      <c r="D28" s="251" t="n">
        <f aca="false">B28*C28</f>
      </c>
      <c r="E28" s="257" t="n">
        <f aca="false">IF(A28&lt;0,B28/$F$6,0)</f>
      </c>
      <c r="F28" s="252"/>
      <c r="G28" s="252"/>
      <c r="H28" s="252"/>
      <c r="I28" s="252"/>
    </row>
    <row r="29" s="253" customFormat="true" ht="12.65" hidden="false" customHeight="false" outlineLevel="0" collapsed="false">
      <c r="A29" s="254" t="n">
        <f aca="false">A15</f>
      </c>
      <c r="B29" s="251" t="n">
        <f aca="false">B15</f>
      </c>
      <c r="C29" s="251" t="n">
        <f aca="false">IF(A29&lt;0,($F$6+A29)/$F$6,0)</f>
      </c>
      <c r="D29" s="251" t="n">
        <f aca="false">B29*C29</f>
      </c>
      <c r="E29" s="257" t="n">
        <f aca="false">IF(A29&lt;0,B29/$F$6,0)</f>
      </c>
      <c r="F29" s="252"/>
      <c r="G29" s="252"/>
      <c r="H29" s="252"/>
      <c r="I29" s="252"/>
    </row>
    <row r="30" s="253" customFormat="true" ht="12.65" hidden="false" customHeight="false" outlineLevel="0" collapsed="false">
      <c r="A30" s="254" t="n">
        <f aca="false">A16</f>
      </c>
      <c r="B30" s="251" t="n">
        <f aca="false">B16</f>
      </c>
      <c r="C30" s="251" t="n">
        <f aca="false">IF(A30&lt;0,($F$6+A30)/$F$6,0)</f>
      </c>
      <c r="D30" s="251" t="n">
        <f aca="false">B30*C30</f>
      </c>
      <c r="E30" s="257" t="n">
        <f aca="false">IF(A30&lt;0,B30/$F$6,0)</f>
      </c>
      <c r="F30" s="252"/>
      <c r="G30" s="252"/>
      <c r="H30" s="252"/>
      <c r="I30" s="252"/>
    </row>
    <row r="31" s="253" customFormat="true" ht="12.65" hidden="false" customHeight="false" outlineLevel="0" collapsed="false">
      <c r="A31" s="254" t="n">
        <f aca="false">A17</f>
      </c>
      <c r="B31" s="251" t="n">
        <f aca="false">B17</f>
      </c>
      <c r="C31" s="251" t="n">
        <f aca="false">IF(A31&lt;0,($F$6+A31)/$F$6,0)</f>
      </c>
      <c r="D31" s="251" t="n">
        <f aca="false">B31*C31</f>
      </c>
      <c r="E31" s="257" t="n">
        <f aca="false">IF(A31&lt;0,B31/$F$6,0)</f>
      </c>
      <c r="F31" s="252"/>
      <c r="G31" s="252"/>
      <c r="H31" s="252"/>
      <c r="I31" s="252"/>
    </row>
    <row r="32" s="253" customFormat="true" ht="12.65" hidden="false" customHeight="false" outlineLevel="0" collapsed="false">
      <c r="A32" s="254" t="n">
        <f aca="false">A18</f>
      </c>
      <c r="B32" s="251" t="n">
        <f aca="false">B18</f>
      </c>
      <c r="C32" s="251" t="n">
        <f aca="false">IF(A32&lt;0,($F$6+A32)/$F$6,0)</f>
      </c>
      <c r="D32" s="251" t="n">
        <f aca="false">B32*C32</f>
      </c>
      <c r="E32" s="257" t="n">
        <f aca="false">IF(A32&lt;0,B32/$F$6,0)</f>
      </c>
      <c r="F32" s="252"/>
      <c r="G32" s="252"/>
      <c r="H32" s="252"/>
      <c r="I32" s="252"/>
    </row>
    <row r="33" s="253" customFormat="true" ht="12.65" hidden="false" customHeight="false" outlineLevel="0" collapsed="false">
      <c r="A33" s="254" t="n">
        <f aca="false">A19</f>
      </c>
      <c r="B33" s="251" t="n">
        <f aca="false">B19</f>
      </c>
      <c r="C33" s="251" t="n">
        <f aca="false">IF(A33&lt;0,($F$6+A33)/$F$6,0)</f>
      </c>
      <c r="D33" s="251" t="n">
        <f aca="false">B33*C33</f>
      </c>
      <c r="E33" s="257" t="n">
        <f aca="false">IF(A33&lt;0,B33/$F$6,0)</f>
      </c>
      <c r="F33" s="252"/>
      <c r="G33" s="252"/>
      <c r="H33" s="252"/>
      <c r="I33" s="252"/>
    </row>
    <row r="34" s="253" customFormat="true" ht="15.75" hidden="false" customHeight="true" outlineLevel="0" collapsed="false">
      <c r="A34" s="254" t="n">
        <f aca="false">A20</f>
      </c>
      <c r="B34" s="251" t="n">
        <f aca="false">B20</f>
      </c>
      <c r="C34" s="251" t="n">
        <f aca="false">IF(A34&lt;0,($F$6+A34)/$F$6,0)</f>
      </c>
      <c r="D34" s="258" t="n">
        <f aca="false">B34*C34</f>
      </c>
      <c r="E34" s="259" t="n">
        <f aca="false">IF(A34&lt;0,B34/$F$6,0)</f>
      </c>
      <c r="F34" s="252"/>
      <c r="G34" s="252"/>
      <c r="H34" s="252"/>
      <c r="I34" s="252"/>
    </row>
    <row r="35" s="199" customFormat="true" ht="12.65" hidden="false" customHeight="false" outlineLevel="0" collapsed="false">
      <c r="A35" s="199" t="s">
        <v>291</v>
      </c>
      <c r="D35" s="260" t="n">
        <f aca="false">SUM(D24:D34)</f>
      </c>
      <c r="E35" s="220" t="n">
        <f aca="false">SUM(E25:E34)</f>
      </c>
    </row>
    <row r="37" s="199" customFormat="true" ht="12.65" hidden="false" customHeight="false" outlineLevel="0" collapsed="false">
      <c r="A37" s="199" t="s">
        <v>292</v>
      </c>
      <c r="D37" s="260" t="n">
        <f aca="false">E35</f>
      </c>
    </row>
    <row r="38" s="199" customFormat="true" ht="12.65" hidden="false" customHeight="false" outlineLevel="0" collapsed="false"/>
    <row r="39" s="199" customFormat="true" ht="12.65" hidden="false" customHeight="false" outlineLevel="0" collapsed="false">
      <c r="A39" s="199" t="s">
        <v>293</v>
      </c>
      <c r="D39" s="261" t="n">
        <f aca="false">F7-D37</f>
      </c>
      <c r="E39" s="199" t="s">
        <v>294</v>
      </c>
    </row>
    <row r="40" customFormat="false" ht="12.65" hidden="false" customHeight="false" outlineLevel="0" collapsed="false">
      <c r="A40" s="0" t="s">
        <v>295</v>
      </c>
      <c r="D40" s="262" t="n">
        <f aca="false">D39*'Input sheet'!B21</f>
      </c>
      <c r="E40" s="199"/>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7" customFormat="true" ht="17.35" hidden="false" customHeight="false" outlineLevel="0" collapsed="false">
      <c r="A1" s="248" t="s">
        <v>296</v>
      </c>
      <c r="B1" s="248"/>
      <c r="C1" s="248"/>
      <c r="D1" s="248"/>
      <c r="E1" s="248"/>
      <c r="F1" s="248"/>
      <c r="G1" s="248"/>
      <c r="H1" s="248"/>
      <c r="I1" s="248"/>
      <c r="J1" s="248"/>
      <c r="K1" s="248"/>
    </row>
    <row r="2" s="197" customFormat="true" ht="17.35" hidden="false" customHeight="false" outlineLevel="0" collapsed="false">
      <c r="A2" s="248" t="s">
        <v>297</v>
      </c>
      <c r="B2" s="248"/>
      <c r="C2" s="248"/>
      <c r="D2" s="248"/>
      <c r="E2" s="248"/>
      <c r="F2" s="248"/>
      <c r="G2" s="248"/>
      <c r="H2" s="248"/>
      <c r="I2" s="248"/>
      <c r="J2" s="248"/>
      <c r="K2" s="248"/>
    </row>
    <row r="3" s="209" customFormat="true" ht="12.65" hidden="false" customHeight="false" outlineLevel="0" collapsed="false">
      <c r="A3" s="209" t="s">
        <v>257</v>
      </c>
    </row>
    <row r="4" s="199" customFormat="true" ht="12.65" hidden="false" customHeight="false" outlineLevel="0" collapsed="false">
      <c r="A4" s="199" t="s">
        <v>298</v>
      </c>
      <c r="E4" s="250" t="n">
        <v>2200</v>
      </c>
    </row>
    <row r="5" s="207" customFormat="true" ht="12.65" hidden="false" customHeight="false" outlineLevel="0" collapsed="false">
      <c r="A5" s="207" t="s">
        <v>299</v>
      </c>
    </row>
    <row r="6" s="199" customFormat="true" ht="12.65" hidden="false" customHeight="false" outlineLevel="0" collapsed="false">
      <c r="A6" s="263" t="s">
        <v>197</v>
      </c>
      <c r="B6" s="263" t="s">
        <v>300</v>
      </c>
      <c r="C6" s="199" t="s">
        <v>301</v>
      </c>
    </row>
    <row r="7" s="199" customFormat="true" ht="12.65" hidden="false" customHeight="false" outlineLevel="0" collapsed="false">
      <c r="A7" s="263" t="n">
        <v>1</v>
      </c>
      <c r="B7" s="264" t="n">
        <v>2427</v>
      </c>
    </row>
    <row r="8" s="199" customFormat="true" ht="12.65" hidden="false" customHeight="false" outlineLevel="0" collapsed="false">
      <c r="A8" s="263" t="n">
        <v>2</v>
      </c>
      <c r="B8" s="264" t="n">
        <v>2376</v>
      </c>
    </row>
    <row r="9" s="199" customFormat="true" ht="12.65" hidden="false" customHeight="false" outlineLevel="0" collapsed="false">
      <c r="A9" s="263" t="n">
        <v>3</v>
      </c>
      <c r="B9" s="264" t="n">
        <v>2258</v>
      </c>
    </row>
    <row r="10" s="199" customFormat="true" ht="12.65" hidden="false" customHeight="false" outlineLevel="0" collapsed="false">
      <c r="A10" s="263" t="n">
        <v>4</v>
      </c>
      <c r="B10" s="264" t="n">
        <v>2039</v>
      </c>
    </row>
    <row r="11" s="199" customFormat="true" ht="12.65" hidden="false" customHeight="false" outlineLevel="0" collapsed="false">
      <c r="A11" s="263" t="n">
        <v>5</v>
      </c>
      <c r="B11" s="264" t="n">
        <v>1813</v>
      </c>
    </row>
    <row r="12" s="199" customFormat="true" ht="12.65" hidden="false" customHeight="false" outlineLevel="0" collapsed="false">
      <c r="A12" s="263" t="s">
        <v>302</v>
      </c>
      <c r="B12" s="265" t="n">
        <v>11935</v>
      </c>
    </row>
    <row r="13" s="199" customFormat="true" ht="12.65" hidden="false" customHeight="false" outlineLevel="0" collapsed="false"/>
    <row r="14" s="266" customFormat="true" ht="15" hidden="false" customHeight="false" outlineLevel="0" collapsed="false">
      <c r="A14" s="266" t="s">
        <v>286</v>
      </c>
    </row>
    <row r="15" s="199" customFormat="true" ht="12.65" hidden="false" customHeight="false" outlineLevel="0" collapsed="false">
      <c r="A15" s="199" t="s">
        <v>303</v>
      </c>
      <c r="C15" s="267" t="n">
        <v>0.0413</v>
      </c>
      <c r="D15" s="199" t="s">
        <v>304</v>
      </c>
    </row>
    <row r="16" s="199" customFormat="true" ht="12.65" hidden="false" customHeight="false" outlineLevel="0" collapsed="false"/>
    <row r="17" s="199" customFormat="true" ht="12.65" hidden="false" customHeight="false" outlineLevel="0" collapsed="false">
      <c r="D17" s="221"/>
    </row>
    <row r="18" s="199" customFormat="true" ht="12.65" hidden="false" customHeight="false" outlineLevel="0" collapsed="false">
      <c r="A18" s="199" t="s">
        <v>305</v>
      </c>
      <c r="D18" s="268" t="n">
        <f aca="false">IF(B12&gt;0,ROUND(B12/AVERAGE(B7:B11),0),0)</f>
      </c>
      <c r="E18" s="199" t="s">
        <v>306</v>
      </c>
    </row>
    <row r="19" s="209" customFormat="true" ht="12.65" hidden="false" customHeight="false" outlineLevel="0" collapsed="false">
      <c r="E19" s="199" t="s">
        <v>307</v>
      </c>
    </row>
    <row r="20" s="207" customFormat="true" ht="12.65" hidden="false" customHeight="false" outlineLevel="0" collapsed="false">
      <c r="A20" s="207" t="s">
        <v>308</v>
      </c>
    </row>
    <row r="21" s="199" customFormat="true" ht="12.65" hidden="false" customHeight="false" outlineLevel="0" collapsed="false">
      <c r="A21" s="263" t="s">
        <v>197</v>
      </c>
      <c r="B21" s="263" t="s">
        <v>300</v>
      </c>
      <c r="C21" s="263" t="s">
        <v>218</v>
      </c>
    </row>
    <row r="22" s="199" customFormat="true" ht="12.65" hidden="false" customHeight="false" outlineLevel="0" collapsed="false">
      <c r="A22" s="219" t="n">
        <f aca="false">A7</f>
      </c>
      <c r="B22" s="200" t="n">
        <f aca="false">B7</f>
      </c>
      <c r="C22" s="201" t="n">
        <f aca="false">B22/(1+$C$15)^A22</f>
      </c>
    </row>
    <row r="23" s="199" customFormat="true" ht="12.65" hidden="false" customHeight="false" outlineLevel="0" collapsed="false">
      <c r="A23" s="219" t="n">
        <f aca="false">A8</f>
      </c>
      <c r="B23" s="200" t="n">
        <f aca="false">B8</f>
      </c>
      <c r="C23" s="201" t="n">
        <f aca="false">B23/(1+$C$15)^A23</f>
      </c>
    </row>
    <row r="24" s="199" customFormat="true" ht="12.65" hidden="false" customHeight="false" outlineLevel="0" collapsed="false">
      <c r="A24" s="219" t="n">
        <f aca="false">A9</f>
      </c>
      <c r="B24" s="200" t="n">
        <f aca="false">B9</f>
      </c>
      <c r="C24" s="201" t="n">
        <f aca="false">B24/(1+$C$15)^A24</f>
      </c>
    </row>
    <row r="25" s="199" customFormat="true" ht="12.65" hidden="false" customHeight="false" outlineLevel="0" collapsed="false">
      <c r="A25" s="219" t="n">
        <f aca="false">A10</f>
      </c>
      <c r="B25" s="200" t="n">
        <f aca="false">B10</f>
      </c>
      <c r="C25" s="201" t="n">
        <f aca="false">B25/(1+$C$15)^A25</f>
      </c>
    </row>
    <row r="26" s="199" customFormat="true" ht="12.65" hidden="false" customHeight="false" outlineLevel="0" collapsed="false">
      <c r="A26" s="219" t="n">
        <f aca="false">A11</f>
      </c>
      <c r="B26" s="200" t="n">
        <f aca="false">B11</f>
      </c>
      <c r="C26" s="201" t="n">
        <f aca="false">B26/(1+$C$15)^A26</f>
      </c>
    </row>
    <row r="27" s="199" customFormat="true" ht="12.65" hidden="false" customHeight="false" outlineLevel="0" collapsed="false">
      <c r="A27" s="269" t="str">
        <f aca="false">A12</f>
      </c>
      <c r="B27" s="270" t="n">
        <f aca="false">IF(B12&gt;0,IF(D18&gt;0,B12/D18,B12),0)</f>
      </c>
      <c r="C27" s="271" t="n">
        <f aca="false">IF(D18&gt;0,(B27*(1-(1+C15)^(-D18))/C15)/(1+$C$15)^5,B27/(1+C15)^6)</f>
      </c>
      <c r="D27" s="199" t="s">
        <v>309</v>
      </c>
    </row>
    <row r="28" s="199" customFormat="true" ht="12.65" hidden="false" customHeight="false" outlineLevel="0" collapsed="false">
      <c r="A28" s="272" t="s">
        <v>310</v>
      </c>
      <c r="B28" s="273"/>
      <c r="C28" s="274" t="n">
        <f aca="false">SUM(C22:C27)</f>
      </c>
    </row>
    <row r="29" s="199" customFormat="true" ht="12.65" hidden="false" customHeight="false" outlineLevel="0" collapsed="false"/>
    <row r="30" s="199" customFormat="true" ht="12.65" hidden="false" customHeight="false" outlineLevel="0" collapsed="false">
      <c r="A30" s="207" t="s">
        <v>311</v>
      </c>
    </row>
    <row r="31" s="199" customFormat="true" ht="12.65" hidden="false" customHeight="false" outlineLevel="0" collapsed="false">
      <c r="A31" s="199" t="s">
        <v>312</v>
      </c>
      <c r="F31" s="271" t="n">
        <f aca="false">C28/(5+D18)</f>
      </c>
      <c r="G31" s="199" t="s">
        <v>313</v>
      </c>
    </row>
    <row r="32" s="199" customFormat="true" ht="12.65" hidden="false" customHeight="false" outlineLevel="0" collapsed="false">
      <c r="A32" s="199" t="s">
        <v>314</v>
      </c>
      <c r="F32" s="275" t="n">
        <f aca="false">E4-F31</f>
      </c>
      <c r="G32" s="199" t="s">
        <v>315</v>
      </c>
    </row>
    <row r="33" s="199" customFormat="true" ht="12.65" hidden="false" customHeight="false" outlineLevel="0" collapsed="false">
      <c r="A33" s="199" t="s">
        <v>316</v>
      </c>
      <c r="F33" s="276" t="n">
        <f aca="false">C28</f>
      </c>
      <c r="G33" s="199" t="s">
        <v>317</v>
      </c>
    </row>
    <row r="34" customFormat="false" ht="12.65" hidden="false" customHeight="false" outlineLevel="0" collapsed="false">
      <c r="A34" s="199" t="s">
        <v>318</v>
      </c>
      <c r="F34" s="277" t="n">
        <f aca="false">C28/(5+D18)</f>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8" customFormat="true" ht="17.35" hidden="false" customHeight="false" outlineLevel="0" collapsed="false">
      <c r="A1" s="278" t="s">
        <v>319</v>
      </c>
      <c r="B1" s="279"/>
      <c r="C1" s="280"/>
      <c r="G1" s="281" t="s">
        <v>320</v>
      </c>
    </row>
    <row r="2" s="206" customFormat="true" ht="15" hidden="false" customHeight="true" outlineLevel="0" collapsed="false">
      <c r="A2" s="206" t="s">
        <v>257</v>
      </c>
      <c r="B2" s="282"/>
      <c r="C2" s="280"/>
      <c r="G2" s="283" t="s">
        <v>321</v>
      </c>
      <c r="H2" s="283" t="s">
        <v>38</v>
      </c>
      <c r="I2" s="283" t="s">
        <v>322</v>
      </c>
      <c r="J2" s="283" t="s">
        <v>323</v>
      </c>
      <c r="K2" s="283" t="s">
        <v>324</v>
      </c>
    </row>
    <row r="3" s="199" customFormat="true" ht="15" hidden="false" customHeight="true" outlineLevel="0" collapsed="false">
      <c r="A3" s="284" t="s">
        <v>325</v>
      </c>
      <c r="B3" s="285"/>
      <c r="G3" s="286" t="s">
        <v>326</v>
      </c>
      <c r="H3" s="286" t="n">
        <v>120486</v>
      </c>
      <c r="I3" s="203" t="n">
        <f aca="false">IF(H3=0,0,VLOOKUP(G3,'Country equity risk premiums'!$A$2:$D$187,4))</f>
      </c>
      <c r="J3" s="203" t="n">
        <f aca="false">IF(H3&gt;0,H3/$H$16,)</f>
      </c>
      <c r="K3" s="203" t="n">
        <f aca="false">IF(J3=0,0,I3*J3)</f>
      </c>
      <c r="M3" s="287" t="s">
        <v>327</v>
      </c>
      <c r="N3" s="287"/>
      <c r="O3" s="287"/>
      <c r="P3" s="287"/>
      <c r="Q3" s="287"/>
    </row>
    <row r="4" s="199" customFormat="true" ht="15" hidden="false" customHeight="true" outlineLevel="0" collapsed="false">
      <c r="A4" s="285" t="s">
        <v>328</v>
      </c>
      <c r="B4" s="202" t="n">
        <f aca="false">'Input sheet'!B18</f>
      </c>
      <c r="G4" s="286" t="s">
        <v>329</v>
      </c>
      <c r="H4" s="286" t="n">
        <v>16951</v>
      </c>
      <c r="I4" s="203" t="n">
        <f aca="false">IF(H4=0,0,VLOOKUP(G4,'Country equity risk premiums'!$A$2:$D$187,4))</f>
      </c>
      <c r="J4" s="203" t="n">
        <f aca="false">IF(H4&gt;0,H4/$H$16,)</f>
      </c>
      <c r="K4" s="203" t="n">
        <f aca="false">IF(J4=0,0,I4*J4)</f>
      </c>
      <c r="M4" s="287"/>
      <c r="N4" s="287"/>
      <c r="O4" s="287"/>
      <c r="P4" s="287"/>
      <c r="Q4" s="287"/>
    </row>
    <row r="5" s="199" customFormat="true" ht="15" hidden="false" customHeight="true" outlineLevel="0" collapsed="false">
      <c r="A5" s="285" t="s">
        <v>330</v>
      </c>
      <c r="B5" s="200" t="n">
        <f aca="false">'Input sheet'!B19</f>
      </c>
      <c r="G5" s="286" t="s">
        <v>331</v>
      </c>
      <c r="H5" s="286" t="n">
        <v>11372</v>
      </c>
      <c r="I5" s="203" t="n">
        <f aca="false">IF(H5=0,0,VLOOKUP(G5,'Country equity risk premiums'!$A$2:$D$187,4))</f>
      </c>
      <c r="J5" s="203" t="n">
        <f aca="false">IF(H5&gt;0,H5/$H$16,)</f>
      </c>
      <c r="K5" s="203" t="n">
        <f aca="false">IF(J5=0,0,I5*J5)</f>
      </c>
      <c r="M5" s="287"/>
      <c r="N5" s="287"/>
      <c r="O5" s="287"/>
      <c r="P5" s="287"/>
      <c r="Q5" s="287"/>
    </row>
    <row r="6" s="199" customFormat="true" ht="15" hidden="false" customHeight="true" outlineLevel="0" collapsed="false">
      <c r="B6" s="288"/>
      <c r="G6" s="286" t="s">
        <v>332</v>
      </c>
      <c r="H6" s="286" t="n">
        <v>11907</v>
      </c>
      <c r="I6" s="203" t="n">
        <f aca="false">IF(H6=0,0,VLOOKUP(G6,'Country equity risk premiums'!$A$2:$D$187,4))</f>
      </c>
      <c r="J6" s="203" t="n">
        <f aca="false">IF(H6&gt;0,H6/$H$16,)</f>
      </c>
      <c r="K6" s="203" t="n">
        <f aca="false">IF(J6=0,0,I6*J6)</f>
      </c>
      <c r="M6" s="287"/>
      <c r="N6" s="287"/>
      <c r="O6" s="287"/>
      <c r="P6" s="287"/>
      <c r="Q6" s="287"/>
    </row>
    <row r="7" s="199" customFormat="true" ht="15" hidden="false" customHeight="true" outlineLevel="0" collapsed="false">
      <c r="A7" s="199" t="s">
        <v>333</v>
      </c>
      <c r="B7" s="286" t="s">
        <v>334</v>
      </c>
      <c r="G7" s="286"/>
      <c r="H7" s="286"/>
      <c r="I7" s="203" t="n">
        <f aca="false">IF(H7=0,0,VLOOKUP(G7,'Country equity risk premiums'!$A$2:$D$187,4))</f>
      </c>
      <c r="J7" s="203" t="n">
        <f aca="false">IF(H7&gt;0,H7/$H$16,)</f>
      </c>
      <c r="K7" s="203" t="n">
        <f aca="false">IF(J7=0,0,I7*J7)</f>
      </c>
      <c r="M7" s="287"/>
      <c r="N7" s="287"/>
      <c r="O7" s="287"/>
      <c r="P7" s="287"/>
      <c r="Q7" s="287"/>
    </row>
    <row r="8" s="199" customFormat="true" ht="15" hidden="false" customHeight="true" outlineLevel="0" collapsed="false">
      <c r="A8" s="199" t="s">
        <v>335</v>
      </c>
      <c r="B8" s="289" t="n">
        <v>1.2</v>
      </c>
      <c r="G8" s="286"/>
      <c r="H8" s="286"/>
      <c r="I8" s="203" t="n">
        <f aca="false">IF(H8=0,0,VLOOKUP(G8,'Country equity risk premiums'!$A$2:$D$187,4))</f>
      </c>
      <c r="J8" s="203" t="n">
        <f aca="false">IF(H8&gt;0,H8/$H$16,)</f>
      </c>
      <c r="K8" s="203" t="n">
        <f aca="false">IF(J8=0,0,I8*J8)</f>
      </c>
      <c r="M8" s="287"/>
      <c r="N8" s="287"/>
      <c r="O8" s="287"/>
      <c r="P8" s="287"/>
      <c r="Q8" s="287"/>
    </row>
    <row r="9" s="199" customFormat="true" ht="15" hidden="false" customHeight="true" outlineLevel="0" collapsed="false">
      <c r="A9" s="199" t="s">
        <v>336</v>
      </c>
      <c r="B9" s="290" t="n">
        <f aca="false">IF(B7="Single Business(US)",VLOOKUP('Input sheet'!B6,'Industry Averages(US)'!A2:G95,7),IF(B7="Multibusiness(US)",K46,IF(B7="Single Business(Global)",VLOOKUP('Input sheet'!B7,'Global industry averages'!A2:G95,7),'Cost of capital worksheet'!K62)))</f>
      </c>
      <c r="G9" s="286"/>
      <c r="H9" s="286"/>
      <c r="I9" s="203" t="n">
        <f aca="false">IF(H9=0,0,VLOOKUP(G9,'Country equity risk premiums'!$A$2:$D$187,4))</f>
      </c>
      <c r="J9" s="203" t="n">
        <f aca="false">IF(H9&gt;0,H9/$H$16,)</f>
      </c>
      <c r="K9" s="203" t="n">
        <f aca="false">IF(J9=0,0,I9*J9)</f>
      </c>
      <c r="M9" s="287"/>
      <c r="N9" s="287"/>
      <c r="O9" s="287"/>
      <c r="P9" s="287"/>
      <c r="Q9" s="287"/>
    </row>
    <row r="10" s="199" customFormat="true" ht="15" hidden="false" customHeight="true" outlineLevel="0" collapsed="false">
      <c r="A10" s="199" t="s">
        <v>337</v>
      </c>
      <c r="B10" s="204" t="n">
        <f aca="false">'Input sheet'!B28</f>
      </c>
      <c r="G10" s="286"/>
      <c r="H10" s="286"/>
      <c r="I10" s="203" t="n">
        <f aca="false">IF(H10=0,0,VLOOKUP(G10,'Country equity risk premiums'!$A$2:$D$187,4))</f>
      </c>
      <c r="J10" s="203" t="n">
        <f aca="false">IF(H10&gt;0,H10/$H$16,)</f>
      </c>
      <c r="K10" s="203" t="n">
        <f aca="false">IF(J10=0,0,I10*J10)</f>
      </c>
      <c r="M10" s="287"/>
      <c r="N10" s="287"/>
      <c r="O10" s="287"/>
      <c r="P10" s="287"/>
      <c r="Q10" s="287"/>
    </row>
    <row r="11" s="199" customFormat="true" ht="15" hidden="false" customHeight="true" outlineLevel="0" collapsed="false">
      <c r="A11" s="199" t="s">
        <v>338</v>
      </c>
      <c r="B11" s="291" t="s">
        <v>339</v>
      </c>
      <c r="G11" s="286"/>
      <c r="H11" s="286"/>
      <c r="I11" s="203" t="n">
        <f aca="false">IF(H11=0,0,VLOOKUP(G11,'Country equity risk premiums'!$A$2:$D$187,4))</f>
      </c>
      <c r="J11" s="203" t="n">
        <f aca="false">IF(H11&gt;0,H11/$H$16,)</f>
      </c>
      <c r="K11" s="203" t="n">
        <f aca="false">IF(J11=0,0,I11*J11)</f>
      </c>
      <c r="M11" s="287"/>
      <c r="N11" s="287"/>
      <c r="O11" s="287"/>
      <c r="P11" s="287"/>
      <c r="Q11" s="287"/>
    </row>
    <row r="12" s="199" customFormat="true" ht="15" hidden="false" customHeight="true" outlineLevel="0" collapsed="false">
      <c r="A12" s="199" t="s">
        <v>340</v>
      </c>
      <c r="B12" s="291" t="n">
        <v>0.05</v>
      </c>
      <c r="G12" s="286"/>
      <c r="H12" s="286"/>
      <c r="I12" s="203" t="n">
        <f aca="false">IF(H12=0,0,VLOOKUP(G12,'Country equity risk premiums'!$A$2:$D$187,4))</f>
      </c>
      <c r="J12" s="203" t="n">
        <f aca="false">IF(H12&gt;0,H12/$H$16,)</f>
      </c>
      <c r="K12" s="203" t="n">
        <f aca="false">IF(J12=0,0,I12*J12)</f>
      </c>
      <c r="M12" s="287"/>
      <c r="N12" s="287"/>
      <c r="O12" s="287"/>
      <c r="P12" s="287"/>
      <c r="Q12" s="287"/>
    </row>
    <row r="13" s="199" customFormat="true" ht="15" hidden="false" customHeight="true" outlineLevel="0" collapsed="false">
      <c r="A13" s="199" t="s">
        <v>341</v>
      </c>
      <c r="B13" s="292" t="n">
        <f aca="false">IF(B11="Will Input",B12,IF(B11="Country of Incorporation",VLOOKUP('Input sheet'!B5,'Country equity risk premiums'!A2:E187,4),IF(B11="Operating regions",'Cost of capital worksheet'!K30,'Cost of capital worksheet'!K16)))</f>
      </c>
      <c r="G13" s="286"/>
      <c r="H13" s="286"/>
      <c r="I13" s="203" t="n">
        <f aca="false">IF(H13=0,0,VLOOKUP(G13,'Country equity risk premiums'!$A$2:$D$187,4))</f>
      </c>
      <c r="J13" s="203" t="n">
        <f aca="false">IF(H13&gt;0,H13/$H$16,)</f>
      </c>
      <c r="K13" s="203" t="n">
        <f aca="false">IF(J13=0,0,I13*J13)</f>
      </c>
      <c r="M13" s="287"/>
      <c r="N13" s="287"/>
      <c r="O13" s="287"/>
      <c r="P13" s="287"/>
      <c r="Q13" s="287"/>
    </row>
    <row r="14" s="199" customFormat="true" ht="15" hidden="false" customHeight="true" outlineLevel="0" collapsed="false">
      <c r="B14" s="288"/>
      <c r="G14" s="293"/>
      <c r="H14" s="286"/>
      <c r="I14" s="293"/>
      <c r="J14" s="203" t="n">
        <f aca="false">IF(H14&gt;0,H14/$H$16,)</f>
      </c>
      <c r="K14" s="203" t="n">
        <f aca="false">IF(J14=0,0,I14*J14)</f>
      </c>
      <c r="M14" s="287"/>
      <c r="N14" s="287"/>
      <c r="O14" s="287"/>
      <c r="P14" s="287"/>
      <c r="Q14" s="287"/>
    </row>
    <row r="15" s="199" customFormat="true" ht="15" hidden="false" customHeight="true" outlineLevel="0" collapsed="false">
      <c r="A15" s="209" t="s">
        <v>342</v>
      </c>
      <c r="B15" s="288"/>
      <c r="G15" s="293" t="s">
        <v>343</v>
      </c>
      <c r="H15" s="286" t="n">
        <v>17150</v>
      </c>
      <c r="I15" s="294" t="n">
        <v>0.0621</v>
      </c>
      <c r="J15" s="203" t="n">
        <f aca="false">IF(H15&gt;0,H15/$H$16,)</f>
      </c>
      <c r="K15" s="203" t="n">
        <f aca="false">IF(J15=0,0,I15*J15)</f>
      </c>
      <c r="M15" s="287"/>
      <c r="N15" s="287"/>
      <c r="O15" s="287"/>
      <c r="P15" s="287"/>
      <c r="Q15" s="287"/>
    </row>
    <row r="16" s="199" customFormat="true" ht="15" hidden="false" customHeight="true" outlineLevel="0" collapsed="false">
      <c r="A16" s="199" t="s">
        <v>344</v>
      </c>
      <c r="B16" s="200" t="n">
        <f aca="false">'Input sheet'!B12</f>
      </c>
      <c r="G16" s="295" t="s">
        <v>345</v>
      </c>
      <c r="H16" s="295" t="n">
        <f aca="false">SUM(H3:H15)</f>
      </c>
      <c r="I16" s="295"/>
      <c r="J16" s="203" t="n">
        <f aca="false">SUM(J3:J15)</f>
      </c>
      <c r="K16" s="203" t="n">
        <f aca="false">SUM(K3:K15)</f>
      </c>
      <c r="M16" s="287"/>
      <c r="N16" s="287"/>
      <c r="O16" s="287"/>
      <c r="P16" s="287"/>
      <c r="Q16" s="287"/>
    </row>
    <row r="17" s="199" customFormat="true" ht="15" hidden="false" customHeight="true" outlineLevel="0" collapsed="false">
      <c r="A17" s="199" t="s">
        <v>346</v>
      </c>
      <c r="B17" s="200" t="n">
        <f aca="false">'Input sheet'!B10</f>
      </c>
      <c r="G17" s="281" t="s">
        <v>347</v>
      </c>
      <c r="M17" s="287"/>
      <c r="N17" s="287"/>
      <c r="O17" s="287"/>
      <c r="P17" s="287"/>
      <c r="Q17" s="287"/>
    </row>
    <row r="18" s="199" customFormat="true" ht="15" hidden="false" customHeight="true" outlineLevel="0" collapsed="false">
      <c r="A18" s="199" t="s">
        <v>348</v>
      </c>
      <c r="B18" s="296" t="n">
        <v>3</v>
      </c>
      <c r="G18" s="219" t="s">
        <v>349</v>
      </c>
      <c r="H18" s="219" t="s">
        <v>38</v>
      </c>
      <c r="I18" s="219" t="s">
        <v>322</v>
      </c>
      <c r="J18" s="219" t="s">
        <v>323</v>
      </c>
      <c r="K18" s="219" t="s">
        <v>324</v>
      </c>
    </row>
    <row r="19" s="199" customFormat="true" ht="15" hidden="false" customHeight="true" outlineLevel="0" collapsed="false">
      <c r="A19" s="199" t="s">
        <v>350</v>
      </c>
      <c r="B19" s="249" t="s">
        <v>351</v>
      </c>
      <c r="G19" s="219" t="str">
        <f aca="false">'Country equity risk premiums'!A191</f>
      </c>
      <c r="H19" s="286" t="n">
        <v>0</v>
      </c>
      <c r="I19" s="218" t="n">
        <f aca="false">'Country equity risk premiums'!B191</f>
      </c>
      <c r="J19" s="203" t="n">
        <f aca="false">H19/$H$30</f>
      </c>
      <c r="K19" s="297" t="n">
        <f aca="false">I19*J19</f>
      </c>
    </row>
    <row r="20" s="199" customFormat="true" ht="15" hidden="false" customHeight="true" outlineLevel="0" collapsed="false">
      <c r="A20" s="199" t="s">
        <v>352</v>
      </c>
      <c r="B20" s="298" t="n">
        <v>0.035</v>
      </c>
      <c r="G20" s="219" t="str">
        <f aca="false">'Country equity risk premiums'!A192</f>
      </c>
      <c r="H20" s="286" t="n">
        <f aca="false">3159+4281</f>
      </c>
      <c r="I20" s="218" t="n">
        <f aca="false">'Country equity risk premiums'!B192</f>
      </c>
      <c r="J20" s="203" t="n">
        <f aca="false">H20/$H$30</f>
      </c>
      <c r="K20" s="297" t="n">
        <f aca="false">I20*J20</f>
      </c>
    </row>
    <row r="21" s="199" customFormat="true" ht="15" hidden="false" customHeight="true" outlineLevel="0" collapsed="false">
      <c r="A21" s="199" t="s">
        <v>353</v>
      </c>
      <c r="B21" s="249" t="s">
        <v>354</v>
      </c>
      <c r="G21" s="219" t="str">
        <f aca="false">'Country equity risk premiums'!A193</f>
      </c>
      <c r="H21" s="286"/>
      <c r="I21" s="218" t="n">
        <f aca="false">'Country equity risk premiums'!B193</f>
      </c>
      <c r="J21" s="203" t="n">
        <f aca="false">H21/$H$30</f>
      </c>
      <c r="K21" s="297" t="n">
        <f aca="false">I21*J21</f>
      </c>
    </row>
    <row r="22" s="199" customFormat="true" ht="15" hidden="false" customHeight="true" outlineLevel="0" collapsed="false">
      <c r="A22" s="199" t="s">
        <v>355</v>
      </c>
      <c r="B22" s="249" t="n">
        <v>1</v>
      </c>
      <c r="G22" s="219" t="str">
        <f aca="false">'Country equity risk premiums'!A194</f>
      </c>
      <c r="H22" s="286" t="n">
        <v>0</v>
      </c>
      <c r="I22" s="218" t="n">
        <f aca="false">'Country equity risk premiums'!B194</f>
      </c>
      <c r="J22" s="203" t="n">
        <f aca="false">H22/$H$30</f>
      </c>
      <c r="K22" s="297" t="n">
        <f aca="false">I22*J22</f>
      </c>
    </row>
    <row r="23" s="199" customFormat="true" ht="15" hidden="false" customHeight="true" outlineLevel="0" collapsed="false">
      <c r="A23" s="199" t="s">
        <v>303</v>
      </c>
      <c r="B23" s="292" t="n">
        <f aca="false">IF(B19="Direct Input",B20,IF(B19="Synthetic Rating",'Synthetic rating'!D13,B10+VLOOKUP('Cost of capital worksheet'!B21,'Synthetic rating'!G39:H53,2)))</f>
      </c>
      <c r="G23" s="219" t="str">
        <f aca="false">'Country equity risk premiums'!A195</f>
      </c>
      <c r="H23" s="286" t="n">
        <v>0</v>
      </c>
      <c r="I23" s="218" t="n">
        <f aca="false">'Country equity risk premiums'!B195</f>
      </c>
      <c r="J23" s="203" t="n">
        <f aca="false">H23/$H$30</f>
      </c>
      <c r="K23" s="297" t="n">
        <f aca="false">I23*J23</f>
      </c>
    </row>
    <row r="24" s="199" customFormat="true" ht="15" hidden="false" customHeight="true" outlineLevel="0" collapsed="false">
      <c r="A24" s="199" t="s">
        <v>356</v>
      </c>
      <c r="B24" s="299" t="n">
        <f aca="false">'Input sheet'!B21</f>
      </c>
      <c r="G24" s="219" t="str">
        <f aca="false">'Country equity risk premiums'!A196</f>
      </c>
      <c r="H24" s="286"/>
      <c r="I24" s="218" t="n">
        <f aca="false">'Country equity risk premiums'!B196</f>
      </c>
      <c r="J24" s="203" t="n">
        <f aca="false">H24/$H$30</f>
      </c>
      <c r="K24" s="297" t="n">
        <f aca="false">I24*J24</f>
      </c>
    </row>
    <row r="25" s="199" customFormat="true" ht="15" hidden="false" customHeight="true" outlineLevel="0" collapsed="false">
      <c r="B25" s="288"/>
      <c r="G25" s="219" t="str">
        <f aca="false">'Country equity risk premiums'!A197</f>
      </c>
      <c r="H25" s="286" t="n">
        <v>0</v>
      </c>
      <c r="I25" s="218" t="n">
        <f aca="false">'Country equity risk premiums'!B197</f>
      </c>
      <c r="J25" s="203" t="n">
        <f aca="false">H25/$H$30</f>
      </c>
      <c r="K25" s="297" t="n">
        <f aca="false">I25*J25</f>
      </c>
    </row>
    <row r="26" s="199" customFormat="true" ht="15" hidden="false" customHeight="true" outlineLevel="0" collapsed="false">
      <c r="A26" s="199" t="s">
        <v>357</v>
      </c>
      <c r="B26" s="296" t="n">
        <v>0</v>
      </c>
      <c r="G26" s="219" t="str">
        <f aca="false">'Country equity risk premiums'!A198</f>
      </c>
      <c r="H26" s="286" t="n">
        <v>93864</v>
      </c>
      <c r="I26" s="218" t="n">
        <f aca="false">'Country equity risk premiums'!B198</f>
      </c>
      <c r="J26" s="203" t="n">
        <f aca="false">H26/$H$30</f>
      </c>
      <c r="K26" s="297" t="n">
        <f aca="false">I26*J26</f>
      </c>
    </row>
    <row r="27" s="199" customFormat="true" ht="15" hidden="false" customHeight="true" outlineLevel="0" collapsed="false">
      <c r="A27" s="199" t="s">
        <v>358</v>
      </c>
      <c r="B27" s="296" t="n">
        <v>0</v>
      </c>
      <c r="G27" s="219" t="str">
        <f aca="false">'Country equity risk premiums'!A199</f>
      </c>
      <c r="H27" s="286"/>
      <c r="I27" s="218" t="n">
        <f aca="false">'Country equity risk premiums'!B199</f>
      </c>
      <c r="J27" s="203" t="n">
        <f aca="false">H27/$H$30</f>
      </c>
      <c r="K27" s="297" t="n">
        <f aca="false">I27*J27</f>
      </c>
    </row>
    <row r="28" s="199" customFormat="true" ht="15" hidden="false" customHeight="true" outlineLevel="0" collapsed="false">
      <c r="A28" s="199" t="s">
        <v>359</v>
      </c>
      <c r="B28" s="296" t="n">
        <v>0</v>
      </c>
      <c r="G28" s="286"/>
      <c r="H28" s="286"/>
      <c r="I28" s="300"/>
      <c r="J28" s="203" t="n">
        <f aca="false">H28/$H$30</f>
      </c>
      <c r="K28" s="297" t="n">
        <f aca="false">I28*J28</f>
      </c>
    </row>
    <row r="29" s="199" customFormat="true" ht="15" hidden="false" customHeight="true" outlineLevel="0" collapsed="false">
      <c r="A29" s="199" t="s">
        <v>360</v>
      </c>
      <c r="B29" s="296" t="n">
        <v>0</v>
      </c>
      <c r="G29" s="286"/>
      <c r="H29" s="286"/>
      <c r="I29" s="300"/>
      <c r="J29" s="203" t="n">
        <f aca="false">H29/$H$30</f>
      </c>
      <c r="K29" s="297" t="n">
        <f aca="false">I29*J29</f>
      </c>
    </row>
    <row r="30" s="199" customFormat="true" ht="15" hidden="false" customHeight="true" outlineLevel="0" collapsed="false">
      <c r="B30" s="288"/>
      <c r="G30" s="295" t="s">
        <v>345</v>
      </c>
      <c r="H30" s="295" t="n">
        <f aca="false">SUM(H19:H29)</f>
      </c>
      <c r="I30" s="204"/>
      <c r="J30" s="203" t="n">
        <f aca="false">SUM(J19:J29)</f>
      </c>
      <c r="K30" s="301" t="n">
        <f aca="false">SUM(K19:K29)</f>
      </c>
    </row>
    <row r="31" s="199" customFormat="true" ht="15" hidden="false" customHeight="true" outlineLevel="0" collapsed="false">
      <c r="A31" s="199" t="s">
        <v>361</v>
      </c>
      <c r="B31" s="200" t="n">
        <f aca="false">IF('Input sheet'!B14="Yes",'Operating lease converter'!F33,0)</f>
      </c>
    </row>
    <row r="32" s="199" customFormat="true" ht="15" hidden="false" customHeight="true" outlineLevel="0" collapsed="false">
      <c r="B32" s="302"/>
      <c r="G32" s="278" t="s">
        <v>362</v>
      </c>
    </row>
    <row r="33" s="199" customFormat="true" ht="15" hidden="false" customHeight="true" outlineLevel="0" collapsed="false">
      <c r="A33" s="209" t="s">
        <v>363</v>
      </c>
      <c r="B33" s="288"/>
      <c r="G33" s="219" t="s">
        <v>364</v>
      </c>
      <c r="H33" s="219" t="s">
        <v>38</v>
      </c>
      <c r="I33" s="219" t="s">
        <v>365</v>
      </c>
      <c r="J33" s="219" t="s">
        <v>366</v>
      </c>
      <c r="K33" s="219" t="s">
        <v>367</v>
      </c>
    </row>
    <row r="34" s="199" customFormat="true" ht="15" hidden="false" customHeight="true" outlineLevel="0" collapsed="false">
      <c r="A34" s="199" t="s">
        <v>368</v>
      </c>
      <c r="B34" s="296" t="n">
        <v>0</v>
      </c>
      <c r="G34" s="286" t="s">
        <v>369</v>
      </c>
      <c r="H34" s="303" t="n">
        <v>70</v>
      </c>
      <c r="I34" s="304" t="n">
        <f aca="false">IF(G34=0,,VLOOKUP(G34,'Industry Averages(US)'!$A$2:$S$95,15))</f>
      </c>
      <c r="J34" s="305" t="n">
        <f aca="false">H34*I34</f>
      </c>
      <c r="K34" s="304" t="n">
        <f aca="false">IF(I34=0,0,VLOOKUP(G34,'Industry Averages(US)'!$A$2:$S$95,7))</f>
      </c>
    </row>
    <row r="35" s="199" customFormat="true" ht="15" hidden="false" customHeight="true" outlineLevel="0" collapsed="false">
      <c r="A35" s="199" t="s">
        <v>370</v>
      </c>
      <c r="B35" s="296" t="n">
        <v>70</v>
      </c>
      <c r="G35" s="286" t="s">
        <v>371</v>
      </c>
      <c r="H35" s="303" t="n">
        <v>30</v>
      </c>
      <c r="I35" s="304" t="n">
        <f aca="false">IF(G35=0,,VLOOKUP(G35,'Industry Averages(US)'!$A$2:$S$95,15))</f>
      </c>
      <c r="J35" s="305" t="n">
        <f aca="false">H35*I35</f>
      </c>
      <c r="K35" s="304" t="n">
        <f aca="false">IF(I35=0,0,VLOOKUP(G35,'Industry Averages(US)'!$A$2:$S$95,7))</f>
      </c>
    </row>
    <row r="36" s="199" customFormat="true" ht="15" hidden="false" customHeight="true" outlineLevel="0" collapsed="false">
      <c r="A36" s="199" t="s">
        <v>372</v>
      </c>
      <c r="B36" s="296" t="n">
        <v>5</v>
      </c>
      <c r="G36" s="286"/>
      <c r="H36" s="303"/>
      <c r="I36" s="304" t="n">
        <f aca="false">IF(G36=0,,VLOOKUP(G36,'Industry Averages(US)'!$A$2:$S$95,15))</f>
      </c>
      <c r="J36" s="305" t="n">
        <f aca="false">H36*I36</f>
      </c>
      <c r="K36" s="304" t="n">
        <f aca="false">IF(I36=0,0,VLOOKUP(G36,'Industry Averages(US)'!$A$2:$S$95,7))</f>
      </c>
    </row>
    <row r="37" s="199" customFormat="true" ht="15" hidden="false" customHeight="true" outlineLevel="0" collapsed="false">
      <c r="G37" s="286"/>
      <c r="H37" s="303"/>
      <c r="I37" s="304" t="n">
        <f aca="false">IF(G37=0,,VLOOKUP(G37,'Industry Averages(US)'!$A$2:$S$95,15))</f>
      </c>
      <c r="J37" s="305" t="n">
        <f aca="false">H37*I37</f>
      </c>
      <c r="K37" s="304" t="n">
        <f aca="false">IF(I37=0,0,VLOOKUP(G37,'Industry Averages(US)'!$A$2:$S$95,7))</f>
      </c>
    </row>
    <row r="38" s="306" customFormat="true" ht="15" hidden="false" customHeight="true" outlineLevel="0" collapsed="false">
      <c r="A38" s="206" t="s">
        <v>286</v>
      </c>
      <c r="B38" s="199"/>
      <c r="C38" s="199"/>
      <c r="D38" s="199"/>
      <c r="E38" s="199"/>
      <c r="F38" s="199"/>
      <c r="G38" s="286"/>
      <c r="H38" s="303"/>
      <c r="I38" s="304" t="n">
        <f aca="false">IF(G38=0,,VLOOKUP(G38,'Industry Averages(US)'!$A$2:$S$95,15))</f>
      </c>
      <c r="J38" s="305" t="n">
        <f aca="false">H38*I38</f>
      </c>
      <c r="K38" s="304" t="n">
        <f aca="false">IF(I38=0,0,VLOOKUP(G38,'Industry Averages(US)'!$A$2:$S$95,7))</f>
      </c>
    </row>
    <row r="39" s="199" customFormat="true" ht="15" hidden="false" customHeight="true" outlineLevel="0" collapsed="false">
      <c r="A39" s="219" t="s">
        <v>373</v>
      </c>
      <c r="B39" s="219"/>
      <c r="C39" s="201" t="n">
        <f aca="false">B17*(1-(1+B23)^(-B18))/B23+B16/(1+B23)^B18</f>
      </c>
      <c r="G39" s="286"/>
      <c r="H39" s="303"/>
      <c r="I39" s="304" t="n">
        <f aca="false">IF(G39=0,,VLOOKUP(G39,'Industry Averages(US)'!$A$2:$S$95,15))</f>
      </c>
      <c r="J39" s="305" t="n">
        <f aca="false">H39*I39</f>
      </c>
      <c r="K39" s="304" t="n">
        <f aca="false">IF(I39=0,0,VLOOKUP(G39,'Industry Averages(US)'!$A$2:$S$95,7))</f>
      </c>
    </row>
    <row r="40" s="199" customFormat="true" ht="15" hidden="false" customHeight="true" outlineLevel="0" collapsed="false">
      <c r="A40" s="219" t="s">
        <v>374</v>
      </c>
      <c r="B40" s="219"/>
      <c r="C40" s="201" t="n">
        <f aca="false">B27*(1-(1+B23)^(-B28))/B23+B26/(1+B23)^B28</f>
      </c>
      <c r="G40" s="286"/>
      <c r="H40" s="303"/>
      <c r="I40" s="304" t="n">
        <f aca="false">IF(G40=0,,VLOOKUP(G40,'Industry Averages(US)'!$A$2:$S$95,15))</f>
      </c>
      <c r="J40" s="305" t="n">
        <f aca="false">H40*I40</f>
      </c>
      <c r="K40" s="304" t="n">
        <f aca="false">IF(I40=0,0,VLOOKUP(G40,'Industry Averages(US)'!$A$2:$S$95,7))</f>
      </c>
    </row>
    <row r="41" s="199" customFormat="true" ht="15" hidden="false" customHeight="true" outlineLevel="0" collapsed="false">
      <c r="A41" s="219" t="s">
        <v>375</v>
      </c>
      <c r="B41" s="219"/>
      <c r="C41" s="201" t="n">
        <f aca="false">B31</f>
      </c>
      <c r="G41" s="286"/>
      <c r="H41" s="303"/>
      <c r="I41" s="304" t="n">
        <f aca="false">IF(G41=0,,VLOOKUP(G41,'Industry Averages(US)'!$A$2:$S$95,15))</f>
      </c>
      <c r="J41" s="305" t="n">
        <f aca="false">H41*I41</f>
      </c>
      <c r="K41" s="304" t="n">
        <f aca="false">IF(I41=0,0,VLOOKUP(G41,'Industry Averages(US)'!$A$2:$S$95,7))</f>
      </c>
    </row>
    <row r="42" customFormat="false" ht="12.65" hidden="false" customHeight="false" outlineLevel="0" collapsed="false">
      <c r="A42" s="219" t="s">
        <v>376</v>
      </c>
      <c r="B42" s="219"/>
      <c r="C42" s="201" t="n">
        <f aca="false">B29-C40</f>
      </c>
      <c r="D42" s="199"/>
      <c r="E42" s="199"/>
      <c r="F42" s="199"/>
      <c r="G42" s="286"/>
      <c r="H42" s="303"/>
      <c r="I42" s="304" t="n">
        <f aca="false">IF(G42=0,,VLOOKUP(G42,'Industry Averages(US)'!$A$2:$S$95,15))</f>
      </c>
      <c r="J42" s="305" t="n">
        <f aca="false">H42*I42</f>
      </c>
      <c r="K42" s="304" t="n">
        <f aca="false">IF(I42=0,0,VLOOKUP(G42,'Industry Averages(US)'!$A$2:$S$95,7))</f>
      </c>
    </row>
    <row r="43" customFormat="false" ht="12.65" hidden="false" customHeight="false" outlineLevel="0" collapsed="false">
      <c r="A43" s="219" t="s">
        <v>377</v>
      </c>
      <c r="B43" s="219"/>
      <c r="C43" s="307" t="n">
        <f aca="false">IF(B7="Direct Input",B8,B9*(1+(1-B24)*(C46/B46)))</f>
      </c>
      <c r="D43" s="199"/>
      <c r="E43" s="199"/>
      <c r="F43" s="199"/>
      <c r="G43" s="286"/>
      <c r="H43" s="303"/>
      <c r="I43" s="304" t="n">
        <f aca="false">IF(G43=0,,VLOOKUP(G43,'Industry Averages(US)'!$A$2:$S$95,15))</f>
      </c>
      <c r="J43" s="305" t="n">
        <f aca="false">H43*I43</f>
      </c>
      <c r="K43" s="304" t="n">
        <f aca="false">IF(I43=0,0,VLOOKUP(G43,'Industry Averages(US)'!$A$2:$S$95,7))</f>
      </c>
    </row>
    <row r="44" customFormat="false" ht="12.65" hidden="false" customHeight="false" outlineLevel="0" collapsed="false">
      <c r="A44" s="199"/>
      <c r="B44" s="199"/>
      <c r="C44" s="307"/>
      <c r="D44" s="199"/>
      <c r="E44" s="199"/>
      <c r="F44" s="199"/>
      <c r="G44" s="286"/>
      <c r="H44" s="303"/>
      <c r="I44" s="304" t="n">
        <f aca="false">IF(G44=0,,VLOOKUP(G44,'Industry Averages(US)'!$A$2:$S$95,15))</f>
      </c>
      <c r="J44" s="305" t="n">
        <f aca="false">H44*I44</f>
      </c>
      <c r="K44" s="304" t="n">
        <f aca="false">IF(I44=0,0,VLOOKUP(G44,'Industry Averages(US)'!$A$2:$S$95,7))</f>
      </c>
    </row>
    <row r="45" customFormat="false" ht="12.65" hidden="false" customHeight="false" outlineLevel="0" collapsed="false">
      <c r="A45" s="306"/>
      <c r="B45" s="308" t="s">
        <v>325</v>
      </c>
      <c r="C45" s="308" t="s">
        <v>378</v>
      </c>
      <c r="D45" s="308" t="s">
        <v>363</v>
      </c>
      <c r="E45" s="308" t="s">
        <v>379</v>
      </c>
      <c r="F45" s="306"/>
      <c r="G45" s="286"/>
      <c r="H45" s="303"/>
      <c r="I45" s="304" t="n">
        <f aca="false">IF(G45=0,,VLOOKUP(G45,'Industry Averages(US)'!$A$2:$S$95,15))</f>
      </c>
      <c r="J45" s="305" t="n">
        <f aca="false">H45*I45</f>
      </c>
      <c r="K45" s="304" t="n">
        <f aca="false">IF(I45=0,0,VLOOKUP(G45,'Industry Averages(US)'!$A$2:$S$95,7))</f>
      </c>
    </row>
    <row r="46" customFormat="false" ht="12.65" hidden="false" customHeight="false" outlineLevel="0" collapsed="false">
      <c r="A46" s="219" t="s">
        <v>380</v>
      </c>
      <c r="B46" s="201" t="n">
        <f aca="false">B4*B5</f>
      </c>
      <c r="C46" s="201" t="n">
        <f aca="false">C39+C40+C41</f>
      </c>
      <c r="D46" s="201" t="n">
        <f aca="false">B34*B35</f>
      </c>
      <c r="E46" s="200" t="n">
        <f aca="false">SUM(B46:D46)</f>
      </c>
      <c r="F46" s="199"/>
      <c r="G46" s="309" t="s">
        <v>57</v>
      </c>
      <c r="H46" s="310" t="n">
        <f aca="false">SUM(H34:H45)</f>
      </c>
      <c r="I46" s="311"/>
      <c r="J46" s="305" t="n">
        <f aca="false">SUM(J34:J45)</f>
      </c>
      <c r="K46" s="311" t="n">
        <f aca="false">K34*(J34/J46)+K35*J35/J46+K36*J36/J46+K37*J37/J46+K38*J38/J46+K39*J39/J46+K40*J40/J46+K41*J41/J46+K42*J42/J46+K43*J43/J46+K44*J44/J46+K45*J45/J46</f>
      </c>
    </row>
    <row r="47" customFormat="false" ht="12.65" hidden="false" customHeight="false" outlineLevel="0" collapsed="false">
      <c r="A47" s="219" t="s">
        <v>381</v>
      </c>
      <c r="B47" s="203" t="n">
        <f aca="false">B46/$E$46</f>
      </c>
      <c r="C47" s="203" t="n">
        <f aca="false">C46/$E$46</f>
      </c>
      <c r="D47" s="203" t="n">
        <f aca="false">D46/$E$46</f>
      </c>
      <c r="E47" s="312" t="n">
        <f aca="false">SUM(B47:D47)</f>
      </c>
      <c r="F47" s="199"/>
    </row>
    <row r="48" customFormat="false" ht="17.35" hidden="false" customHeight="false" outlineLevel="0" collapsed="false">
      <c r="A48" s="219" t="s">
        <v>382</v>
      </c>
      <c r="B48" s="204" t="n">
        <f aca="false">B10+C43*B13</f>
      </c>
      <c r="C48" s="203" t="n">
        <f aca="false">B23*(1-B24)</f>
      </c>
      <c r="D48" s="313" t="n">
        <f aca="false">B36/B35</f>
      </c>
      <c r="E48" s="314" t="n">
        <f aca="false">B47*B48+C47*C48+D47*D48</f>
      </c>
      <c r="F48" s="199"/>
      <c r="G48" s="315" t="s">
        <v>383</v>
      </c>
    </row>
    <row r="49" customFormat="false" ht="12.65" hidden="false" customHeight="false" outlineLevel="0" collapsed="false">
      <c r="G49" s="219" t="s">
        <v>364</v>
      </c>
      <c r="H49" s="219" t="s">
        <v>38</v>
      </c>
      <c r="I49" s="219" t="s">
        <v>365</v>
      </c>
      <c r="J49" s="219" t="s">
        <v>366</v>
      </c>
      <c r="K49" s="219" t="s">
        <v>367</v>
      </c>
    </row>
    <row r="50" customFormat="false" ht="12.65" hidden="false" customHeight="false" outlineLevel="0" collapsed="false">
      <c r="G50" s="286" t="s">
        <v>34</v>
      </c>
      <c r="H50" s="303" t="n">
        <f aca="false">108354+5798+31881</f>
      </c>
      <c r="I50" s="304" t="n">
        <f aca="false">IF(G50=0,,VLOOKUP(G50,'Global industry averages'!$A$2:$O$95,15))</f>
      </c>
      <c r="J50" s="305" t="n">
        <f aca="false">H50*I50</f>
      </c>
      <c r="K50" s="304" t="n">
        <f aca="false">IF(G50=0,,VLOOKUP(G50,'Global industry averages'!$A$2:$O$95,7))</f>
      </c>
    </row>
    <row r="51" customFormat="false" ht="12.65" hidden="false" customHeight="false" outlineLevel="0" collapsed="false">
      <c r="G51" s="286" t="s">
        <v>384</v>
      </c>
      <c r="H51" s="303" t="n">
        <f aca="false">9721</f>
      </c>
      <c r="I51" s="304" t="n">
        <f aca="false">IF(G51=0,,VLOOKUP(G51,'Global industry averages'!$A$2:$O$95,15))</f>
      </c>
      <c r="J51" s="305" t="n">
        <f aca="false">H51*I51</f>
      </c>
      <c r="K51" s="304" t="n">
        <f aca="false">IF(G51=0,,VLOOKUP(G51,'Global industry averages'!$A$2:$O$95,7))</f>
      </c>
    </row>
    <row r="52" customFormat="false" ht="12.65" hidden="false" customHeight="false" outlineLevel="0" collapsed="false">
      <c r="G52" s="286" t="s">
        <v>371</v>
      </c>
      <c r="H52" s="303" t="n">
        <v>17459</v>
      </c>
      <c r="I52" s="304" t="n">
        <f aca="false">IF(G52=0,,VLOOKUP(G52,'Global industry averages'!$A$2:$O$95,15))</f>
      </c>
      <c r="J52" s="305" t="n">
        <f aca="false">H52*I52</f>
      </c>
      <c r="K52" s="304" t="n">
        <f aca="false">IF(G52=0,,VLOOKUP(G52,'Global industry averages'!$A$2:$O$95,7))</f>
      </c>
    </row>
    <row r="53" customFormat="false" ht="12.65" hidden="false" customHeight="false" outlineLevel="0" collapsed="false">
      <c r="G53" s="286"/>
      <c r="H53" s="303"/>
      <c r="I53" s="304" t="n">
        <f aca="false">IF(G53=0,,VLOOKUP(G53,'Global industry averages'!$A$2:$O$95,15))</f>
      </c>
      <c r="J53" s="305" t="n">
        <f aca="false">H53*I53</f>
      </c>
      <c r="K53" s="304" t="n">
        <f aca="false">IF(G53=0,,VLOOKUP(G53,'Global industry averages'!$A$2:$O$95,7))</f>
      </c>
    </row>
    <row r="54" customFormat="false" ht="12.65" hidden="false" customHeight="false" outlineLevel="0" collapsed="false">
      <c r="G54" s="286"/>
      <c r="H54" s="303"/>
      <c r="I54" s="304" t="n">
        <f aca="false">IF(G54=0,,VLOOKUP(G54,'Global industry averages'!$A$2:$O$95,15))</f>
      </c>
      <c r="J54" s="305" t="n">
        <f aca="false">H54*I54</f>
      </c>
      <c r="K54" s="304" t="n">
        <f aca="false">IF(G54=0,,VLOOKUP(G54,'Global industry averages'!$A$2:$O$95,7))</f>
      </c>
    </row>
    <row r="55" customFormat="false" ht="12.65" hidden="false" customHeight="false" outlineLevel="0" collapsed="false">
      <c r="G55" s="286"/>
      <c r="H55" s="303"/>
      <c r="I55" s="304" t="n">
        <f aca="false">IF(G55=0,,VLOOKUP(G55,'Global industry averages'!$A$2:$O$95,15))</f>
      </c>
      <c r="J55" s="305" t="n">
        <f aca="false">H55*I55</f>
      </c>
      <c r="K55" s="304" t="n">
        <f aca="false">IF(G55=0,,VLOOKUP(G55,'Global industry averages'!$A$2:$O$95,7))</f>
      </c>
    </row>
    <row r="56" customFormat="false" ht="12.65" hidden="false" customHeight="false" outlineLevel="0" collapsed="false">
      <c r="G56" s="286"/>
      <c r="H56" s="303"/>
      <c r="I56" s="304" t="n">
        <f aca="false">IF(G56=0,,VLOOKUP(G56,'Global industry averages'!$A$2:$O$95,15))</f>
      </c>
      <c r="J56" s="305" t="n">
        <f aca="false">H56*I56</f>
      </c>
      <c r="K56" s="304" t="n">
        <f aca="false">IF(G56=0,,VLOOKUP(G56,'Global industry averages'!$A$2:$O$95,7))</f>
      </c>
    </row>
    <row r="57" customFormat="false" ht="12.65" hidden="false" customHeight="false" outlineLevel="0" collapsed="false">
      <c r="G57" s="286"/>
      <c r="H57" s="303"/>
      <c r="I57" s="304" t="n">
        <f aca="false">IF(G57=0,,VLOOKUP(G57,'Global industry averages'!$A$2:$O$95,15))</f>
      </c>
      <c r="J57" s="305" t="n">
        <f aca="false">H57*I57</f>
      </c>
      <c r="K57" s="304" t="n">
        <f aca="false">IF(G57=0,,VLOOKUP(G57,'Global industry averages'!$A$2:$O$95,7))</f>
      </c>
    </row>
    <row r="58" customFormat="false" ht="12.65" hidden="false" customHeight="false" outlineLevel="0" collapsed="false">
      <c r="G58" s="286"/>
      <c r="H58" s="303"/>
      <c r="I58" s="304" t="n">
        <f aca="false">IF(G58=0,,VLOOKUP(G58,'Global industry averages'!$A$2:$O$95,15))</f>
      </c>
      <c r="J58" s="305" t="n">
        <f aca="false">H58*I58</f>
      </c>
      <c r="K58" s="304" t="n">
        <f aca="false">IF(G58=0,,VLOOKUP(G58,'Global industry averages'!$A$2:$O$95,7))</f>
      </c>
    </row>
    <row r="59" customFormat="false" ht="12.65" hidden="false" customHeight="false" outlineLevel="0" collapsed="false">
      <c r="G59" s="286"/>
      <c r="H59" s="303"/>
      <c r="I59" s="304" t="n">
        <f aca="false">IF(G59=0,,VLOOKUP(G59,'Global industry averages'!$A$2:$O$95,15))</f>
      </c>
      <c r="J59" s="305" t="n">
        <f aca="false">H59*I59</f>
      </c>
      <c r="K59" s="304" t="n">
        <f aca="false">IF(G59=0,,VLOOKUP(G59,'Global industry averages'!$A$2:$O$95,7))</f>
      </c>
    </row>
    <row r="60" customFormat="false" ht="12.65" hidden="false" customHeight="false" outlineLevel="0" collapsed="false">
      <c r="G60" s="286"/>
      <c r="H60" s="303"/>
      <c r="I60" s="304" t="n">
        <f aca="false">IF(G60=0,,VLOOKUP(G60,'Global industry averages'!$A$2:$O$95,15))</f>
      </c>
      <c r="J60" s="305" t="n">
        <f aca="false">H60*I60</f>
      </c>
      <c r="K60" s="304" t="n">
        <f aca="false">IF(G60=0,,VLOOKUP(G60,'Global industry averages'!$A$2:$O$95,7))</f>
      </c>
    </row>
    <row r="61" customFormat="false" ht="12.65" hidden="false" customHeight="false" outlineLevel="0" collapsed="false">
      <c r="G61" s="286"/>
      <c r="H61" s="303"/>
      <c r="I61" s="304" t="n">
        <f aca="false">IF(G61=0,,VLOOKUP(G61,'Global industry averages'!$A$2:$O$95,15))</f>
      </c>
      <c r="J61" s="305" t="n">
        <f aca="false">H61*I61</f>
      </c>
      <c r="K61" s="304" t="n">
        <f aca="false">IF(G61=0,,VLOOKUP(G61,'Global industry averages'!$A$2:$O$95,7))</f>
      </c>
    </row>
    <row r="62" customFormat="false" ht="12.65" hidden="false" customHeight="false" outlineLevel="0" collapsed="false">
      <c r="G62" s="309" t="s">
        <v>57</v>
      </c>
      <c r="H62" s="310" t="n">
        <f aca="false">SUM(H50:H61)</f>
      </c>
      <c r="I62" s="311"/>
      <c r="J62" s="305" t="n">
        <f aca="false">SUM(J50:J61)</f>
      </c>
      <c r="K62" s="311" t="n">
        <f aca="false">K50*(J50/J62)+K51*J51/J62+K52*J52/J62+K53*J53/J62+K54*J54/J62+K55*J55/J62+K56*J56/J62+K57*J57/J62+K58*J58/J62+K59*J59/J62+K60*J60/J62+K61*J61/J62</f>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97" t="s">
        <v>385</v>
      </c>
    </row>
    <row r="2" customFormat="false" ht="17.35" hidden="false" customHeight="false" outlineLevel="0" collapsed="false">
      <c r="A2" s="197" t="s">
        <v>386</v>
      </c>
    </row>
    <row r="3" s="316" customFormat="true" ht="15" hidden="false" customHeight="false" outlineLevel="0" collapsed="false">
      <c r="A3" s="281" t="s">
        <v>387</v>
      </c>
    </row>
    <row r="4" s="318" customFormat="true" ht="12.65" hidden="false" customHeight="false" outlineLevel="0" collapsed="false">
      <c r="A4" s="199" t="s">
        <v>388</v>
      </c>
      <c r="B4" s="199"/>
      <c r="C4" s="317" t="n">
        <f aca="false">'Cost of capital worksheet'!B22</f>
      </c>
      <c r="D4" s="199"/>
      <c r="E4" s="199"/>
      <c r="F4" s="199"/>
      <c r="G4" s="199"/>
      <c r="H4" s="199"/>
      <c r="I4" s="199"/>
      <c r="J4" s="199"/>
    </row>
    <row r="5" s="318" customFormat="true" ht="12.65" hidden="false" customHeight="false" outlineLevel="0" collapsed="false">
      <c r="A5" s="199" t="s">
        <v>389</v>
      </c>
      <c r="B5" s="199"/>
      <c r="C5" s="199"/>
      <c r="D5" s="199"/>
      <c r="E5" s="285"/>
      <c r="F5" s="200" t="n">
        <f aca="false">IF('Input sheet'!B14="Yes",'Input sheet'!B9+'Operating lease converter'!F32,'Input sheet'!B9)</f>
      </c>
      <c r="G5" s="199" t="s">
        <v>390</v>
      </c>
      <c r="H5" s="199"/>
      <c r="I5" s="199"/>
      <c r="J5" s="199"/>
    </row>
    <row r="6" s="318" customFormat="true" ht="12.65" hidden="false" customHeight="false" outlineLevel="0" collapsed="false">
      <c r="A6" s="199" t="s">
        <v>391</v>
      </c>
      <c r="B6" s="199"/>
      <c r="C6" s="199"/>
      <c r="D6" s="199"/>
      <c r="E6" s="199"/>
      <c r="F6" s="319" t="n">
        <f aca="false">IF('Input sheet'!B14="Yes",'Cost of capital worksheet'!B17+'Operating lease converter'!C28*'Operating lease converter'!C15,'Cost of capital worksheet'!B17)</f>
      </c>
      <c r="G6" s="199" t="s">
        <v>392</v>
      </c>
      <c r="H6" s="199"/>
      <c r="I6" s="199"/>
      <c r="J6" s="199"/>
    </row>
    <row r="7" s="318" customFormat="true" ht="12.65" hidden="false" customHeight="false" outlineLevel="0" collapsed="false">
      <c r="A7" s="199" t="s">
        <v>393</v>
      </c>
      <c r="B7" s="199"/>
      <c r="C7" s="199"/>
      <c r="D7" s="199"/>
      <c r="E7" s="199"/>
      <c r="F7" s="320" t="n">
        <f aca="false">'Input sheet'!B28</f>
      </c>
      <c r="G7" s="199"/>
      <c r="H7" s="199"/>
      <c r="I7" s="199"/>
      <c r="J7" s="199"/>
    </row>
    <row r="8" s="318" customFormat="true" ht="12.65" hidden="false" customHeight="false" outlineLevel="0" collapsed="false">
      <c r="A8" s="209" t="s">
        <v>286</v>
      </c>
      <c r="B8" s="199"/>
      <c r="C8" s="199"/>
      <c r="D8" s="199"/>
      <c r="E8" s="199"/>
      <c r="F8" s="285"/>
      <c r="G8" s="199"/>
      <c r="H8" s="199"/>
      <c r="I8" s="199"/>
      <c r="J8" s="199"/>
    </row>
    <row r="9" s="318" customFormat="true" ht="12.65" hidden="false" customHeight="false" outlineLevel="0" collapsed="false">
      <c r="A9" s="199" t="s">
        <v>394</v>
      </c>
      <c r="B9" s="199"/>
      <c r="C9" s="199"/>
      <c r="D9" s="321" t="n">
        <f aca="false">IF(F6=0,1000000,IF(F5&lt;0,-100000,F5/F6))</f>
      </c>
      <c r="E9" s="199"/>
      <c r="F9" s="285"/>
      <c r="G9" s="199"/>
      <c r="H9" s="199"/>
      <c r="I9" s="199"/>
      <c r="J9" s="199"/>
    </row>
    <row r="10" s="318" customFormat="true" ht="12.65" hidden="false" customHeight="false" outlineLevel="0" collapsed="false">
      <c r="A10" s="199" t="s">
        <v>395</v>
      </c>
      <c r="D10" s="322" t="str">
        <f aca="false">IF(C4=1,VLOOKUP(D9,A19:D33,3),(IF(C4=2,VLOOKUP(D9,A38:D52,3),VLOOKUP(D9,F19:I33,3))))</f>
      </c>
      <c r="F10" s="208" t="s">
        <v>396</v>
      </c>
    </row>
    <row r="11" s="318" customFormat="true" ht="12.65" hidden="false" customHeight="false" outlineLevel="0" collapsed="false">
      <c r="A11" s="199" t="s">
        <v>397</v>
      </c>
      <c r="D11" s="323" t="n">
        <f aca="false">IF(C4=1,VLOOKUP(D9,A19:D33,4),(IF(C4=2,VLOOKUP(D9,A38:D52,4),VLOOKUP(D9,F19:I33,4))))</f>
      </c>
      <c r="F11" s="208" t="s">
        <v>398</v>
      </c>
    </row>
    <row r="12" s="318" customFormat="true" ht="12.65" hidden="false" customHeight="false" outlineLevel="0" collapsed="false">
      <c r="A12" s="199" t="s">
        <v>399</v>
      </c>
      <c r="D12" s="323" t="n">
        <f aca="false">VLOOKUP('Input sheet'!B5,'Country equity risk premiums'!A2:C187,3)</f>
      </c>
      <c r="F12" s="208"/>
    </row>
    <row r="13" s="199" customFormat="true" ht="12.65" hidden="false" customHeight="false" outlineLevel="0" collapsed="false">
      <c r="A13" s="199" t="s">
        <v>400</v>
      </c>
      <c r="D13" s="324" t="n">
        <f aca="false">F7+D11+D12</f>
      </c>
    </row>
    <row r="14" s="199" customFormat="true" ht="12.65" hidden="false" customHeight="false" outlineLevel="0" collapsed="false">
      <c r="D14" s="325"/>
    </row>
    <row r="15" s="207" customFormat="true" ht="12.65" hidden="false" customHeight="false" outlineLevel="0" collapsed="false">
      <c r="A15" s="207" t="s">
        <v>401</v>
      </c>
      <c r="D15" s="326"/>
    </row>
    <row r="16" s="318" customFormat="true" ht="12.65" hidden="false" customHeight="false" outlineLevel="0" collapsed="false">
      <c r="A16" s="209" t="s">
        <v>402</v>
      </c>
    </row>
    <row r="17" s="318" customFormat="true" ht="12.65" hidden="false" customHeight="false" outlineLevel="0" collapsed="false">
      <c r="A17" s="308" t="s">
        <v>403</v>
      </c>
      <c r="B17" s="308"/>
      <c r="C17" s="327"/>
      <c r="D17" s="327"/>
      <c r="J17" s="199"/>
    </row>
    <row r="18" s="318" customFormat="true" ht="12.65" hidden="false" customHeight="false" outlineLevel="0" collapsed="false">
      <c r="A18" s="308" t="s">
        <v>404</v>
      </c>
      <c r="B18" s="308" t="s">
        <v>405</v>
      </c>
      <c r="C18" s="308" t="s">
        <v>406</v>
      </c>
      <c r="D18" s="308" t="s">
        <v>407</v>
      </c>
    </row>
    <row r="19" s="318" customFormat="true" ht="12.65" hidden="false" customHeight="false" outlineLevel="0" collapsed="false">
      <c r="A19" s="263" t="n">
        <v>-100000</v>
      </c>
      <c r="B19" s="263" t="n">
        <v>0.199999</v>
      </c>
      <c r="C19" s="328" t="s">
        <v>408</v>
      </c>
      <c r="D19" s="329" t="n">
        <v>0.186</v>
      </c>
    </row>
    <row r="20" s="318" customFormat="true" ht="12.65" hidden="false" customHeight="false" outlineLevel="0" collapsed="false">
      <c r="A20" s="263" t="n">
        <v>0.2</v>
      </c>
      <c r="B20" s="263" t="n">
        <v>0.649999</v>
      </c>
      <c r="C20" s="328" t="s">
        <v>409</v>
      </c>
      <c r="D20" s="329" t="n">
        <v>0.1395</v>
      </c>
    </row>
    <row r="21" s="318" customFormat="true" ht="12.65" hidden="false" customHeight="false" outlineLevel="0" collapsed="false">
      <c r="A21" s="263" t="n">
        <v>0.65</v>
      </c>
      <c r="B21" s="263" t="n">
        <v>0.799999</v>
      </c>
      <c r="C21" s="328" t="s">
        <v>410</v>
      </c>
      <c r="D21" s="329" t="n">
        <v>0.1063</v>
      </c>
    </row>
    <row r="22" s="318" customFormat="true" ht="12.65" hidden="false" customHeight="false" outlineLevel="0" collapsed="false">
      <c r="A22" s="263" t="n">
        <v>0.8</v>
      </c>
      <c r="B22" s="263" t="n">
        <v>1.249999</v>
      </c>
      <c r="C22" s="328" t="s">
        <v>411</v>
      </c>
      <c r="D22" s="329" t="n">
        <v>0.0864</v>
      </c>
    </row>
    <row r="23" s="318" customFormat="true" ht="12.65" hidden="false" customHeight="false" outlineLevel="0" collapsed="false">
      <c r="A23" s="263" t="n">
        <v>1.25</v>
      </c>
      <c r="B23" s="263" t="n">
        <v>1.499999</v>
      </c>
      <c r="C23" s="328" t="s">
        <v>412</v>
      </c>
      <c r="D23" s="329" t="n">
        <v>0.0437</v>
      </c>
    </row>
    <row r="24" s="318" customFormat="true" ht="12.65" hidden="false" customHeight="false" outlineLevel="0" collapsed="false">
      <c r="A24" s="263" t="n">
        <v>1.5</v>
      </c>
      <c r="B24" s="263" t="n">
        <v>1.749999</v>
      </c>
      <c r="C24" s="328" t="s">
        <v>413</v>
      </c>
      <c r="D24" s="329" t="n">
        <v>0.0357</v>
      </c>
    </row>
    <row r="25" s="318" customFormat="true" ht="12.65" hidden="false" customHeight="false" outlineLevel="0" collapsed="false">
      <c r="A25" s="263" t="n">
        <v>1.75</v>
      </c>
      <c r="B25" s="263" t="n">
        <v>1.999999</v>
      </c>
      <c r="C25" s="328" t="s">
        <v>414</v>
      </c>
      <c r="D25" s="329" t="n">
        <v>0.0298</v>
      </c>
    </row>
    <row r="26" s="318" customFormat="true" ht="12.65" hidden="false" customHeight="false" outlineLevel="0" collapsed="false">
      <c r="A26" s="263" t="n">
        <v>2</v>
      </c>
      <c r="B26" s="263" t="n">
        <v>2.2499999</v>
      </c>
      <c r="C26" s="328" t="s">
        <v>415</v>
      </c>
      <c r="D26" s="329" t="n">
        <v>0.0238</v>
      </c>
    </row>
    <row r="27" s="318" customFormat="true" ht="12.65" hidden="false" customHeight="false" outlineLevel="0" collapsed="false">
      <c r="A27" s="263" t="n">
        <v>2.25</v>
      </c>
      <c r="B27" s="263" t="n">
        <v>2.49999</v>
      </c>
      <c r="C27" s="328" t="s">
        <v>416</v>
      </c>
      <c r="D27" s="329" t="n">
        <v>0.0198</v>
      </c>
    </row>
    <row r="28" s="318" customFormat="true" ht="12.65" hidden="false" customHeight="false" outlineLevel="0" collapsed="false">
      <c r="A28" s="263" t="n">
        <v>2.5</v>
      </c>
      <c r="B28" s="263" t="n">
        <v>2.999999</v>
      </c>
      <c r="C28" s="328" t="s">
        <v>417</v>
      </c>
      <c r="D28" s="329" t="n">
        <v>0.0127</v>
      </c>
    </row>
    <row r="29" s="318" customFormat="true" ht="12.65" hidden="false" customHeight="false" outlineLevel="0" collapsed="false">
      <c r="A29" s="263" t="n">
        <v>3</v>
      </c>
      <c r="B29" s="263" t="n">
        <v>4.249999</v>
      </c>
      <c r="C29" s="328" t="s">
        <v>418</v>
      </c>
      <c r="D29" s="329" t="n">
        <v>0.0113</v>
      </c>
    </row>
    <row r="30" s="318" customFormat="true" ht="12.65" hidden="false" customHeight="false" outlineLevel="0" collapsed="false">
      <c r="A30" s="263" t="n">
        <v>4.25</v>
      </c>
      <c r="B30" s="263" t="n">
        <v>5.499999</v>
      </c>
      <c r="C30" s="328" t="s">
        <v>419</v>
      </c>
      <c r="D30" s="329" t="n">
        <v>0.0099</v>
      </c>
    </row>
    <row r="31" s="318" customFormat="true" ht="12.65" hidden="false" customHeight="false" outlineLevel="0" collapsed="false">
      <c r="A31" s="263" t="n">
        <v>5.5</v>
      </c>
      <c r="B31" s="263" t="n">
        <v>6.499999</v>
      </c>
      <c r="C31" s="328" t="s">
        <v>420</v>
      </c>
      <c r="D31" s="329" t="n">
        <v>0.009</v>
      </c>
    </row>
    <row r="32" s="318" customFormat="true" ht="12.65" hidden="false" customHeight="false" outlineLevel="0" collapsed="false">
      <c r="A32" s="263" t="n">
        <v>6.5</v>
      </c>
      <c r="B32" s="263" t="n">
        <v>8.499999</v>
      </c>
      <c r="C32" s="328" t="s">
        <v>354</v>
      </c>
      <c r="D32" s="329" t="n">
        <v>0.0072</v>
      </c>
    </row>
    <row r="33" s="318" customFormat="true" ht="12.65" hidden="false" customHeight="false" outlineLevel="0" collapsed="false">
      <c r="A33" s="330" t="n">
        <v>8.5</v>
      </c>
      <c r="B33" s="263" t="n">
        <v>100000</v>
      </c>
      <c r="C33" s="328" t="s">
        <v>421</v>
      </c>
      <c r="D33" s="331" t="n">
        <v>0.0054</v>
      </c>
    </row>
    <row r="34" s="318" customFormat="true" ht="12.65" hidden="false" customHeight="false" outlineLevel="0" collapsed="false"/>
    <row r="35" s="318" customFormat="true" ht="12.65" hidden="false" customHeight="false" outlineLevel="0" collapsed="false">
      <c r="A35" s="209" t="s">
        <v>422</v>
      </c>
    </row>
    <row r="36" s="318" customFormat="true" ht="12.65" hidden="false" customHeight="false" outlineLevel="0" collapsed="false">
      <c r="A36" s="308" t="s">
        <v>403</v>
      </c>
      <c r="B36" s="308"/>
      <c r="C36" s="263"/>
      <c r="D36" s="263"/>
    </row>
    <row r="37" s="318" customFormat="true" ht="12.65" hidden="false" customHeight="false" outlineLevel="0" collapsed="false">
      <c r="A37" s="263" t="s">
        <v>423</v>
      </c>
      <c r="B37" s="263" t="s">
        <v>405</v>
      </c>
      <c r="C37" s="263" t="s">
        <v>406</v>
      </c>
      <c r="D37" s="263" t="s">
        <v>407</v>
      </c>
    </row>
    <row r="38" s="318" customFormat="true" ht="12.65" hidden="false" customHeight="false" outlineLevel="0" collapsed="false">
      <c r="A38" s="263" t="n">
        <v>-100000</v>
      </c>
      <c r="B38" s="263" t="n">
        <v>0.499999</v>
      </c>
      <c r="C38" s="328" t="s">
        <v>408</v>
      </c>
      <c r="D38" s="329" t="n">
        <v>0.186</v>
      </c>
      <c r="G38" s="318" t="s">
        <v>406</v>
      </c>
      <c r="H38" s="318" t="s">
        <v>407</v>
      </c>
    </row>
    <row r="39" s="318" customFormat="true" ht="12.65" hidden="false" customHeight="false" outlineLevel="0" collapsed="false">
      <c r="A39" s="263" t="n">
        <v>0.5</v>
      </c>
      <c r="B39" s="263" t="n">
        <v>0.799999</v>
      </c>
      <c r="C39" s="328" t="s">
        <v>409</v>
      </c>
      <c r="D39" s="329" t="n">
        <v>0.1395</v>
      </c>
      <c r="G39" s="318" t="s">
        <v>420</v>
      </c>
      <c r="H39" s="194" t="n">
        <v>0.01</v>
      </c>
    </row>
    <row r="40" s="318" customFormat="true" ht="12.65" hidden="false" customHeight="false" outlineLevel="0" collapsed="false">
      <c r="A40" s="263" t="n">
        <v>0.8</v>
      </c>
      <c r="B40" s="263" t="n">
        <v>1.249999</v>
      </c>
      <c r="C40" s="328" t="s">
        <v>410</v>
      </c>
      <c r="D40" s="329" t="n">
        <v>0.1063</v>
      </c>
      <c r="G40" s="318" t="s">
        <v>419</v>
      </c>
      <c r="H40" s="194" t="n">
        <v>0.011</v>
      </c>
    </row>
    <row r="41" s="318" customFormat="true" ht="12.65" hidden="false" customHeight="false" outlineLevel="0" collapsed="false">
      <c r="A41" s="263" t="n">
        <v>1.25</v>
      </c>
      <c r="B41" s="263" t="n">
        <v>1.499999</v>
      </c>
      <c r="C41" s="328" t="s">
        <v>411</v>
      </c>
      <c r="D41" s="329" t="n">
        <v>0.0864</v>
      </c>
      <c r="G41" s="318" t="s">
        <v>418</v>
      </c>
      <c r="H41" s="194" t="n">
        <v>0.0125</v>
      </c>
    </row>
    <row r="42" s="318" customFormat="true" ht="12.65" hidden="false" customHeight="false" outlineLevel="0" collapsed="false">
      <c r="A42" s="263" t="n">
        <v>1.5</v>
      </c>
      <c r="B42" s="263" t="n">
        <v>1.999999</v>
      </c>
      <c r="C42" s="328" t="s">
        <v>412</v>
      </c>
      <c r="D42" s="329" t="n">
        <v>0.0437</v>
      </c>
      <c r="G42" s="318" t="s">
        <v>354</v>
      </c>
      <c r="H42" s="194" t="n">
        <v>0.008</v>
      </c>
    </row>
    <row r="43" s="318" customFormat="true" ht="12.65" hidden="false" customHeight="false" outlineLevel="0" collapsed="false">
      <c r="A43" s="263" t="n">
        <v>2</v>
      </c>
      <c r="B43" s="263" t="n">
        <v>2.499999</v>
      </c>
      <c r="C43" s="328" t="s">
        <v>413</v>
      </c>
      <c r="D43" s="329" t="n">
        <v>0.0357</v>
      </c>
      <c r="G43" s="318" t="s">
        <v>421</v>
      </c>
      <c r="H43" s="194" t="n">
        <v>0.006</v>
      </c>
    </row>
    <row r="44" s="318" customFormat="true" ht="12.65" hidden="false" customHeight="false" outlineLevel="0" collapsed="false">
      <c r="A44" s="263" t="n">
        <v>2.5</v>
      </c>
      <c r="B44" s="263" t="n">
        <v>2.999999</v>
      </c>
      <c r="C44" s="328" t="s">
        <v>414</v>
      </c>
      <c r="D44" s="329" t="n">
        <v>0.0298</v>
      </c>
      <c r="G44" s="318" t="s">
        <v>414</v>
      </c>
      <c r="H44" s="194" t="n">
        <v>0.0375</v>
      </c>
    </row>
    <row r="45" s="318" customFormat="true" ht="12.65" hidden="false" customHeight="false" outlineLevel="0" collapsed="false">
      <c r="A45" s="263" t="n">
        <v>3</v>
      </c>
      <c r="B45" s="263" t="n">
        <v>3.499999</v>
      </c>
      <c r="C45" s="328" t="s">
        <v>415</v>
      </c>
      <c r="D45" s="329" t="n">
        <v>0.0238</v>
      </c>
      <c r="G45" s="318" t="s">
        <v>413</v>
      </c>
      <c r="H45" s="194" t="n">
        <v>0.045</v>
      </c>
    </row>
    <row r="46" s="318" customFormat="true" ht="12.65" hidden="false" customHeight="false" outlineLevel="0" collapsed="false">
      <c r="A46" s="263" t="n">
        <v>3.5</v>
      </c>
      <c r="B46" s="263" t="n">
        <v>3.9999999</v>
      </c>
      <c r="C46" s="328" t="s">
        <v>416</v>
      </c>
      <c r="D46" s="329" t="n">
        <v>0.0198</v>
      </c>
      <c r="G46" s="318" t="s">
        <v>412</v>
      </c>
      <c r="H46" s="194" t="n">
        <v>0.055</v>
      </c>
    </row>
    <row r="47" s="318" customFormat="true" ht="12.65" hidden="false" customHeight="false" outlineLevel="0" collapsed="false">
      <c r="A47" s="263" t="n">
        <v>4</v>
      </c>
      <c r="B47" s="263" t="n">
        <v>4.499999</v>
      </c>
      <c r="C47" s="328" t="s">
        <v>417</v>
      </c>
      <c r="D47" s="329" t="n">
        <v>0.0127</v>
      </c>
      <c r="G47" s="318" t="s">
        <v>416</v>
      </c>
      <c r="H47" s="194" t="n">
        <v>0.025</v>
      </c>
    </row>
    <row r="48" s="318" customFormat="true" ht="12.65" hidden="false" customHeight="false" outlineLevel="0" collapsed="false">
      <c r="A48" s="263" t="n">
        <v>4.5</v>
      </c>
      <c r="B48" s="263" t="n">
        <v>5.999999</v>
      </c>
      <c r="C48" s="328" t="s">
        <v>418</v>
      </c>
      <c r="D48" s="329" t="n">
        <v>0.0113</v>
      </c>
      <c r="G48" s="318" t="s">
        <v>415</v>
      </c>
      <c r="H48" s="194" t="n">
        <v>0.03</v>
      </c>
    </row>
    <row r="49" s="318" customFormat="true" ht="12.65" hidden="false" customHeight="false" outlineLevel="0" collapsed="false">
      <c r="A49" s="263" t="n">
        <v>6</v>
      </c>
      <c r="B49" s="263" t="n">
        <v>7.499999</v>
      </c>
      <c r="C49" s="328" t="s">
        <v>419</v>
      </c>
      <c r="D49" s="329" t="n">
        <v>0.0099</v>
      </c>
      <c r="G49" s="318" t="s">
        <v>417</v>
      </c>
      <c r="H49" s="194" t="n">
        <v>0.016</v>
      </c>
    </row>
    <row r="50" s="318" customFormat="true" ht="12.65" hidden="false" customHeight="false" outlineLevel="0" collapsed="false">
      <c r="A50" s="263" t="n">
        <v>7.5</v>
      </c>
      <c r="B50" s="263" t="n">
        <v>9.499999</v>
      </c>
      <c r="C50" s="328" t="s">
        <v>420</v>
      </c>
      <c r="D50" s="329" t="n">
        <v>0.009</v>
      </c>
      <c r="G50" s="318" t="s">
        <v>411</v>
      </c>
      <c r="H50" s="194" t="n">
        <v>0.105</v>
      </c>
    </row>
    <row r="51" customFormat="false" ht="12.65" hidden="false" customHeight="false" outlineLevel="0" collapsed="false">
      <c r="A51" s="263" t="n">
        <v>9.5</v>
      </c>
      <c r="B51" s="263" t="n">
        <v>12.499999</v>
      </c>
      <c r="C51" s="328" t="s">
        <v>354</v>
      </c>
      <c r="D51" s="329" t="n">
        <v>0.0072</v>
      </c>
      <c r="F51" s="318"/>
      <c r="G51" s="0" t="s">
        <v>410</v>
      </c>
      <c r="H51" s="194" t="n">
        <v>0.08</v>
      </c>
      <c r="I51" s="318"/>
      <c r="J51" s="318"/>
    </row>
    <row r="52" customFormat="false" ht="12.65" hidden="false" customHeight="false" outlineLevel="0" collapsed="false">
      <c r="A52" s="263" t="n">
        <v>12.5</v>
      </c>
      <c r="B52" s="263" t="n">
        <v>100000</v>
      </c>
      <c r="C52" s="328" t="s">
        <v>421</v>
      </c>
      <c r="D52" s="331" t="n">
        <v>0.0054</v>
      </c>
      <c r="G52" s="0" t="s">
        <v>409</v>
      </c>
      <c r="H52" s="194" t="n">
        <v>0.065</v>
      </c>
    </row>
    <row r="53" customFormat="false" ht="12" hidden="false" customHeight="false" outlineLevel="0" collapsed="false">
      <c r="G53" s="0" t="s">
        <v>408</v>
      </c>
      <c r="H53" s="194"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35" customFormat="true" ht="57.45" hidden="false" customHeight="false" outlineLevel="0" collapsed="false">
      <c r="A1" s="332" t="s">
        <v>424</v>
      </c>
      <c r="B1" s="332" t="s">
        <v>425</v>
      </c>
      <c r="C1" s="333" t="s">
        <v>426</v>
      </c>
      <c r="D1" s="332" t="s">
        <v>427</v>
      </c>
      <c r="E1" s="333" t="s">
        <v>428</v>
      </c>
      <c r="F1" s="332" t="s">
        <v>429</v>
      </c>
      <c r="G1" s="332" t="s">
        <v>367</v>
      </c>
      <c r="H1" s="332" t="s">
        <v>430</v>
      </c>
      <c r="I1" s="332" t="s">
        <v>431</v>
      </c>
      <c r="J1" s="332" t="s">
        <v>432</v>
      </c>
      <c r="K1" s="332" t="s">
        <v>433</v>
      </c>
      <c r="L1" s="332" t="s">
        <v>434</v>
      </c>
      <c r="M1" s="332" t="s">
        <v>133</v>
      </c>
      <c r="N1" s="334" t="s">
        <v>435</v>
      </c>
      <c r="O1" s="332" t="s">
        <v>365</v>
      </c>
      <c r="P1" s="332" t="s">
        <v>436</v>
      </c>
      <c r="Q1" s="332" t="s">
        <v>437</v>
      </c>
      <c r="R1" s="332" t="s">
        <v>438</v>
      </c>
      <c r="S1" s="332" t="s">
        <v>439</v>
      </c>
      <c r="T1" s="332" t="s">
        <v>440</v>
      </c>
      <c r="U1" s="332" t="s">
        <v>441</v>
      </c>
      <c r="V1" s="332" t="s">
        <v>442</v>
      </c>
      <c r="W1" s="332" t="s">
        <v>443</v>
      </c>
      <c r="X1" s="332" t="s">
        <v>444</v>
      </c>
      <c r="Y1" s="332" t="s">
        <v>445</v>
      </c>
      <c r="Z1" s="332" t="s">
        <v>446</v>
      </c>
    </row>
    <row r="2" customFormat="false" ht="12" hidden="false" customHeight="false" outlineLevel="0" collapsed="false">
      <c r="A2" s="0" t="s">
        <v>369</v>
      </c>
      <c r="B2" s="0" t="n">
        <v>40</v>
      </c>
      <c r="C2" s="194" t="n">
        <v>0.117663529411765</v>
      </c>
      <c r="D2" s="194" t="n">
        <v>0.124085149845805</v>
      </c>
      <c r="E2" s="194" t="n">
        <v>0.775650511828712</v>
      </c>
      <c r="F2" s="194" t="n">
        <v>0.303925141757711</v>
      </c>
      <c r="G2" s="336" t="n">
        <v>0.784278970594292</v>
      </c>
      <c r="H2" s="336" t="n">
        <v>1.15355612903226</v>
      </c>
      <c r="I2" s="194" t="n">
        <v>0.0827006513548387</v>
      </c>
      <c r="J2" s="194" t="n">
        <v>0.809509322294542</v>
      </c>
      <c r="K2" s="194" t="n">
        <v>0.0691</v>
      </c>
      <c r="L2" s="194" t="n">
        <v>0.424861448360975</v>
      </c>
      <c r="M2" s="194" t="n">
        <v>0.0698763566619509</v>
      </c>
      <c r="N2" s="336" t="n">
        <v>6.67650685331492</v>
      </c>
      <c r="O2" s="336" t="n">
        <v>1.66386966000154</v>
      </c>
      <c r="P2" s="336" t="n">
        <v>8.35053726522173</v>
      </c>
      <c r="Q2" s="336" t="n">
        <v>13.1494760847973</v>
      </c>
      <c r="R2" s="336" t="n">
        <v>9.15876234705258</v>
      </c>
      <c r="S2" s="336" t="n">
        <v>57.1806609847742</v>
      </c>
      <c r="T2" s="194" t="n">
        <v>-0.0165388555270234</v>
      </c>
      <c r="U2" s="194" t="n">
        <v>0.0232290149391314</v>
      </c>
      <c r="V2" s="194" t="n">
        <v>-0.00263327335897213</v>
      </c>
      <c r="W2" s="194" t="n">
        <v>0.215190564226199</v>
      </c>
      <c r="X2" s="194" t="n">
        <v>-0.00879864520410583</v>
      </c>
      <c r="Y2" s="194" t="n">
        <v>0.528459043305413</v>
      </c>
      <c r="Z2" s="194" t="n">
        <v>0.528459043305413</v>
      </c>
    </row>
    <row r="3" customFormat="false" ht="12" hidden="false" customHeight="false" outlineLevel="0" collapsed="false">
      <c r="A3" s="0" t="s">
        <v>447</v>
      </c>
      <c r="B3" s="0" t="n">
        <v>87</v>
      </c>
      <c r="C3" s="194" t="n">
        <v>0.0335370833333333</v>
      </c>
      <c r="D3" s="194" t="n">
        <v>0.116261175433875</v>
      </c>
      <c r="E3" s="194" t="n">
        <v>0.370511242767012</v>
      </c>
      <c r="F3" s="194" t="n">
        <v>0.291503824406473</v>
      </c>
      <c r="G3" s="336" t="n">
        <v>0.992332321291021</v>
      </c>
      <c r="H3" s="336" t="n">
        <v>1.082606</v>
      </c>
      <c r="I3" s="194" t="n">
        <v>0.0790963848</v>
      </c>
      <c r="J3" s="194" t="n">
        <v>0.49061635030186</v>
      </c>
      <c r="K3" s="194" t="n">
        <v>0.0391</v>
      </c>
      <c r="L3" s="194" t="n">
        <v>0.155835947615934</v>
      </c>
      <c r="M3" s="194" t="n">
        <v>0.0714011457410526</v>
      </c>
      <c r="N3" s="336" t="n">
        <v>3.61235224343518</v>
      </c>
      <c r="O3" s="336" t="n">
        <v>2.0885531903606</v>
      </c>
      <c r="P3" s="336" t="n">
        <v>13.9622570022055</v>
      </c>
      <c r="Q3" s="336" t="n">
        <v>17.674829487186</v>
      </c>
      <c r="R3" s="336" t="n">
        <v>6.4263145992413</v>
      </c>
      <c r="S3" s="336" t="n">
        <v>29.3419710141308</v>
      </c>
      <c r="T3" s="194" t="n">
        <v>0.277104035884822</v>
      </c>
      <c r="U3" s="194" t="n">
        <v>0.0271249333913655</v>
      </c>
      <c r="V3" s="194" t="n">
        <v>0.0208272275772844</v>
      </c>
      <c r="W3" s="194" t="n">
        <v>0.4016893032005</v>
      </c>
      <c r="X3" s="194" t="n">
        <v>0.290285851098088</v>
      </c>
      <c r="Y3" s="194" t="n">
        <v>0.395168229918749</v>
      </c>
      <c r="Z3" s="194" t="n">
        <v>0.395168229918749</v>
      </c>
    </row>
    <row r="4" customFormat="false" ht="12" hidden="false" customHeight="false" outlineLevel="0" collapsed="false">
      <c r="A4" s="0" t="s">
        <v>448</v>
      </c>
      <c r="B4" s="0" t="n">
        <v>17</v>
      </c>
      <c r="C4" s="194" t="n">
        <v>0.0619875</v>
      </c>
      <c r="D4" s="194" t="n">
        <v>0.128403311780767</v>
      </c>
      <c r="E4" s="194" t="n">
        <v>0.135010650699187</v>
      </c>
      <c r="F4" s="194" t="n">
        <v>0.371499445620187</v>
      </c>
      <c r="G4" s="336" t="n">
        <v>0.673280422358861</v>
      </c>
      <c r="H4" s="336" t="n">
        <v>1.0088835</v>
      </c>
      <c r="I4" s="194" t="n">
        <v>0.0753512818</v>
      </c>
      <c r="J4" s="194" t="n">
        <v>0.402007933277494</v>
      </c>
      <c r="K4" s="194" t="n">
        <v>0.0391</v>
      </c>
      <c r="L4" s="194" t="n">
        <v>0.415201463041438</v>
      </c>
      <c r="M4" s="194" t="n">
        <v>0.0564034460303317</v>
      </c>
      <c r="N4" s="336" t="n">
        <v>1.3939105220538</v>
      </c>
      <c r="O4" s="336" t="n">
        <v>1.55802080825771</v>
      </c>
      <c r="P4" s="336" t="n">
        <v>6.56463859719263</v>
      </c>
      <c r="Q4" s="336" t="n">
        <v>12.1356706519713</v>
      </c>
      <c r="R4" s="336" t="n">
        <v>3.06184132347277</v>
      </c>
      <c r="S4" s="336" t="n">
        <v>14.1011980107729</v>
      </c>
      <c r="T4" s="194" t="n">
        <v>0.0118686047848019</v>
      </c>
      <c r="U4" s="194" t="n">
        <v>0.125579753617424</v>
      </c>
      <c r="V4" s="194" t="n">
        <v>0.0856683396644899</v>
      </c>
      <c r="W4" s="194" t="n">
        <v>1.01672438017452</v>
      </c>
      <c r="X4" s="194" t="n">
        <v>0.247816821033071</v>
      </c>
      <c r="Y4" s="194" t="n">
        <v>0.152747428787291</v>
      </c>
      <c r="Z4" s="194" t="n">
        <v>0.152747428787291</v>
      </c>
    </row>
    <row r="5" customFormat="false" ht="12" hidden="false" customHeight="false" outlineLevel="0" collapsed="false">
      <c r="A5" s="0" t="s">
        <v>449</v>
      </c>
      <c r="B5" s="0" t="n">
        <v>51</v>
      </c>
      <c r="C5" s="194" t="n">
        <v>0.206657333333333</v>
      </c>
      <c r="D5" s="194" t="n">
        <v>0.109755831913041</v>
      </c>
      <c r="E5" s="194" t="n">
        <v>0.141809816413093</v>
      </c>
      <c r="F5" s="194" t="n">
        <v>0.185845885346517</v>
      </c>
      <c r="G5" s="336" t="n">
        <v>0.85095727036123</v>
      </c>
      <c r="H5" s="336" t="n">
        <v>1.01677368888889</v>
      </c>
      <c r="I5" s="194" t="n">
        <v>0.0757521033955556</v>
      </c>
      <c r="J5" s="194" t="n">
        <v>0.597108243854648</v>
      </c>
      <c r="K5" s="194" t="n">
        <v>0.0391</v>
      </c>
      <c r="L5" s="194" t="n">
        <v>0.254759456525287</v>
      </c>
      <c r="M5" s="194" t="n">
        <v>0.0640239707139619</v>
      </c>
      <c r="N5" s="336" t="n">
        <v>1.44074345005193</v>
      </c>
      <c r="O5" s="336" t="n">
        <v>1.98828220778762</v>
      </c>
      <c r="P5" s="336" t="n">
        <v>10.9733127163731</v>
      </c>
      <c r="Q5" s="336" t="n">
        <v>17.9035333545199</v>
      </c>
      <c r="R5" s="336" t="n">
        <v>3.58141180974874</v>
      </c>
      <c r="S5" s="336" t="n">
        <v>34.8759958570481</v>
      </c>
      <c r="T5" s="194" t="n">
        <v>0.257563697646046</v>
      </c>
      <c r="U5" s="194" t="n">
        <v>0.0270438975235998</v>
      </c>
      <c r="V5" s="194" t="n">
        <v>0.0593985719771928</v>
      </c>
      <c r="W5" s="194" t="n">
        <v>0.617933610271872</v>
      </c>
      <c r="X5" s="194" t="n">
        <v>0.0762341613644456</v>
      </c>
      <c r="Y5" s="194" t="n">
        <v>0.775324990658472</v>
      </c>
      <c r="Z5" s="194" t="n">
        <v>0.775324990658472</v>
      </c>
    </row>
    <row r="6" customFormat="false" ht="12" hidden="false" customHeight="false" outlineLevel="0" collapsed="false">
      <c r="A6" s="0" t="s">
        <v>450</v>
      </c>
      <c r="B6" s="0" t="n">
        <v>18</v>
      </c>
      <c r="C6" s="194" t="n">
        <v>0.226054285714286</v>
      </c>
      <c r="D6" s="194" t="n">
        <v>0.0420803820540009</v>
      </c>
      <c r="E6" s="194" t="n">
        <v>0.0396913108044094</v>
      </c>
      <c r="F6" s="194" t="n">
        <v>0.277155831438863</v>
      </c>
      <c r="G6" s="336" t="n">
        <v>0.592261996912578</v>
      </c>
      <c r="H6" s="336" t="n">
        <v>1.19741706666667</v>
      </c>
      <c r="I6" s="194" t="n">
        <v>0.0849287869866667</v>
      </c>
      <c r="J6" s="194" t="n">
        <v>0.385902834962746</v>
      </c>
      <c r="K6" s="194" t="n">
        <v>0.0361</v>
      </c>
      <c r="L6" s="194" t="n">
        <v>0.596917464032391</v>
      </c>
      <c r="M6" s="194" t="n">
        <v>0.0506103383784311</v>
      </c>
      <c r="N6" s="336" t="n">
        <v>1.02156407952304</v>
      </c>
      <c r="O6" s="336" t="n">
        <v>1.2216369022595</v>
      </c>
      <c r="P6" s="336" t="n">
        <v>10.6157683009343</v>
      </c>
      <c r="Q6" s="336" t="n">
        <v>30.8188830649112</v>
      </c>
      <c r="R6" s="336" t="n">
        <v>2.05404067132069</v>
      </c>
      <c r="S6" s="336" t="n">
        <v>17.2934656645066</v>
      </c>
      <c r="T6" s="194" t="n">
        <v>-0.0206218035555143</v>
      </c>
      <c r="U6" s="194" t="n">
        <v>0.116927597189354</v>
      </c>
      <c r="V6" s="194" t="n">
        <v>0.0463946202983208</v>
      </c>
      <c r="W6" s="194" t="n">
        <v>1.47327191933745</v>
      </c>
      <c r="X6" s="194" t="n">
        <v>0.0863582585372849</v>
      </c>
      <c r="Y6" s="194" t="n">
        <v>0.694885433313363</v>
      </c>
      <c r="Z6" s="194" t="n">
        <v>0.694885433313363</v>
      </c>
    </row>
    <row r="7" customFormat="false" ht="12" hidden="false" customHeight="false" outlineLevel="0" collapsed="false">
      <c r="A7" s="0" t="s">
        <v>451</v>
      </c>
      <c r="B7" s="0" t="n">
        <v>62</v>
      </c>
      <c r="C7" s="194" t="n">
        <v>0.0764248275862069</v>
      </c>
      <c r="D7" s="194" t="n">
        <v>0.0954824802878224</v>
      </c>
      <c r="E7" s="194" t="n">
        <v>0.237855159391706</v>
      </c>
      <c r="F7" s="194" t="n">
        <v>0.201103994556721</v>
      </c>
      <c r="G7" s="336" t="n">
        <v>0.920044563685933</v>
      </c>
      <c r="H7" s="336" t="n">
        <v>1.03753543859649</v>
      </c>
      <c r="I7" s="194" t="n">
        <v>0.0768068002807018</v>
      </c>
      <c r="J7" s="194" t="n">
        <v>0.567369038246337</v>
      </c>
      <c r="K7" s="194" t="n">
        <v>0.0391</v>
      </c>
      <c r="L7" s="194" t="n">
        <v>0.22058660276902</v>
      </c>
      <c r="M7" s="194" t="n">
        <v>0.0664192006251074</v>
      </c>
      <c r="N7" s="336" t="n">
        <v>2.68808975842254</v>
      </c>
      <c r="O7" s="336" t="n">
        <v>0.978800022915688</v>
      </c>
      <c r="P7" s="336" t="n">
        <v>7.58750875657785</v>
      </c>
      <c r="Q7" s="336" t="n">
        <v>10.6903931560255</v>
      </c>
      <c r="R7" s="336" t="n">
        <v>2.91842014905972</v>
      </c>
      <c r="S7" s="336" t="n">
        <v>20.0291937543495</v>
      </c>
      <c r="T7" s="194" t="n">
        <v>0.112024041827479</v>
      </c>
      <c r="U7" s="194" t="n">
        <v>0.0453808169578601</v>
      </c>
      <c r="V7" s="194" t="n">
        <v>0.0738664281636599</v>
      </c>
      <c r="W7" s="194" t="n">
        <v>1.03792004073761</v>
      </c>
      <c r="X7" s="194" t="n">
        <v>0.241390268352477</v>
      </c>
      <c r="Y7" s="194" t="n">
        <v>0.138537028491632</v>
      </c>
      <c r="Z7" s="194" t="n">
        <v>0.138537028491632</v>
      </c>
    </row>
    <row r="8" customFormat="false" ht="12" hidden="false" customHeight="false" outlineLevel="0" collapsed="false">
      <c r="A8" s="0" t="s">
        <v>452</v>
      </c>
      <c r="B8" s="0" t="n">
        <v>11</v>
      </c>
      <c r="C8" s="194" t="n">
        <v>0.0521888888888889</v>
      </c>
      <c r="D8" s="194" t="n">
        <v>-0.000686634561966771</v>
      </c>
      <c r="E8" s="194" t="n">
        <v>-6.7827395546844E-005</v>
      </c>
      <c r="F8" s="194" t="n">
        <v>0.283536987714443</v>
      </c>
      <c r="G8" s="336" t="n">
        <v>0.322504159107871</v>
      </c>
      <c r="H8" s="336" t="n">
        <v>0.637545454545455</v>
      </c>
      <c r="I8" s="194" t="n">
        <v>0.0564873090909091</v>
      </c>
      <c r="J8" s="194" t="n">
        <v>0.33374670463536</v>
      </c>
      <c r="K8" s="194" t="n">
        <v>0.0361</v>
      </c>
      <c r="L8" s="194" t="n">
        <v>0.611283979332084</v>
      </c>
      <c r="M8" s="194" t="n">
        <v>0.0387287092650118</v>
      </c>
      <c r="N8" s="336" t="n">
        <v>0.135899819977677</v>
      </c>
      <c r="O8" s="336" t="n">
        <v>8.4502108719487</v>
      </c>
      <c r="P8" s="336" t="s">
        <v>453</v>
      </c>
      <c r="Q8" s="336" t="s">
        <v>453</v>
      </c>
      <c r="R8" s="336" t="n">
        <v>1.24382993372551</v>
      </c>
      <c r="S8" s="336" t="n">
        <v>15.7559008015455</v>
      </c>
      <c r="T8" s="194" t="s">
        <v>453</v>
      </c>
      <c r="U8" s="194" t="n">
        <v>0.0091472470179775</v>
      </c>
      <c r="V8" s="194" t="n">
        <v>0.0114848659089857</v>
      </c>
      <c r="W8" s="194" t="s">
        <v>453</v>
      </c>
      <c r="X8" s="194" t="n">
        <v>0.0993296920827412</v>
      </c>
      <c r="Y8" s="194" t="n">
        <v>0.245728015342488</v>
      </c>
      <c r="Z8" s="194" t="n">
        <v>0.245728015342488</v>
      </c>
    </row>
    <row r="9" customFormat="false" ht="12" hidden="false" customHeight="false" outlineLevel="0" collapsed="false">
      <c r="A9" s="0" t="s">
        <v>454</v>
      </c>
      <c r="B9" s="0" t="n">
        <v>612</v>
      </c>
      <c r="C9" s="194" t="n">
        <v>0.0896419775280899</v>
      </c>
      <c r="D9" s="194" t="n">
        <v>-0.00161354320047622</v>
      </c>
      <c r="E9" s="194" t="n">
        <v>-0.00031426510840623</v>
      </c>
      <c r="F9" s="194" t="n">
        <v>0.293067802942211</v>
      </c>
      <c r="G9" s="336" t="n">
        <v>0.385726414640555</v>
      </c>
      <c r="H9" s="336" t="n">
        <v>0.501711266313933</v>
      </c>
      <c r="I9" s="194" t="n">
        <v>0.0495869323287478</v>
      </c>
      <c r="J9" s="194" t="n">
        <v>0.320756568364806</v>
      </c>
      <c r="K9" s="194" t="n">
        <v>0.0361</v>
      </c>
      <c r="L9" s="194" t="n">
        <v>0.369782523333556</v>
      </c>
      <c r="M9" s="194" t="n">
        <v>0.0413959046780326</v>
      </c>
      <c r="N9" s="336" t="n">
        <v>0.261662760372154</v>
      </c>
      <c r="O9" s="336" t="n">
        <v>6.27008371108124</v>
      </c>
      <c r="P9" s="336" t="s">
        <v>453</v>
      </c>
      <c r="Q9" s="336" t="s">
        <v>453</v>
      </c>
      <c r="R9" s="336" t="n">
        <v>1.50057332085375</v>
      </c>
      <c r="S9" s="336" t="n">
        <v>23.1468902729832</v>
      </c>
      <c r="T9" s="194" t="s">
        <v>453</v>
      </c>
      <c r="U9" s="194" t="n">
        <v>0.0444066943485061</v>
      </c>
      <c r="V9" s="194" t="n">
        <v>0.0475799901455418</v>
      </c>
      <c r="W9" s="194" t="s">
        <v>453</v>
      </c>
      <c r="X9" s="194" t="n">
        <v>0.0902827852260531</v>
      </c>
      <c r="Y9" s="194" t="n">
        <v>0.309118497049171</v>
      </c>
      <c r="Z9" s="194" t="n">
        <v>0.309118497049171</v>
      </c>
    </row>
    <row r="10" customFormat="false" ht="12" hidden="false" customHeight="false" outlineLevel="0" collapsed="false">
      <c r="A10" s="0" t="s">
        <v>455</v>
      </c>
      <c r="B10" s="0" t="n">
        <v>28</v>
      </c>
      <c r="C10" s="194" t="n">
        <v>0.113272727272727</v>
      </c>
      <c r="D10" s="194" t="n">
        <v>0.234141233841788</v>
      </c>
      <c r="E10" s="194" t="n">
        <v>0.243222354823907</v>
      </c>
      <c r="F10" s="194" t="n">
        <v>0.30015703993596</v>
      </c>
      <c r="G10" s="336" t="n">
        <v>1.11981472737553</v>
      </c>
      <c r="H10" s="336" t="n">
        <v>1.32619617391304</v>
      </c>
      <c r="I10" s="194" t="n">
        <v>0.0914707656347826</v>
      </c>
      <c r="J10" s="194" t="n">
        <v>0.501369948315397</v>
      </c>
      <c r="K10" s="194" t="n">
        <v>0.0391</v>
      </c>
      <c r="L10" s="194" t="n">
        <v>0.207260727462355</v>
      </c>
      <c r="M10" s="194" t="n">
        <v>0.0786714279850504</v>
      </c>
      <c r="N10" s="336" t="n">
        <v>1.15571473565488</v>
      </c>
      <c r="O10" s="336" t="n">
        <v>5.04808333365013</v>
      </c>
      <c r="P10" s="336" t="n">
        <v>17.2614916218694</v>
      </c>
      <c r="Q10" s="336" t="n">
        <v>21.5460719333071</v>
      </c>
      <c r="R10" s="336" t="n">
        <v>4.00506410518711</v>
      </c>
      <c r="S10" s="336" t="n">
        <v>49.2889446004003</v>
      </c>
      <c r="T10" s="194" t="n">
        <v>0.165096738643955</v>
      </c>
      <c r="U10" s="194" t="n">
        <v>0.0827207908796234</v>
      </c>
      <c r="V10" s="194" t="n">
        <v>0.673167893258515</v>
      </c>
      <c r="W10" s="194" t="n">
        <v>3.98428299356934</v>
      </c>
      <c r="X10" s="194" t="n">
        <v>0.251564110689949</v>
      </c>
      <c r="Y10" s="194" t="n">
        <v>0.20374756806993</v>
      </c>
      <c r="Z10" s="194" t="n">
        <v>0.20374756806993</v>
      </c>
    </row>
    <row r="11" customFormat="false" ht="12" hidden="false" customHeight="false" outlineLevel="0" collapsed="false">
      <c r="A11" s="0" t="s">
        <v>456</v>
      </c>
      <c r="B11" s="0" t="n">
        <v>35</v>
      </c>
      <c r="C11" s="194" t="n">
        <v>0.0948121428571429</v>
      </c>
      <c r="D11" s="194" t="n">
        <v>0.193268071399617</v>
      </c>
      <c r="E11" s="194" t="n">
        <v>0.249153654659386</v>
      </c>
      <c r="F11" s="194" t="n">
        <v>0.261940105736088</v>
      </c>
      <c r="G11" s="336" t="n">
        <v>0.626805581235505</v>
      </c>
      <c r="H11" s="336" t="n">
        <v>0.703796148148148</v>
      </c>
      <c r="I11" s="194" t="n">
        <v>0.0598528443259259</v>
      </c>
      <c r="J11" s="194" t="n">
        <v>0.453341683039355</v>
      </c>
      <c r="K11" s="194" t="n">
        <v>0.0391</v>
      </c>
      <c r="L11" s="194" t="n">
        <v>0.187395230405584</v>
      </c>
      <c r="M11" s="194" t="n">
        <v>0.0542053434397718</v>
      </c>
      <c r="N11" s="336" t="n">
        <v>1.37745507974752</v>
      </c>
      <c r="O11" s="336" t="n">
        <v>4.20211290673932</v>
      </c>
      <c r="P11" s="336" t="n">
        <v>17.9248773666704</v>
      </c>
      <c r="Q11" s="336" t="n">
        <v>21.727845232081</v>
      </c>
      <c r="R11" s="336" t="n">
        <v>9.95093840395868</v>
      </c>
      <c r="S11" s="336" t="n">
        <v>39.4377303468091</v>
      </c>
      <c r="T11" s="194" t="n">
        <v>-0.0344544925850974</v>
      </c>
      <c r="U11" s="194" t="n">
        <v>0.0460236505774756</v>
      </c>
      <c r="V11" s="194" t="n">
        <v>0.0511086965327902</v>
      </c>
      <c r="W11" s="194" t="n">
        <v>0.412681108325286</v>
      </c>
      <c r="X11" s="194" t="n">
        <v>0.283888728197149</v>
      </c>
      <c r="Y11" s="194" t="n">
        <v>0.848993118939659</v>
      </c>
      <c r="Z11" s="194" t="n">
        <v>0.848993118939659</v>
      </c>
    </row>
    <row r="12" customFormat="false" ht="12" hidden="false" customHeight="false" outlineLevel="0" collapsed="false">
      <c r="A12" s="0" t="s">
        <v>457</v>
      </c>
      <c r="B12" s="0" t="n">
        <v>27</v>
      </c>
      <c r="C12" s="194" t="n">
        <v>0.0811642857142857</v>
      </c>
      <c r="D12" s="194" t="n">
        <v>0.234542732601868</v>
      </c>
      <c r="E12" s="194" t="n">
        <v>0.213786553663064</v>
      </c>
      <c r="F12" s="194" t="n">
        <v>0.285827496929664</v>
      </c>
      <c r="G12" s="336" t="n">
        <v>0.650978209767241</v>
      </c>
      <c r="H12" s="336" t="n">
        <v>1.11964448</v>
      </c>
      <c r="I12" s="194" t="n">
        <v>0.080977939584</v>
      </c>
      <c r="J12" s="194" t="n">
        <v>0.523008317769044</v>
      </c>
      <c r="K12" s="194" t="n">
        <v>0.0391</v>
      </c>
      <c r="L12" s="194" t="n">
        <v>0.52868828534002</v>
      </c>
      <c r="M12" s="194" t="n">
        <v>0.0538763526421313</v>
      </c>
      <c r="N12" s="336" t="n">
        <v>1.10050459953421</v>
      </c>
      <c r="O12" s="336" t="n">
        <v>2.83364611453069</v>
      </c>
      <c r="P12" s="336" t="n">
        <v>9.18539909336584</v>
      </c>
      <c r="Q12" s="336" t="n">
        <v>12.0818612104888</v>
      </c>
      <c r="R12" s="336" t="n">
        <v>7.33789024410746</v>
      </c>
      <c r="S12" s="336" t="n">
        <v>27.8403936517717</v>
      </c>
      <c r="T12" s="194" t="n">
        <v>0.229561838483987</v>
      </c>
      <c r="U12" s="194" t="n">
        <v>0.0267854617754518</v>
      </c>
      <c r="V12" s="194" t="n">
        <v>0.0549381121733375</v>
      </c>
      <c r="W12" s="194" t="n">
        <v>0.435741850997513</v>
      </c>
      <c r="X12" s="194" t="n">
        <v>0.181053545232876</v>
      </c>
      <c r="Y12" s="194" t="n">
        <v>0.405842880029018</v>
      </c>
      <c r="Z12" s="194" t="n">
        <v>0.405842880029018</v>
      </c>
    </row>
    <row r="13" customFormat="false" ht="12" hidden="false" customHeight="false" outlineLevel="0" collapsed="false">
      <c r="A13" s="0" t="s">
        <v>458</v>
      </c>
      <c r="B13" s="0" t="n">
        <v>42</v>
      </c>
      <c r="C13" s="194" t="n">
        <v>0.0782126086956522</v>
      </c>
      <c r="D13" s="194" t="n">
        <v>0.00109864364111719</v>
      </c>
      <c r="E13" s="194" t="n">
        <v>0.000182215726668714</v>
      </c>
      <c r="F13" s="194" t="n">
        <v>0.285407713157922</v>
      </c>
      <c r="G13" s="336" t="n">
        <v>0.544174668263627</v>
      </c>
      <c r="H13" s="336" t="n">
        <v>1.2379532972973</v>
      </c>
      <c r="I13" s="194" t="n">
        <v>0.0869880275027027</v>
      </c>
      <c r="J13" s="194" t="n">
        <v>0.42480670510953</v>
      </c>
      <c r="K13" s="194" t="n">
        <v>0.0391</v>
      </c>
      <c r="L13" s="194" t="n">
        <v>0.687425488515036</v>
      </c>
      <c r="M13" s="194" t="n">
        <v>0.0476177760184107</v>
      </c>
      <c r="N13" s="336" t="n">
        <v>0.193324649205796</v>
      </c>
      <c r="O13" s="336" t="n">
        <v>6.74577283278836</v>
      </c>
      <c r="P13" s="336" t="s">
        <v>453</v>
      </c>
      <c r="Q13" s="336" t="s">
        <v>453</v>
      </c>
      <c r="R13" s="336" t="n">
        <v>1.55837165321479</v>
      </c>
      <c r="S13" s="336" t="n">
        <v>47.562089388925</v>
      </c>
      <c r="T13" s="194" t="s">
        <v>453</v>
      </c>
      <c r="U13" s="194" t="n">
        <v>0.0408149900165019</v>
      </c>
      <c r="V13" s="194" t="n">
        <v>0.0625767863076962</v>
      </c>
      <c r="W13" s="194" t="n">
        <v>453.970625258699</v>
      </c>
      <c r="X13" s="194" t="n">
        <v>0.114126645641311</v>
      </c>
      <c r="Y13" s="194" t="n">
        <v>0.206253815950071</v>
      </c>
      <c r="Z13" s="194" t="n">
        <v>0.206253815950071</v>
      </c>
    </row>
    <row r="14" customFormat="false" ht="12" hidden="false" customHeight="false" outlineLevel="0" collapsed="false">
      <c r="A14" s="0" t="s">
        <v>459</v>
      </c>
      <c r="B14" s="0" t="n">
        <v>39</v>
      </c>
      <c r="C14" s="194" t="n">
        <v>0.127341071428571</v>
      </c>
      <c r="D14" s="194" t="n">
        <v>0.103261678826337</v>
      </c>
      <c r="E14" s="194" t="n">
        <v>0.182743405308169</v>
      </c>
      <c r="F14" s="194" t="n">
        <v>0.300320011876179</v>
      </c>
      <c r="G14" s="336" t="n">
        <v>0.98593416861193</v>
      </c>
      <c r="H14" s="336" t="n">
        <v>1.10891152941176</v>
      </c>
      <c r="I14" s="194" t="n">
        <v>0.0804327056941177</v>
      </c>
      <c r="J14" s="194" t="n">
        <v>0.41014735814818</v>
      </c>
      <c r="K14" s="194" t="n">
        <v>0.0391</v>
      </c>
      <c r="L14" s="194" t="n">
        <v>0.176668556430431</v>
      </c>
      <c r="M14" s="194" t="n">
        <v>0.0714726585122309</v>
      </c>
      <c r="N14" s="336" t="n">
        <v>2.30768956222424</v>
      </c>
      <c r="O14" s="336" t="n">
        <v>1.77812381773831</v>
      </c>
      <c r="P14" s="336" t="n">
        <v>12.7977145949894</v>
      </c>
      <c r="Q14" s="336" t="n">
        <v>17.2246775417536</v>
      </c>
      <c r="R14" s="336" t="n">
        <v>4.76704849507069</v>
      </c>
      <c r="S14" s="336" t="n">
        <v>26.552311777494</v>
      </c>
      <c r="T14" s="194" t="n">
        <v>0.155988840751696</v>
      </c>
      <c r="U14" s="194" t="n">
        <v>0.0290324557878852</v>
      </c>
      <c r="V14" s="194" t="n">
        <v>0.030570521627801</v>
      </c>
      <c r="W14" s="194" t="n">
        <v>0.544857956988642</v>
      </c>
      <c r="X14" s="194" t="n">
        <v>0.238122423922128</v>
      </c>
      <c r="Y14" s="194" t="n">
        <v>0.152913388330548</v>
      </c>
      <c r="Z14" s="194" t="n">
        <v>0.152913388330548</v>
      </c>
    </row>
    <row r="15" customFormat="false" ht="12" hidden="false" customHeight="false" outlineLevel="0" collapsed="false">
      <c r="A15" s="0" t="s">
        <v>460</v>
      </c>
      <c r="B15" s="0" t="n">
        <v>169</v>
      </c>
      <c r="C15" s="194" t="n">
        <v>0.0514568493150685</v>
      </c>
      <c r="D15" s="194" t="n">
        <v>0.105252749843222</v>
      </c>
      <c r="E15" s="194" t="n">
        <v>0.26366135625641</v>
      </c>
      <c r="F15" s="194" t="n">
        <v>0.309621818822984</v>
      </c>
      <c r="G15" s="336" t="n">
        <v>1.00673036385561</v>
      </c>
      <c r="H15" s="336" t="n">
        <v>1.16872115942029</v>
      </c>
      <c r="I15" s="194" t="n">
        <v>0.0834710348985507</v>
      </c>
      <c r="J15" s="194" t="n">
        <v>0.494493749516061</v>
      </c>
      <c r="K15" s="194" t="n">
        <v>0.0391</v>
      </c>
      <c r="L15" s="194" t="n">
        <v>0.215297176509107</v>
      </c>
      <c r="M15" s="194" t="n">
        <v>0.0718977276617442</v>
      </c>
      <c r="N15" s="336" t="n">
        <v>2.81632569551898</v>
      </c>
      <c r="O15" s="336" t="n">
        <v>1.94317384896961</v>
      </c>
      <c r="P15" s="336" t="n">
        <v>12.4004807551534</v>
      </c>
      <c r="Q15" s="336" t="n">
        <v>18.2922362600595</v>
      </c>
      <c r="R15" s="336" t="n">
        <v>4.94911916140715</v>
      </c>
      <c r="S15" s="336" t="n">
        <v>51.595932449145</v>
      </c>
      <c r="T15" s="194" t="n">
        <v>0.163221141117816</v>
      </c>
      <c r="U15" s="194" t="n">
        <v>0.0248678150637643</v>
      </c>
      <c r="V15" s="194" t="n">
        <v>0.0347989249205306</v>
      </c>
      <c r="W15" s="194" t="n">
        <v>0.640867541552704</v>
      </c>
      <c r="X15" s="194" t="n">
        <v>0.183159298827962</v>
      </c>
      <c r="Y15" s="194" t="n">
        <v>0.263330297088362</v>
      </c>
      <c r="Z15" s="194" t="n">
        <v>0.263330297088362</v>
      </c>
    </row>
    <row r="16" customFormat="false" ht="12" hidden="false" customHeight="false" outlineLevel="0" collapsed="false">
      <c r="A16" s="0" t="s">
        <v>461</v>
      </c>
      <c r="B16" s="0" t="n">
        <v>14</v>
      </c>
      <c r="C16" s="194" t="n">
        <v>0.11788125</v>
      </c>
      <c r="D16" s="194" t="n">
        <v>0.182467619515877</v>
      </c>
      <c r="E16" s="194" t="n">
        <v>0.127220642646932</v>
      </c>
      <c r="F16" s="194" t="n">
        <v>0.335638722145497</v>
      </c>
      <c r="G16" s="336" t="n">
        <v>0.667468344782127</v>
      </c>
      <c r="H16" s="336" t="n">
        <v>0.9209032</v>
      </c>
      <c r="I16" s="194" t="n">
        <v>0.07088188256</v>
      </c>
      <c r="J16" s="194" t="n">
        <v>0.363257550403489</v>
      </c>
      <c r="K16" s="194" t="n">
        <v>0.0361</v>
      </c>
      <c r="L16" s="194" t="n">
        <v>0.346621544363091</v>
      </c>
      <c r="M16" s="194" t="n">
        <v>0.0558226036508353</v>
      </c>
      <c r="N16" s="336" t="n">
        <v>0.896516447305023</v>
      </c>
      <c r="O16" s="336" t="n">
        <v>3.43735384151305</v>
      </c>
      <c r="P16" s="336" t="n">
        <v>9.68085965757349</v>
      </c>
      <c r="Q16" s="336" t="n">
        <v>18.2624566366957</v>
      </c>
      <c r="R16" s="336" t="n">
        <v>2.80426648547257</v>
      </c>
      <c r="S16" s="336" t="n">
        <v>111.314513674226</v>
      </c>
      <c r="T16" s="194" t="n">
        <v>-0.0112220858283477</v>
      </c>
      <c r="U16" s="194" t="n">
        <v>0.123053749474841</v>
      </c>
      <c r="V16" s="194" t="n">
        <v>-0.0239880446389097</v>
      </c>
      <c r="W16" s="194" t="n">
        <v>-0.213282627403835</v>
      </c>
      <c r="X16" s="194" t="n">
        <v>0.110547871521646</v>
      </c>
      <c r="Y16" s="194" t="n">
        <v>0.332120229548054</v>
      </c>
      <c r="Z16" s="194" t="n">
        <v>0.332120229548054</v>
      </c>
    </row>
    <row r="17" customFormat="false" ht="12" hidden="false" customHeight="false" outlineLevel="0" collapsed="false">
      <c r="A17" s="0" t="s">
        <v>462</v>
      </c>
      <c r="B17" s="0" t="n">
        <v>38</v>
      </c>
      <c r="C17" s="194" t="n">
        <v>0.0162533333333333</v>
      </c>
      <c r="D17" s="194" t="n">
        <v>0.109360010170723</v>
      </c>
      <c r="E17" s="194" t="n">
        <v>0.144312554848178</v>
      </c>
      <c r="F17" s="194" t="n">
        <v>0.235568392598777</v>
      </c>
      <c r="G17" s="336" t="n">
        <v>0.964899885470588</v>
      </c>
      <c r="H17" s="336" t="n">
        <v>1.19762105263158</v>
      </c>
      <c r="I17" s="194" t="n">
        <v>0.0849391494736842</v>
      </c>
      <c r="J17" s="194" t="n">
        <v>0.593901840787277</v>
      </c>
      <c r="K17" s="194" t="n">
        <v>0.0391</v>
      </c>
      <c r="L17" s="194" t="n">
        <v>0.292162698686483</v>
      </c>
      <c r="M17" s="194" t="n">
        <v>0.0688050050934856</v>
      </c>
      <c r="N17" s="336" t="n">
        <v>1.46195662411922</v>
      </c>
      <c r="O17" s="336" t="n">
        <v>1.75939378790055</v>
      </c>
      <c r="P17" s="336" t="n">
        <v>9.66699820653111</v>
      </c>
      <c r="Q17" s="336" t="n">
        <v>16.0629654039141</v>
      </c>
      <c r="R17" s="336" t="n">
        <v>3.46763323911889</v>
      </c>
      <c r="S17" s="336" t="n">
        <v>38.3045477279009</v>
      </c>
      <c r="T17" s="194" t="n">
        <v>0.202696144874592</v>
      </c>
      <c r="U17" s="194" t="n">
        <v>0.0549374222179014</v>
      </c>
      <c r="V17" s="194" t="n">
        <v>0.0312584045173911</v>
      </c>
      <c r="W17" s="194" t="n">
        <v>0.478166132929087</v>
      </c>
      <c r="X17" s="194" t="n">
        <v>0.186020957197235</v>
      </c>
      <c r="Y17" s="194" t="n">
        <v>0.272878123510477</v>
      </c>
      <c r="Z17" s="194" t="n">
        <v>0.272878123510477</v>
      </c>
    </row>
    <row r="18" customFormat="false" ht="12" hidden="false" customHeight="false" outlineLevel="0" collapsed="false">
      <c r="A18" s="0" t="s">
        <v>463</v>
      </c>
      <c r="B18" s="0" t="n">
        <v>7</v>
      </c>
      <c r="C18" s="194" t="n">
        <v>-0.02543</v>
      </c>
      <c r="D18" s="194" t="n">
        <v>0.122428682559698</v>
      </c>
      <c r="E18" s="194" t="n">
        <v>0.165906001975324</v>
      </c>
      <c r="F18" s="194" t="n">
        <v>0.222571570412047</v>
      </c>
      <c r="G18" s="336" t="n">
        <v>1.79468603059752</v>
      </c>
      <c r="H18" s="336" t="n">
        <v>2.033952</v>
      </c>
      <c r="I18" s="194" t="n">
        <v>0.1274247616</v>
      </c>
      <c r="J18" s="194" t="n">
        <v>0.686228381928902</v>
      </c>
      <c r="K18" s="194" t="n">
        <v>0.0466</v>
      </c>
      <c r="L18" s="194" t="n">
        <v>0.213747206243999</v>
      </c>
      <c r="M18" s="194" t="n">
        <v>0.10775814585803</v>
      </c>
      <c r="N18" s="336" t="n">
        <v>1.53045833234665</v>
      </c>
      <c r="O18" s="336" t="n">
        <v>2.89939104304862</v>
      </c>
      <c r="P18" s="336" t="n">
        <v>15.8322882753249</v>
      </c>
      <c r="Q18" s="336" t="n">
        <v>24.092802231511</v>
      </c>
      <c r="R18" s="336" t="n">
        <v>1.73774015455635</v>
      </c>
      <c r="S18" s="336" t="n">
        <v>30.2154867234013</v>
      </c>
      <c r="T18" s="194" t="n">
        <v>0.343543907085356</v>
      </c>
      <c r="U18" s="194" t="n">
        <v>0.0599582129908437</v>
      </c>
      <c r="V18" s="194" t="n">
        <v>-0.0121084569532355</v>
      </c>
      <c r="W18" s="194" t="n">
        <v>-0.0144618051123178</v>
      </c>
      <c r="X18" s="194" t="n">
        <v>0.142011167009926</v>
      </c>
      <c r="Y18" s="194" t="n">
        <v>0.580613886256968</v>
      </c>
      <c r="Z18" s="194" t="n">
        <v>0.580613886256968</v>
      </c>
    </row>
    <row r="19" customFormat="false" ht="12" hidden="false" customHeight="false" outlineLevel="0" collapsed="false">
      <c r="A19" s="0" t="s">
        <v>464</v>
      </c>
      <c r="B19" s="0" t="n">
        <v>99</v>
      </c>
      <c r="C19" s="194" t="n">
        <v>0.0146870588235294</v>
      </c>
      <c r="D19" s="194" t="n">
        <v>0.135567449572649</v>
      </c>
      <c r="E19" s="194" t="n">
        <v>0.167400596294413</v>
      </c>
      <c r="F19" s="194" t="n">
        <v>0.228668095171126</v>
      </c>
      <c r="G19" s="336" t="n">
        <v>0.948499564358125</v>
      </c>
      <c r="H19" s="336" t="n">
        <v>1.11458629885057</v>
      </c>
      <c r="I19" s="194" t="n">
        <v>0.0807209839816092</v>
      </c>
      <c r="J19" s="194" t="n">
        <v>0.596867731506919</v>
      </c>
      <c r="K19" s="194" t="n">
        <v>0.0391</v>
      </c>
      <c r="L19" s="194" t="n">
        <v>0.224829988553922</v>
      </c>
      <c r="M19" s="194" t="n">
        <v>0.069253534016831</v>
      </c>
      <c r="N19" s="336" t="n">
        <v>1.36597690951231</v>
      </c>
      <c r="O19" s="336" t="n">
        <v>2.7905593968739</v>
      </c>
      <c r="P19" s="336" t="n">
        <v>13.8934712730612</v>
      </c>
      <c r="Q19" s="336" t="n">
        <v>20.595830329467</v>
      </c>
      <c r="R19" s="336" t="n">
        <v>4.1536923295954</v>
      </c>
      <c r="S19" s="336" t="n">
        <v>165.877706834765</v>
      </c>
      <c r="T19" s="194" t="n">
        <v>0.214858680055731</v>
      </c>
      <c r="U19" s="194" t="n">
        <v>0.0504281105161297</v>
      </c>
      <c r="V19" s="194" t="n">
        <v>0.104397705339739</v>
      </c>
      <c r="W19" s="194" t="n">
        <v>1.0583969985967</v>
      </c>
      <c r="X19" s="194" t="n">
        <v>0.169956237982412</v>
      </c>
      <c r="Y19" s="194" t="n">
        <v>0.397852744470358</v>
      </c>
      <c r="Z19" s="194" t="n">
        <v>0.397852744470358</v>
      </c>
    </row>
    <row r="20" customFormat="false" ht="12" hidden="false" customHeight="false" outlineLevel="0" collapsed="false">
      <c r="A20" s="0" t="s">
        <v>465</v>
      </c>
      <c r="B20" s="0" t="n">
        <v>30</v>
      </c>
      <c r="C20" s="194" t="n">
        <v>-0.0409057142857143</v>
      </c>
      <c r="D20" s="194" t="n">
        <v>0.0871147659664155</v>
      </c>
      <c r="E20" s="194" t="n">
        <v>0.0853143759367322</v>
      </c>
      <c r="F20" s="194" t="n">
        <v>0.0483458341346668</v>
      </c>
      <c r="G20" s="336" t="n">
        <v>1.04239112149112</v>
      </c>
      <c r="H20" s="336" t="n">
        <v>1.248786</v>
      </c>
      <c r="I20" s="194" t="n">
        <v>0.0875383288</v>
      </c>
      <c r="J20" s="194" t="n">
        <v>0.906147353765783</v>
      </c>
      <c r="K20" s="194" t="n">
        <v>0.0816</v>
      </c>
      <c r="L20" s="194" t="n">
        <v>0.312311948643246</v>
      </c>
      <c r="M20" s="194" t="n">
        <v>0.0795674005585584</v>
      </c>
      <c r="N20" s="336" t="n">
        <v>1.03120852774836</v>
      </c>
      <c r="O20" s="336" t="n">
        <v>1.01242315994459</v>
      </c>
      <c r="P20" s="336" t="n">
        <v>3.92829085549659</v>
      </c>
      <c r="Q20" s="336" t="n">
        <v>9.23664755218211</v>
      </c>
      <c r="R20" s="336" t="n">
        <v>2.02623354671037</v>
      </c>
      <c r="S20" s="336" t="n">
        <v>1276.02190045714</v>
      </c>
      <c r="T20" s="194" t="n">
        <v>0.0434461104411731</v>
      </c>
      <c r="U20" s="194" t="n">
        <v>0.0325975465277664</v>
      </c>
      <c r="V20" s="194" t="n">
        <v>-0.0645745552790555</v>
      </c>
      <c r="W20" s="194" t="n">
        <v>-0.49883540888826</v>
      </c>
      <c r="X20" s="194" t="n">
        <v>-6.4638686502423</v>
      </c>
      <c r="Y20" s="194" t="n">
        <v>0.157285510345634</v>
      </c>
      <c r="Z20" s="194" t="n">
        <v>0.157285510345634</v>
      </c>
    </row>
    <row r="21" customFormat="false" ht="12" hidden="false" customHeight="false" outlineLevel="0" collapsed="false">
      <c r="A21" s="0" t="s">
        <v>371</v>
      </c>
      <c r="B21" s="0" t="n">
        <v>111</v>
      </c>
      <c r="C21" s="194" t="n">
        <v>0.153050925925926</v>
      </c>
      <c r="D21" s="194" t="n">
        <v>0.083480737413988</v>
      </c>
      <c r="E21" s="194" t="n">
        <v>0.279607375903117</v>
      </c>
      <c r="F21" s="194" t="n">
        <v>0.143465875533682</v>
      </c>
      <c r="G21" s="336" t="n">
        <v>0.9440317653238</v>
      </c>
      <c r="H21" s="336" t="n">
        <v>1.10130924731183</v>
      </c>
      <c r="I21" s="194" t="n">
        <v>0.0800465097634409</v>
      </c>
      <c r="J21" s="194" t="n">
        <v>0.48530569398663</v>
      </c>
      <c r="K21" s="194" t="n">
        <v>0.0391</v>
      </c>
      <c r="L21" s="194" t="n">
        <v>0.235652121012867</v>
      </c>
      <c r="M21" s="194" t="n">
        <v>0.0681860183860272</v>
      </c>
      <c r="N21" s="336" t="n">
        <v>3.69460391301022</v>
      </c>
      <c r="O21" s="336" t="n">
        <v>1.33778091694971</v>
      </c>
      <c r="P21" s="336" t="n">
        <v>11.099665603985</v>
      </c>
      <c r="Q21" s="336" t="n">
        <v>16.0926208513741</v>
      </c>
      <c r="R21" s="336" t="n">
        <v>4.03725685134886</v>
      </c>
      <c r="S21" s="336" t="n">
        <v>40.3294565248812</v>
      </c>
      <c r="T21" s="194" t="n">
        <v>0.126486633389895</v>
      </c>
      <c r="U21" s="194" t="n">
        <v>0.0196878146863658</v>
      </c>
      <c r="V21" s="194" t="n">
        <v>0.0144033395759071</v>
      </c>
      <c r="W21" s="194" t="n">
        <v>0.229962483356305</v>
      </c>
      <c r="X21" s="194" t="n">
        <v>0.286622406383733</v>
      </c>
      <c r="Y21" s="194" t="n">
        <v>0.385521732556198</v>
      </c>
      <c r="Z21" s="194" t="n">
        <v>0.385521732556198</v>
      </c>
    </row>
    <row r="22" customFormat="false" ht="12" hidden="false" customHeight="false" outlineLevel="0" collapsed="false">
      <c r="A22" s="0" t="s">
        <v>466</v>
      </c>
      <c r="B22" s="0" t="n">
        <v>58</v>
      </c>
      <c r="C22" s="194" t="n">
        <v>-0.0267333333333333</v>
      </c>
      <c r="D22" s="194" t="n">
        <v>0.200090806283126</v>
      </c>
      <c r="E22" s="194" t="n">
        <v>0.238597852854486</v>
      </c>
      <c r="F22" s="194" t="n">
        <v>0.240092097732561</v>
      </c>
      <c r="G22" s="336" t="n">
        <v>0.928325627440447</v>
      </c>
      <c r="H22" s="336" t="n">
        <v>1.00965507692308</v>
      </c>
      <c r="I22" s="194" t="n">
        <v>0.0753904779076923</v>
      </c>
      <c r="J22" s="194" t="n">
        <v>0.613784825468182</v>
      </c>
      <c r="K22" s="194" t="n">
        <v>0.0391</v>
      </c>
      <c r="L22" s="194" t="n">
        <v>0.153754513597397</v>
      </c>
      <c r="M22" s="194" t="n">
        <v>0.0683678207731801</v>
      </c>
      <c r="N22" s="336" t="n">
        <v>1.25483279148332</v>
      </c>
      <c r="O22" s="336" t="n">
        <v>3.03329712638372</v>
      </c>
      <c r="P22" s="336" t="n">
        <v>12.0114153974997</v>
      </c>
      <c r="Q22" s="336" t="n">
        <v>15.2326517044562</v>
      </c>
      <c r="R22" s="336" t="n">
        <v>5.420530144164</v>
      </c>
      <c r="S22" s="336" t="n">
        <v>108.614479481636</v>
      </c>
      <c r="T22" s="194" t="n">
        <v>-0.0262071376343527</v>
      </c>
      <c r="U22" s="194" t="n">
        <v>0.0468838506177016</v>
      </c>
      <c r="V22" s="194" t="n">
        <v>0.0199260981912667</v>
      </c>
      <c r="W22" s="194" t="n">
        <v>0.0304245768849126</v>
      </c>
      <c r="X22" s="194" t="n">
        <v>0.285494813352927</v>
      </c>
      <c r="Y22" s="194" t="n">
        <v>0.289439530689422</v>
      </c>
      <c r="Z22" s="194" t="n">
        <v>0.289439530689422</v>
      </c>
    </row>
    <row r="23" customFormat="false" ht="12" hidden="false" customHeight="false" outlineLevel="0" collapsed="false">
      <c r="A23" s="0" t="s">
        <v>467</v>
      </c>
      <c r="B23" s="0" t="n">
        <v>49</v>
      </c>
      <c r="C23" s="194" t="n">
        <v>0.0694502941176471</v>
      </c>
      <c r="D23" s="194" t="n">
        <v>0.096177099758766</v>
      </c>
      <c r="E23" s="194" t="n">
        <v>0.105881509594507</v>
      </c>
      <c r="F23" s="194" t="n">
        <v>0.308205134117159</v>
      </c>
      <c r="G23" s="336" t="n">
        <v>0.952577692401586</v>
      </c>
      <c r="H23" s="336" t="n">
        <v>1.12069657142857</v>
      </c>
      <c r="I23" s="194" t="n">
        <v>0.0810313858285715</v>
      </c>
      <c r="J23" s="194" t="n">
        <v>0.456679863406164</v>
      </c>
      <c r="K23" s="194" t="n">
        <v>0.0391</v>
      </c>
      <c r="L23" s="194" t="n">
        <v>0.245092154823194</v>
      </c>
      <c r="M23" s="194" t="n">
        <v>0.0684543873402633</v>
      </c>
      <c r="N23" s="336" t="n">
        <v>1.33229529370564</v>
      </c>
      <c r="O23" s="336" t="n">
        <v>2.14254359618397</v>
      </c>
      <c r="P23" s="336" t="n">
        <v>14.508544481292</v>
      </c>
      <c r="Q23" s="336" t="n">
        <v>22.1828582731241</v>
      </c>
      <c r="R23" s="336" t="n">
        <v>4.21037631068144</v>
      </c>
      <c r="S23" s="336" t="n">
        <v>41.9970465259441</v>
      </c>
      <c r="T23" s="194" t="n">
        <v>0.158321794309093</v>
      </c>
      <c r="U23" s="194" t="n">
        <v>0.0556926871472235</v>
      </c>
      <c r="V23" s="194" t="n">
        <v>0.0354267381013339</v>
      </c>
      <c r="W23" s="194" t="n">
        <v>0.678246249936408</v>
      </c>
      <c r="X23" s="194" t="n">
        <v>0.132329041560208</v>
      </c>
      <c r="Y23" s="194" t="n">
        <v>0.576292018241908</v>
      </c>
      <c r="Z23" s="194" t="n">
        <v>0.576292018241908</v>
      </c>
    </row>
    <row r="24" customFormat="false" ht="12" hidden="false" customHeight="false" outlineLevel="0" collapsed="false">
      <c r="A24" s="0" t="s">
        <v>468</v>
      </c>
      <c r="B24" s="0" t="n">
        <v>24</v>
      </c>
      <c r="C24" s="194" t="n">
        <v>0.0286733333333333</v>
      </c>
      <c r="D24" s="194" t="n">
        <v>0.130069373601687</v>
      </c>
      <c r="E24" s="194" t="n">
        <v>0.109776375286565</v>
      </c>
      <c r="F24" s="194" t="n">
        <v>0.240492491600638</v>
      </c>
      <c r="G24" s="336" t="n">
        <v>1.01354400978086</v>
      </c>
      <c r="H24" s="336" t="n">
        <v>1.19447105882353</v>
      </c>
      <c r="I24" s="194" t="n">
        <v>0.0847791297882353</v>
      </c>
      <c r="J24" s="194" t="n">
        <v>0.268230434646968</v>
      </c>
      <c r="K24" s="194" t="n">
        <v>0.0361</v>
      </c>
      <c r="L24" s="194" t="n">
        <v>0.245208558323291</v>
      </c>
      <c r="M24" s="194" t="n">
        <v>0.0707181036031168</v>
      </c>
      <c r="N24" s="336" t="n">
        <v>0.95944434798559</v>
      </c>
      <c r="O24" s="336" t="n">
        <v>2.62301935709374</v>
      </c>
      <c r="P24" s="336" t="n">
        <v>14.6856977220147</v>
      </c>
      <c r="Q24" s="336" t="n">
        <v>20.2561017026728</v>
      </c>
      <c r="R24" s="336" t="n">
        <v>2.03563641730153</v>
      </c>
      <c r="S24" s="336" t="n">
        <v>25.9599799650646</v>
      </c>
      <c r="T24" s="194" t="n">
        <v>0.144128832799381</v>
      </c>
      <c r="U24" s="194" t="n">
        <v>0.0484174049554159</v>
      </c>
      <c r="V24" s="194" t="n">
        <v>0.0388438759405994</v>
      </c>
      <c r="W24" s="194" t="n">
        <v>0.416748296958075</v>
      </c>
      <c r="X24" s="194" t="n">
        <v>0.0958887565862754</v>
      </c>
      <c r="Y24" s="194" t="n">
        <v>0.352527185779578</v>
      </c>
      <c r="Z24" s="194" t="n">
        <v>0.352527185779578</v>
      </c>
    </row>
    <row r="25" customFormat="false" ht="12" hidden="false" customHeight="false" outlineLevel="0" collapsed="false">
      <c r="A25" s="0" t="s">
        <v>469</v>
      </c>
      <c r="B25" s="0" t="n">
        <v>459</v>
      </c>
      <c r="C25" s="194" t="n">
        <v>0.32284352</v>
      </c>
      <c r="D25" s="194" t="n">
        <v>0.26170413635598</v>
      </c>
      <c r="E25" s="194" t="n">
        <v>0.115974519851075</v>
      </c>
      <c r="F25" s="194" t="n">
        <v>0.206643950567975</v>
      </c>
      <c r="G25" s="336" t="n">
        <v>1.3565309171375</v>
      </c>
      <c r="H25" s="336" t="n">
        <v>1.43974172292191</v>
      </c>
      <c r="I25" s="194" t="n">
        <v>0.0972388795244333</v>
      </c>
      <c r="J25" s="194" t="n">
        <v>0.947806272116761</v>
      </c>
      <c r="K25" s="194" t="n">
        <v>0.0816</v>
      </c>
      <c r="L25" s="194" t="n">
        <v>0.13668677473187</v>
      </c>
      <c r="M25" s="194" t="n">
        <v>0.0924243777254692</v>
      </c>
      <c r="N25" s="336" t="n">
        <v>0.448978518192831</v>
      </c>
      <c r="O25" s="336" t="n">
        <v>7.69787209234925</v>
      </c>
      <c r="P25" s="336" t="n">
        <v>13.0515471385239</v>
      </c>
      <c r="Q25" s="336" t="n">
        <v>24.2189718532239</v>
      </c>
      <c r="R25" s="336" t="n">
        <v>6.20060905369742</v>
      </c>
      <c r="S25" s="336" t="n">
        <v>69.6105349810489</v>
      </c>
      <c r="T25" s="194" t="n">
        <v>0.148499261359365</v>
      </c>
      <c r="U25" s="194" t="n">
        <v>0.0393864588517175</v>
      </c>
      <c r="V25" s="194" t="n">
        <v>0.00990025898999391</v>
      </c>
      <c r="W25" s="194" t="n">
        <v>0.0982794083867962</v>
      </c>
      <c r="X25" s="194" t="n">
        <v>0.134459689719269</v>
      </c>
      <c r="Y25" s="194" t="n">
        <v>0.602551491818883</v>
      </c>
      <c r="Z25" s="194" t="n">
        <v>0.602551491818883</v>
      </c>
    </row>
    <row r="26" customFormat="false" ht="12" hidden="false" customHeight="false" outlineLevel="0" collapsed="false">
      <c r="A26" s="0" t="s">
        <v>470</v>
      </c>
      <c r="B26" s="0" t="n">
        <v>185</v>
      </c>
      <c r="C26" s="194" t="n">
        <v>0.280772549019608</v>
      </c>
      <c r="D26" s="194" t="n">
        <v>0.252145231307614</v>
      </c>
      <c r="E26" s="194" t="n">
        <v>0.176832075065849</v>
      </c>
      <c r="F26" s="194" t="n">
        <v>0.194045502233231</v>
      </c>
      <c r="G26" s="336" t="n">
        <v>1.12956864008125</v>
      </c>
      <c r="H26" s="336" t="n">
        <v>1.20933519463087</v>
      </c>
      <c r="I26" s="194" t="n">
        <v>0.0855342278872484</v>
      </c>
      <c r="J26" s="194" t="n">
        <v>0.857041217290377</v>
      </c>
      <c r="K26" s="194" t="n">
        <v>0.0691</v>
      </c>
      <c r="L26" s="194" t="n">
        <v>0.127623152040579</v>
      </c>
      <c r="M26" s="194" t="n">
        <v>0.0813203375694836</v>
      </c>
      <c r="N26" s="336" t="n">
        <v>0.715479099998287</v>
      </c>
      <c r="O26" s="336" t="n">
        <v>5.0791894506826</v>
      </c>
      <c r="P26" s="336" t="n">
        <v>14.4487352744685</v>
      </c>
      <c r="Q26" s="336" t="n">
        <v>20.7312479623457</v>
      </c>
      <c r="R26" s="336" t="n">
        <v>4.84535118032099</v>
      </c>
      <c r="S26" s="336" t="n">
        <v>366.685121180251</v>
      </c>
      <c r="T26" s="194" t="n">
        <v>0.22582762096509</v>
      </c>
      <c r="U26" s="194" t="n">
        <v>0.0434359787480743</v>
      </c>
      <c r="V26" s="194" t="n">
        <v>0.162715874882491</v>
      </c>
      <c r="W26" s="194" t="n">
        <v>0.814883215354834</v>
      </c>
      <c r="X26" s="194" t="n">
        <v>0.143870777313481</v>
      </c>
      <c r="Y26" s="194" t="n">
        <v>0.835431631740109</v>
      </c>
      <c r="Z26" s="194" t="n">
        <v>0.835431631740109</v>
      </c>
    </row>
    <row r="27" customFormat="false" ht="12" hidden="false" customHeight="false" outlineLevel="0" collapsed="false">
      <c r="A27" s="0" t="s">
        <v>471</v>
      </c>
      <c r="B27" s="0" t="n">
        <v>34</v>
      </c>
      <c r="C27" s="194" t="n">
        <v>-0.0242483333333333</v>
      </c>
      <c r="D27" s="194" t="n">
        <v>0.0825709427936488</v>
      </c>
      <c r="E27" s="194" t="n">
        <v>0.114670076858631</v>
      </c>
      <c r="F27" s="194" t="n">
        <v>0.267481506914806</v>
      </c>
      <c r="G27" s="336" t="n">
        <v>0.958161652136477</v>
      </c>
      <c r="H27" s="336" t="n">
        <v>1.153287</v>
      </c>
      <c r="I27" s="194" t="n">
        <v>0.0826869796</v>
      </c>
      <c r="J27" s="194" t="n">
        <v>0.535894443250585</v>
      </c>
      <c r="K27" s="194" t="n">
        <v>0.0391</v>
      </c>
      <c r="L27" s="194" t="n">
        <v>0.279678314564405</v>
      </c>
      <c r="M27" s="194" t="n">
        <v>0.0678721453046465</v>
      </c>
      <c r="N27" s="336" t="n">
        <v>1.51206632310181</v>
      </c>
      <c r="O27" s="336" t="n">
        <v>1.86605836863637</v>
      </c>
      <c r="P27" s="336" t="n">
        <v>10.0485102619278</v>
      </c>
      <c r="Q27" s="336" t="n">
        <v>21.5812707486765</v>
      </c>
      <c r="R27" s="336" t="n">
        <v>2.3299064761384</v>
      </c>
      <c r="S27" s="336" t="n">
        <v>32.347630117991</v>
      </c>
      <c r="T27" s="194" t="n">
        <v>0.105597642076566</v>
      </c>
      <c r="U27" s="194" t="n">
        <v>0.0440018009407546</v>
      </c>
      <c r="V27" s="194" t="n">
        <v>0.0328173156616962</v>
      </c>
      <c r="W27" s="194" t="n">
        <v>0.628399827707704</v>
      </c>
      <c r="X27" s="194" t="n">
        <v>0.0259611481336941</v>
      </c>
      <c r="Y27" s="194" t="n">
        <v>0.29685229628904</v>
      </c>
      <c r="Z27" s="194" t="n">
        <v>0.29685229628904</v>
      </c>
    </row>
    <row r="28" customFormat="false" ht="12" hidden="false" customHeight="false" outlineLevel="0" collapsed="false">
      <c r="A28" s="0" t="s">
        <v>472</v>
      </c>
      <c r="B28" s="0" t="n">
        <v>118</v>
      </c>
      <c r="C28" s="194" t="n">
        <v>-0.0213681632653061</v>
      </c>
      <c r="D28" s="194" t="n">
        <v>0.119950388337153</v>
      </c>
      <c r="E28" s="194" t="n">
        <v>0.218836581455251</v>
      </c>
      <c r="F28" s="194" t="n">
        <v>0.277985851524595</v>
      </c>
      <c r="G28" s="336" t="n">
        <v>1.02446957123588</v>
      </c>
      <c r="H28" s="336" t="n">
        <v>1.08484792307692</v>
      </c>
      <c r="I28" s="194" t="n">
        <v>0.0792102744923077</v>
      </c>
      <c r="J28" s="194" t="n">
        <v>0.661652572857723</v>
      </c>
      <c r="K28" s="194" t="n">
        <v>0.0466</v>
      </c>
      <c r="L28" s="194" t="n">
        <v>0.136833954357223</v>
      </c>
      <c r="M28" s="194" t="n">
        <v>0.0732177307353196</v>
      </c>
      <c r="N28" s="336" t="n">
        <v>1.92075290992366</v>
      </c>
      <c r="O28" s="336" t="n">
        <v>2.47846934392594</v>
      </c>
      <c r="P28" s="336" t="n">
        <v>13.9773994450193</v>
      </c>
      <c r="Q28" s="336" t="n">
        <v>19.8907261397273</v>
      </c>
      <c r="R28" s="336" t="n">
        <v>4.30530590770446</v>
      </c>
      <c r="S28" s="336" t="n">
        <v>23.6520560028254</v>
      </c>
      <c r="T28" s="194" t="n">
        <v>0.199019908883245</v>
      </c>
      <c r="U28" s="194" t="n">
        <v>0.0443128594819901</v>
      </c>
      <c r="V28" s="194" t="n">
        <v>0.0858240362881741</v>
      </c>
      <c r="W28" s="194" t="n">
        <v>1.02314209884879</v>
      </c>
      <c r="X28" s="194" t="n">
        <v>0.135420217837556</v>
      </c>
      <c r="Y28" s="194" t="n">
        <v>0.575870126237057</v>
      </c>
      <c r="Z28" s="194" t="n">
        <v>0.575870126237057</v>
      </c>
    </row>
    <row r="29" customFormat="false" ht="12" hidden="false" customHeight="false" outlineLevel="0" collapsed="false">
      <c r="A29" s="0" t="s">
        <v>473</v>
      </c>
      <c r="B29" s="0" t="n">
        <v>24</v>
      </c>
      <c r="C29" s="194" t="n">
        <v>-0.00488000000000001</v>
      </c>
      <c r="D29" s="194" t="n">
        <v>-0.0417455449519373</v>
      </c>
      <c r="E29" s="194" t="n">
        <v>-0.055411196987166</v>
      </c>
      <c r="F29" s="194" t="n">
        <v>0.322787979966611</v>
      </c>
      <c r="G29" s="336" t="n">
        <v>1.07915438736769</v>
      </c>
      <c r="H29" s="336" t="n">
        <v>1.09238476190476</v>
      </c>
      <c r="I29" s="194" t="n">
        <v>0.0795931459047619</v>
      </c>
      <c r="J29" s="194" t="n">
        <v>0.702222443352002</v>
      </c>
      <c r="K29" s="194" t="n">
        <v>0.0466</v>
      </c>
      <c r="L29" s="194" t="n">
        <v>0.0649053260377285</v>
      </c>
      <c r="M29" s="194" t="n">
        <v>0.076725813846397</v>
      </c>
      <c r="N29" s="336" t="n">
        <v>1.39443075988274</v>
      </c>
      <c r="O29" s="336" t="n">
        <v>2.52017059534072</v>
      </c>
      <c r="P29" s="336" t="n">
        <v>17.1725284165248</v>
      </c>
      <c r="Q29" s="336" t="s">
        <v>453</v>
      </c>
      <c r="R29" s="336" t="n">
        <v>7.9107648831598</v>
      </c>
      <c r="S29" s="336" t="n">
        <v>79.9375592640169</v>
      </c>
      <c r="T29" s="194" t="n">
        <v>0.197554600598144</v>
      </c>
      <c r="U29" s="194" t="n">
        <v>0.0314223584526432</v>
      </c>
      <c r="V29" s="194" t="n">
        <v>-0.00125329918911357</v>
      </c>
      <c r="W29" s="194" t="s">
        <v>453</v>
      </c>
      <c r="X29" s="194" t="n">
        <v>-0.29603470433375</v>
      </c>
      <c r="Y29" s="194" t="n">
        <v>0.00177807486631016</v>
      </c>
      <c r="Z29" s="194" t="n">
        <v>0.00177807486631021</v>
      </c>
    </row>
    <row r="30" customFormat="false" ht="12" hidden="false" customHeight="false" outlineLevel="0" collapsed="false">
      <c r="A30" s="0" t="s">
        <v>474</v>
      </c>
      <c r="B30" s="0" t="n">
        <v>167</v>
      </c>
      <c r="C30" s="194" t="n">
        <v>0.0684285585585586</v>
      </c>
      <c r="D30" s="194" t="n">
        <v>0.0980980798974282</v>
      </c>
      <c r="E30" s="194" t="n">
        <v>0.135525385332221</v>
      </c>
      <c r="F30" s="194" t="n">
        <v>0.259851535152859</v>
      </c>
      <c r="G30" s="336" t="n">
        <v>0.913322123694133</v>
      </c>
      <c r="H30" s="336" t="n">
        <v>0.937900623376623</v>
      </c>
      <c r="I30" s="194" t="n">
        <v>0.0717453516675324</v>
      </c>
      <c r="J30" s="194" t="n">
        <v>0.602474190042771</v>
      </c>
      <c r="K30" s="194" t="n">
        <v>0.0391</v>
      </c>
      <c r="L30" s="194" t="n">
        <v>0.130218215726319</v>
      </c>
      <c r="M30" s="194" t="n">
        <v>0.0662723644852524</v>
      </c>
      <c r="N30" s="336" t="n">
        <v>1.50266399922757</v>
      </c>
      <c r="O30" s="336" t="n">
        <v>2.11883194108769</v>
      </c>
      <c r="P30" s="336" t="n">
        <v>13.1632952881891</v>
      </c>
      <c r="Q30" s="336" t="n">
        <v>21.9320100992467</v>
      </c>
      <c r="R30" s="336" t="n">
        <v>3.04408887908922</v>
      </c>
      <c r="S30" s="336" t="n">
        <v>182.299775130697</v>
      </c>
      <c r="T30" s="194" t="n">
        <v>0.185762929721522</v>
      </c>
      <c r="U30" s="194" t="n">
        <v>0.046978800118334</v>
      </c>
      <c r="V30" s="194" t="n">
        <v>0.077241951950663</v>
      </c>
      <c r="W30" s="194" t="n">
        <v>1.22016454875291</v>
      </c>
      <c r="X30" s="194" t="n">
        <v>0.112985546313472</v>
      </c>
      <c r="Y30" s="194" t="n">
        <v>0.202248523929675</v>
      </c>
      <c r="Z30" s="194" t="n">
        <v>0.202248523929675</v>
      </c>
    </row>
    <row r="31" customFormat="false" ht="12" hidden="false" customHeight="false" outlineLevel="0" collapsed="false">
      <c r="A31" s="0" t="s">
        <v>475</v>
      </c>
      <c r="B31" s="0" t="n">
        <v>49</v>
      </c>
      <c r="C31" s="194" t="n">
        <v>0.0964343333333333</v>
      </c>
      <c r="D31" s="194" t="n">
        <v>0.0427941543575801</v>
      </c>
      <c r="E31" s="194" t="n">
        <v>0.184348691297542</v>
      </c>
      <c r="F31" s="194" t="n">
        <v>0.305552083938848</v>
      </c>
      <c r="G31" s="336" t="n">
        <v>1.12805265396194</v>
      </c>
      <c r="H31" s="336" t="n">
        <v>1.27031697777778</v>
      </c>
      <c r="I31" s="194" t="n">
        <v>0.0886321024711111</v>
      </c>
      <c r="J31" s="194" t="n">
        <v>0.530199134554602</v>
      </c>
      <c r="K31" s="194" t="n">
        <v>0.0391</v>
      </c>
      <c r="L31" s="194" t="n">
        <v>0.229083195692274</v>
      </c>
      <c r="M31" s="194" t="n">
        <v>0.0751354134392955</v>
      </c>
      <c r="N31" s="336" t="n">
        <v>4.97404454897058</v>
      </c>
      <c r="O31" s="336" t="n">
        <v>0.694800089372751</v>
      </c>
      <c r="P31" s="336" t="n">
        <v>9.9208190726177</v>
      </c>
      <c r="Q31" s="336" t="n">
        <v>16.1133596983156</v>
      </c>
      <c r="R31" s="336" t="n">
        <v>2.07737995213785</v>
      </c>
      <c r="S31" s="336" t="n">
        <v>33.8399809244133</v>
      </c>
      <c r="T31" s="194" t="n">
        <v>0.150654267644082</v>
      </c>
      <c r="U31" s="194" t="n">
        <v>0.0161763266391751</v>
      </c>
      <c r="V31" s="194" t="n">
        <v>0.0130826727706399</v>
      </c>
      <c r="W31" s="194" t="n">
        <v>0.610523486124944</v>
      </c>
      <c r="X31" s="194" t="n">
        <v>0.0770807406282942</v>
      </c>
      <c r="Y31" s="194" t="n">
        <v>0.168944388550932</v>
      </c>
      <c r="Z31" s="194" t="n">
        <v>0.168944388550932</v>
      </c>
    </row>
    <row r="32" customFormat="false" ht="12" hidden="false" customHeight="false" outlineLevel="0" collapsed="false">
      <c r="A32" s="0" t="s">
        <v>384</v>
      </c>
      <c r="B32" s="0" t="n">
        <v>90</v>
      </c>
      <c r="C32" s="194" t="n">
        <v>0.0333486363636364</v>
      </c>
      <c r="D32" s="194" t="n">
        <v>0.207212506832155</v>
      </c>
      <c r="E32" s="194" t="n">
        <v>0.311081604483994</v>
      </c>
      <c r="F32" s="194" t="n">
        <v>0.292141089611427</v>
      </c>
      <c r="G32" s="336" t="n">
        <v>0.957166831579742</v>
      </c>
      <c r="H32" s="336" t="n">
        <v>1.1517724137931</v>
      </c>
      <c r="I32" s="194" t="n">
        <v>0.0826100386206897</v>
      </c>
      <c r="J32" s="194" t="n">
        <v>0.549369339348145</v>
      </c>
      <c r="K32" s="194" t="n">
        <v>0.0391</v>
      </c>
      <c r="L32" s="194" t="n">
        <v>0.252280949371365</v>
      </c>
      <c r="M32" s="194" t="n">
        <v>0.0692658803413764</v>
      </c>
      <c r="N32" s="336" t="n">
        <v>1.58775287713337</v>
      </c>
      <c r="O32" s="336" t="n">
        <v>2.87388583268712</v>
      </c>
      <c r="P32" s="336" t="n">
        <v>10.5843468468526</v>
      </c>
      <c r="Q32" s="336" t="n">
        <v>13.8079288326093</v>
      </c>
      <c r="R32" s="336" t="n">
        <v>3.05062313447703</v>
      </c>
      <c r="S32" s="336" t="n">
        <v>70.0656089624965</v>
      </c>
      <c r="T32" s="194" t="n">
        <v>0.105865156272312</v>
      </c>
      <c r="U32" s="194" t="n">
        <v>0.0434332902462309</v>
      </c>
      <c r="V32" s="194" t="n">
        <v>0.0427308041137037</v>
      </c>
      <c r="W32" s="194" t="n">
        <v>0.851774551198698</v>
      </c>
      <c r="X32" s="194" t="n">
        <v>0.189852786403126</v>
      </c>
      <c r="Y32" s="194" t="n">
        <v>0.298101246899855</v>
      </c>
      <c r="Z32" s="194" t="n">
        <v>0.298101246899855</v>
      </c>
    </row>
    <row r="33" customFormat="false" ht="12" hidden="false" customHeight="false" outlineLevel="0" collapsed="false">
      <c r="A33" s="0" t="s">
        <v>476</v>
      </c>
      <c r="B33" s="0" t="n">
        <v>87</v>
      </c>
      <c r="C33" s="194" t="n">
        <v>0.159196129032258</v>
      </c>
      <c r="D33" s="194" t="n">
        <v>0.125386926200469</v>
      </c>
      <c r="E33" s="194" t="n">
        <v>0.212816666567785</v>
      </c>
      <c r="F33" s="194" t="n">
        <v>0.357080206047933</v>
      </c>
      <c r="G33" s="336" t="n">
        <v>0.69977481842593</v>
      </c>
      <c r="H33" s="336" t="n">
        <v>0.876997222222222</v>
      </c>
      <c r="I33" s="194" t="n">
        <v>0.0686514588888889</v>
      </c>
      <c r="J33" s="194" t="n">
        <v>0.657367926377146</v>
      </c>
      <c r="K33" s="194" t="n">
        <v>0.0466</v>
      </c>
      <c r="L33" s="194" t="n">
        <v>0.258538469053821</v>
      </c>
      <c r="M33" s="194" t="n">
        <v>0.0600588142294543</v>
      </c>
      <c r="N33" s="336" t="n">
        <v>1.77632367184308</v>
      </c>
      <c r="O33" s="336" t="n">
        <v>2.62525368506136</v>
      </c>
      <c r="P33" s="336" t="n">
        <v>11.8332286451984</v>
      </c>
      <c r="Q33" s="336" t="n">
        <v>20.7989086891369</v>
      </c>
      <c r="R33" s="336" t="n">
        <v>4.09847227926831</v>
      </c>
      <c r="S33" s="336" t="n">
        <v>132.150993155237</v>
      </c>
      <c r="T33" s="194" t="n">
        <v>0.101281946478086</v>
      </c>
      <c r="U33" s="194" t="n">
        <v>0.0708200222026194</v>
      </c>
      <c r="V33" s="194" t="n">
        <v>0.0233583511274114</v>
      </c>
      <c r="W33" s="194" t="n">
        <v>0.284879479494404</v>
      </c>
      <c r="X33" s="194" t="n">
        <v>0.0946984449483162</v>
      </c>
      <c r="Y33" s="194" t="n">
        <v>0.71145394973292</v>
      </c>
      <c r="Z33" s="194" t="n">
        <v>0.71145394973292</v>
      </c>
    </row>
    <row r="34" customFormat="false" ht="12" hidden="false" customHeight="false" outlineLevel="0" collapsed="false">
      <c r="A34" s="0" t="s">
        <v>477</v>
      </c>
      <c r="B34" s="0" t="n">
        <v>34</v>
      </c>
      <c r="C34" s="194" t="n">
        <v>0.130771764705882</v>
      </c>
      <c r="D34" s="194" t="n">
        <v>0.045010380317422</v>
      </c>
      <c r="E34" s="194" t="n">
        <v>0.071386551883665</v>
      </c>
      <c r="F34" s="194" t="n">
        <v>0.276851777944885</v>
      </c>
      <c r="G34" s="336" t="n">
        <v>0.557370821554231</v>
      </c>
      <c r="H34" s="336" t="n">
        <v>0.744910133333333</v>
      </c>
      <c r="I34" s="194" t="n">
        <v>0.0619414347733333</v>
      </c>
      <c r="J34" s="194" t="n">
        <v>0.425679898824838</v>
      </c>
      <c r="K34" s="194" t="n">
        <v>0.0391</v>
      </c>
      <c r="L34" s="194" t="n">
        <v>0.357060025927497</v>
      </c>
      <c r="M34" s="194" t="n">
        <v>0.0504350201976421</v>
      </c>
      <c r="N34" s="336" t="n">
        <v>1.71794159267452</v>
      </c>
      <c r="O34" s="336" t="n">
        <v>1.01990347438343</v>
      </c>
      <c r="P34" s="336" t="n">
        <v>13.8182998205088</v>
      </c>
      <c r="Q34" s="336" t="n">
        <v>22.6015453329773</v>
      </c>
      <c r="R34" s="336" t="n">
        <v>2.4208634849708</v>
      </c>
      <c r="S34" s="336" t="n">
        <v>23.2768071764159</v>
      </c>
      <c r="T34" s="194" t="n">
        <v>0.102858905287156</v>
      </c>
      <c r="U34" s="194" t="n">
        <v>0.033244730517664</v>
      </c>
      <c r="V34" s="194" t="n">
        <v>0.0237773335729805</v>
      </c>
      <c r="W34" s="194" t="n">
        <v>1.06962743487736</v>
      </c>
      <c r="X34" s="194" t="n">
        <v>0.120950801571876</v>
      </c>
      <c r="Y34" s="194" t="n">
        <v>0.407519857306875</v>
      </c>
      <c r="Z34" s="194" t="n">
        <v>0.407519857306875</v>
      </c>
    </row>
    <row r="35" customFormat="false" ht="12" hidden="false" customHeight="false" outlineLevel="0" collapsed="false">
      <c r="A35" s="0" t="s">
        <v>478</v>
      </c>
      <c r="B35" s="0" t="n">
        <v>264</v>
      </c>
      <c r="C35" s="194" t="n">
        <v>0.10352006097561</v>
      </c>
      <c r="D35" s="194" t="n">
        <v>0.0738678734757218</v>
      </c>
      <c r="E35" s="194" t="n">
        <v>0.00205401008264571</v>
      </c>
      <c r="F35" s="194" t="n">
        <v>0.331055957424284</v>
      </c>
      <c r="G35" s="336" t="n">
        <v>0.0702890803257562</v>
      </c>
      <c r="H35" s="336" t="n">
        <v>0.606871768595042</v>
      </c>
      <c r="I35" s="194" t="n">
        <v>0.0549290858446281</v>
      </c>
      <c r="J35" s="194" t="n">
        <v>0.366333519326693</v>
      </c>
      <c r="K35" s="194" t="n">
        <v>0.0361</v>
      </c>
      <c r="L35" s="194" t="n">
        <v>0.911675415409368</v>
      </c>
      <c r="M35" s="194" t="n">
        <v>0.0298643153863414</v>
      </c>
      <c r="N35" s="336" t="n">
        <v>0.0345898179703818</v>
      </c>
      <c r="O35" s="336" t="n">
        <v>31.1805509920038</v>
      </c>
      <c r="P35" s="336" t="s">
        <v>453</v>
      </c>
      <c r="Q35" s="336" t="s">
        <v>453</v>
      </c>
      <c r="R35" s="336" t="n">
        <v>2.20450080062806</v>
      </c>
      <c r="S35" s="336" t="n">
        <v>31.9919344241762</v>
      </c>
      <c r="T35" s="194" t="s">
        <v>453</v>
      </c>
      <c r="U35" s="194" t="n">
        <v>0.0711813578428357</v>
      </c>
      <c r="V35" s="194" t="n">
        <v>0.11691985540902</v>
      </c>
      <c r="W35" s="194" t="n">
        <v>2.16312716402032</v>
      </c>
      <c r="X35" s="194" t="n">
        <v>-0.00286911883753923</v>
      </c>
      <c r="Y35" s="194" t="n">
        <v>0.152949599862745</v>
      </c>
      <c r="Z35" s="194" t="n">
        <v>0.152949599862745</v>
      </c>
    </row>
    <row r="36" customFormat="false" ht="12" hidden="false" customHeight="false" outlineLevel="0" collapsed="false">
      <c r="A36" s="0" t="s">
        <v>479</v>
      </c>
      <c r="B36" s="0" t="n">
        <v>87</v>
      </c>
      <c r="C36" s="194" t="n">
        <v>0.0411664285714286</v>
      </c>
      <c r="D36" s="194" t="n">
        <v>0.142113995549475</v>
      </c>
      <c r="E36" s="194" t="n">
        <v>0.197102223884028</v>
      </c>
      <c r="F36" s="194" t="n">
        <v>0.285781641336683</v>
      </c>
      <c r="G36" s="336" t="n">
        <v>0.556319017202766</v>
      </c>
      <c r="H36" s="336" t="n">
        <v>0.675765684210526</v>
      </c>
      <c r="I36" s="194" t="n">
        <v>0.0584288967578947</v>
      </c>
      <c r="J36" s="194" t="n">
        <v>0.41184292964287</v>
      </c>
      <c r="K36" s="194" t="n">
        <v>0.0391</v>
      </c>
      <c r="L36" s="194" t="n">
        <v>0.23557440845254</v>
      </c>
      <c r="M36" s="194" t="n">
        <v>0.0516648730891948</v>
      </c>
      <c r="N36" s="336" t="n">
        <v>1.63418330418687</v>
      </c>
      <c r="O36" s="336" t="n">
        <v>2.41652749155964</v>
      </c>
      <c r="P36" s="336" t="n">
        <v>13.3792133226932</v>
      </c>
      <c r="Q36" s="336" t="n">
        <v>16.915702948769</v>
      </c>
      <c r="R36" s="336" t="n">
        <v>2.87786192851076</v>
      </c>
      <c r="S36" s="336" t="n">
        <v>100.847081160843</v>
      </c>
      <c r="T36" s="194" t="n">
        <v>0.0731804211117026</v>
      </c>
      <c r="U36" s="194" t="n">
        <v>0.0367916254456552</v>
      </c>
      <c r="V36" s="194" t="n">
        <v>0.0699870145160569</v>
      </c>
      <c r="W36" s="194" t="n">
        <v>0.686499825403421</v>
      </c>
      <c r="X36" s="194" t="n">
        <v>0.115402322684954</v>
      </c>
      <c r="Y36" s="194" t="n">
        <v>0.588339308908981</v>
      </c>
      <c r="Z36" s="194" t="n">
        <v>0.588339308908981</v>
      </c>
    </row>
    <row r="37" customFormat="false" ht="12" hidden="false" customHeight="false" outlineLevel="0" collapsed="false">
      <c r="A37" s="0" t="s">
        <v>480</v>
      </c>
      <c r="B37" s="0" t="n">
        <v>15</v>
      </c>
      <c r="C37" s="194" t="n">
        <v>0.08865</v>
      </c>
      <c r="D37" s="194" t="n">
        <v>0.0297792071035561</v>
      </c>
      <c r="E37" s="194" t="n">
        <v>0.19963319917176</v>
      </c>
      <c r="F37" s="194" t="n">
        <v>0.337152793950968</v>
      </c>
      <c r="G37" s="336" t="n">
        <v>1.41475851606082</v>
      </c>
      <c r="H37" s="336" t="n">
        <v>1.78561292307692</v>
      </c>
      <c r="I37" s="194" t="n">
        <v>0.114809136492308</v>
      </c>
      <c r="J37" s="194" t="n">
        <v>0.554192874243974</v>
      </c>
      <c r="K37" s="194" t="n">
        <v>0.0391</v>
      </c>
      <c r="L37" s="194" t="n">
        <v>0.272510591738982</v>
      </c>
      <c r="M37" s="194" t="n">
        <v>0.091620355513863</v>
      </c>
      <c r="N37" s="336" t="n">
        <v>7.61014470607463</v>
      </c>
      <c r="O37" s="336" t="n">
        <v>0.529292300346702</v>
      </c>
      <c r="P37" s="336" t="n">
        <v>11.6250924499907</v>
      </c>
      <c r="Q37" s="336" t="n">
        <v>17.7572364877902</v>
      </c>
      <c r="R37" s="336" t="n">
        <v>4.99590010982858</v>
      </c>
      <c r="S37" s="336" t="n">
        <v>25.8765443799782</v>
      </c>
      <c r="T37" s="194" t="n">
        <v>0.0642304694556135</v>
      </c>
      <c r="U37" s="194" t="n">
        <v>0.0110116929036402</v>
      </c>
      <c r="V37" s="194" t="n">
        <v>0.00428730322269872</v>
      </c>
      <c r="W37" s="194" t="n">
        <v>0.352073896776925</v>
      </c>
      <c r="X37" s="194" t="n">
        <v>0.166444721301811</v>
      </c>
      <c r="Y37" s="194" t="n">
        <v>0.462207975531558</v>
      </c>
      <c r="Z37" s="194" t="n">
        <v>0.462207975531558</v>
      </c>
    </row>
    <row r="38" customFormat="false" ht="12" hidden="false" customHeight="false" outlineLevel="0" collapsed="false">
      <c r="A38" s="0" t="s">
        <v>481</v>
      </c>
      <c r="B38" s="0" t="n">
        <v>31</v>
      </c>
      <c r="C38" s="194" t="n">
        <v>0.099548</v>
      </c>
      <c r="D38" s="194" t="n">
        <v>0.0947989025593962</v>
      </c>
      <c r="E38" s="194" t="n">
        <v>0.175608664217155</v>
      </c>
      <c r="F38" s="194" t="n">
        <v>0.23323141251646</v>
      </c>
      <c r="G38" s="336" t="n">
        <v>0.673686569689768</v>
      </c>
      <c r="H38" s="336" t="n">
        <v>0.790092857142857</v>
      </c>
      <c r="I38" s="194" t="n">
        <v>0.0642367171428571</v>
      </c>
      <c r="J38" s="194" t="n">
        <v>0.512585549015999</v>
      </c>
      <c r="K38" s="194" t="n">
        <v>0.0391</v>
      </c>
      <c r="L38" s="194" t="n">
        <v>0.217916843680479</v>
      </c>
      <c r="M38" s="194" t="n">
        <v>0.0567140714214991</v>
      </c>
      <c r="N38" s="336" t="n">
        <v>2.11660707313607</v>
      </c>
      <c r="O38" s="336" t="n">
        <v>1.40952045184643</v>
      </c>
      <c r="P38" s="336" t="n">
        <v>10.3766790459605</v>
      </c>
      <c r="Q38" s="336" t="n">
        <v>14.894158715339</v>
      </c>
      <c r="R38" s="336" t="n">
        <v>2.9801264430052</v>
      </c>
      <c r="S38" s="336" t="n">
        <v>90.857391282429</v>
      </c>
      <c r="T38" s="194" t="n">
        <v>0.128708400645507</v>
      </c>
      <c r="U38" s="194" t="n">
        <v>0.0421587100064318</v>
      </c>
      <c r="V38" s="194" t="n">
        <v>0.0364399221148341</v>
      </c>
      <c r="W38" s="194" t="n">
        <v>0.598962246580056</v>
      </c>
      <c r="X38" s="194" t="n">
        <v>0.176198195587486</v>
      </c>
      <c r="Y38" s="194" t="n">
        <v>0.232696946619297</v>
      </c>
      <c r="Z38" s="194" t="n">
        <v>0.232696946619297</v>
      </c>
    </row>
    <row r="39" customFormat="false" ht="12" hidden="false" customHeight="false" outlineLevel="0" collapsed="false">
      <c r="A39" s="0" t="s">
        <v>482</v>
      </c>
      <c r="B39" s="0" t="n">
        <v>22</v>
      </c>
      <c r="C39" s="194" t="n">
        <v>-0.04735</v>
      </c>
      <c r="D39" s="194" t="n">
        <v>0.117305278077776</v>
      </c>
      <c r="E39" s="194" t="n">
        <v>0.0193642123792206</v>
      </c>
      <c r="F39" s="194" t="n">
        <v>0.180735483149835</v>
      </c>
      <c r="G39" s="336" t="n">
        <v>0.720159645067984</v>
      </c>
      <c r="H39" s="336" t="n">
        <v>1.20161653333333</v>
      </c>
      <c r="I39" s="194" t="n">
        <v>0.0851421198933333</v>
      </c>
      <c r="J39" s="194" t="n">
        <v>0.602880745829435</v>
      </c>
      <c r="K39" s="194" t="n">
        <v>0.0391</v>
      </c>
      <c r="L39" s="194" t="n">
        <v>0.495528291485365</v>
      </c>
      <c r="M39" s="194" t="n">
        <v>0.0576769093989269</v>
      </c>
      <c r="N39" s="336" t="n">
        <v>0.169166450129535</v>
      </c>
      <c r="O39" s="336" t="n">
        <v>8.40154730972197</v>
      </c>
      <c r="P39" s="336" t="n">
        <v>15.1294891103448</v>
      </c>
      <c r="Q39" s="336" t="n">
        <v>69.0910533421541</v>
      </c>
      <c r="R39" s="336" t="n">
        <v>1.20793884869023</v>
      </c>
      <c r="S39" s="336" t="n">
        <v>192.487590558022</v>
      </c>
      <c r="T39" s="194" t="n">
        <v>0.0967193342178265</v>
      </c>
      <c r="U39" s="194" t="n">
        <v>0.186749257657471</v>
      </c>
      <c r="V39" s="194" t="n">
        <v>0.130729247434108</v>
      </c>
      <c r="W39" s="194" t="n">
        <v>1.60790352014421</v>
      </c>
      <c r="X39" s="194" t="n">
        <v>0.00655911368231293</v>
      </c>
      <c r="Y39" s="194" t="n">
        <v>7.35686203624203</v>
      </c>
      <c r="Z39" s="194" t="n">
        <v>7.35686203624203</v>
      </c>
    </row>
    <row r="40" customFormat="false" ht="12" hidden="false" customHeight="false" outlineLevel="0" collapsed="false">
      <c r="A40" s="0" t="s">
        <v>483</v>
      </c>
      <c r="B40" s="0" t="n">
        <v>251</v>
      </c>
      <c r="C40" s="194" t="n">
        <v>0.105393884297521</v>
      </c>
      <c r="D40" s="194" t="n">
        <v>0.159826835305557</v>
      </c>
      <c r="E40" s="194" t="n">
        <v>0.162985020486338</v>
      </c>
      <c r="F40" s="194" t="n">
        <v>0.158358055575967</v>
      </c>
      <c r="G40" s="336" t="n">
        <v>0.885083469665914</v>
      </c>
      <c r="H40" s="336" t="n">
        <v>0.941286738738739</v>
      </c>
      <c r="I40" s="194" t="n">
        <v>0.0719173663279279</v>
      </c>
      <c r="J40" s="194" t="n">
        <v>0.669207376779639</v>
      </c>
      <c r="K40" s="194" t="n">
        <v>0.0466</v>
      </c>
      <c r="L40" s="194" t="n">
        <v>0.145906105778802</v>
      </c>
      <c r="M40" s="194" t="n">
        <v>0.0665915941114145</v>
      </c>
      <c r="N40" s="336" t="n">
        <v>1.06887967579426</v>
      </c>
      <c r="O40" s="336" t="n">
        <v>4.79258851864246</v>
      </c>
      <c r="P40" s="336" t="n">
        <v>18.9654630634689</v>
      </c>
      <c r="Q40" s="336" t="n">
        <v>30.3509647461135</v>
      </c>
      <c r="R40" s="336" t="n">
        <v>4.04410642356044</v>
      </c>
      <c r="S40" s="336" t="n">
        <v>91.798884703671</v>
      </c>
      <c r="T40" s="194" t="n">
        <v>0.229250028667445</v>
      </c>
      <c r="U40" s="194" t="n">
        <v>0.0474943638728161</v>
      </c>
      <c r="V40" s="194" t="n">
        <v>0.16309959379411</v>
      </c>
      <c r="W40" s="194" t="n">
        <v>1.30589679867961</v>
      </c>
      <c r="X40" s="194" t="n">
        <v>0.0950911545103744</v>
      </c>
      <c r="Y40" s="194" t="n">
        <v>0.369147400203224</v>
      </c>
      <c r="Z40" s="194" t="n">
        <v>0.369147400203224</v>
      </c>
    </row>
    <row r="41" customFormat="false" ht="12" hidden="false" customHeight="false" outlineLevel="0" collapsed="false">
      <c r="A41" s="0" t="s">
        <v>484</v>
      </c>
      <c r="B41" s="0" t="n">
        <v>115</v>
      </c>
      <c r="C41" s="194" t="n">
        <v>0.165454285714286</v>
      </c>
      <c r="D41" s="194" t="n">
        <v>0.046698395515906</v>
      </c>
      <c r="E41" s="194" t="n">
        <v>0.50539653975148</v>
      </c>
      <c r="F41" s="194" t="n">
        <v>0.319206409251353</v>
      </c>
      <c r="G41" s="336" t="n">
        <v>0.823820354753193</v>
      </c>
      <c r="H41" s="336" t="n">
        <v>0.897538505050505</v>
      </c>
      <c r="I41" s="194" t="n">
        <v>0.0696949560565656</v>
      </c>
      <c r="J41" s="194" t="n">
        <v>0.574425049193477</v>
      </c>
      <c r="K41" s="194" t="n">
        <v>0.0391</v>
      </c>
      <c r="L41" s="194" t="n">
        <v>0.198893328994743</v>
      </c>
      <c r="M41" s="194" t="n">
        <v>0.0617434083967408</v>
      </c>
      <c r="N41" s="336" t="n">
        <v>12.5434509828868</v>
      </c>
      <c r="O41" s="336" t="n">
        <v>0.624001875185784</v>
      </c>
      <c r="P41" s="336" t="n">
        <v>10.7197570411372</v>
      </c>
      <c r="Q41" s="336" t="n">
        <v>13.2730150384076</v>
      </c>
      <c r="R41" s="336" t="n">
        <v>3.19462190383778</v>
      </c>
      <c r="S41" s="336" t="n">
        <v>41.1896890953305</v>
      </c>
      <c r="T41" s="194" t="n">
        <v>-0.0615097629656793</v>
      </c>
      <c r="U41" s="194" t="n">
        <v>0.00699790545709069</v>
      </c>
      <c r="V41" s="194" t="n">
        <v>0.0145458089288054</v>
      </c>
      <c r="W41" s="194" t="n">
        <v>0.559665928216591</v>
      </c>
      <c r="X41" s="194" t="n">
        <v>0.17400256002326</v>
      </c>
      <c r="Y41" s="194" t="n">
        <v>0.186367727516293</v>
      </c>
      <c r="Z41" s="194" t="n">
        <v>0.186367727516293</v>
      </c>
    </row>
    <row r="42" customFormat="false" ht="12" hidden="false" customHeight="false" outlineLevel="0" collapsed="false">
      <c r="A42" s="0" t="s">
        <v>485</v>
      </c>
      <c r="B42" s="0" t="n">
        <v>112</v>
      </c>
      <c r="C42" s="194" t="n">
        <v>0.0667841176470588</v>
      </c>
      <c r="D42" s="194" t="n">
        <v>0.143397625777425</v>
      </c>
      <c r="E42" s="194" t="n">
        <v>0.157327666533836</v>
      </c>
      <c r="F42" s="194" t="n">
        <v>0.175474095771707</v>
      </c>
      <c r="G42" s="336" t="n">
        <v>0.883708012421608</v>
      </c>
      <c r="H42" s="336" t="n">
        <v>0.97915624</v>
      </c>
      <c r="I42" s="194" t="n">
        <v>0.073841136992</v>
      </c>
      <c r="J42" s="194" t="n">
        <v>0.586361224269773</v>
      </c>
      <c r="K42" s="194" t="n">
        <v>0.0391</v>
      </c>
      <c r="L42" s="194" t="n">
        <v>0.161741970029372</v>
      </c>
      <c r="M42" s="194" t="n">
        <v>0.066704250407098</v>
      </c>
      <c r="N42" s="336" t="n">
        <v>1.16376800365364</v>
      </c>
      <c r="O42" s="336" t="n">
        <v>4.94686439861497</v>
      </c>
      <c r="P42" s="336" t="n">
        <v>20.5110446758629</v>
      </c>
      <c r="Q42" s="336" t="n">
        <v>35.1535414252462</v>
      </c>
      <c r="R42" s="336" t="n">
        <v>4.04864216345312</v>
      </c>
      <c r="S42" s="336" t="n">
        <v>69.026288443748</v>
      </c>
      <c r="T42" s="194" t="n">
        <v>0.231309366700808</v>
      </c>
      <c r="U42" s="194" t="n">
        <v>0.042274508355584</v>
      </c>
      <c r="V42" s="194" t="n">
        <v>0.120938586034538</v>
      </c>
      <c r="W42" s="194" t="n">
        <v>1.21665914736452</v>
      </c>
      <c r="X42" s="194" t="n">
        <v>0.107957819417285</v>
      </c>
      <c r="Y42" s="194" t="n">
        <v>0.0931857895748079</v>
      </c>
      <c r="Z42" s="194" t="n">
        <v>0.0931857895748078</v>
      </c>
    </row>
    <row r="43" customFormat="false" ht="12" hidden="false" customHeight="false" outlineLevel="0" collapsed="false">
      <c r="A43" s="0" t="s">
        <v>486</v>
      </c>
      <c r="B43" s="0" t="n">
        <v>32</v>
      </c>
      <c r="C43" s="194" t="n">
        <v>0.229085714285714</v>
      </c>
      <c r="D43" s="194" t="n">
        <v>0.101068913001727</v>
      </c>
      <c r="E43" s="194" t="n">
        <v>0.0930819647895271</v>
      </c>
      <c r="F43" s="194" t="n">
        <v>0.336194968105453</v>
      </c>
      <c r="G43" s="336" t="n">
        <v>0.894828162669645</v>
      </c>
      <c r="H43" s="336" t="n">
        <v>1.1083664516129</v>
      </c>
      <c r="I43" s="194" t="n">
        <v>0.0804050157419355</v>
      </c>
      <c r="J43" s="194" t="n">
        <v>0.446996540282183</v>
      </c>
      <c r="K43" s="194" t="n">
        <v>0.0391</v>
      </c>
      <c r="L43" s="194" t="n">
        <v>0.283928699296018</v>
      </c>
      <c r="M43" s="194" t="n">
        <v>0.0660129494337324</v>
      </c>
      <c r="N43" s="336" t="n">
        <v>1.20957049918928</v>
      </c>
      <c r="O43" s="336" t="n">
        <v>1.48877469162884</v>
      </c>
      <c r="P43" s="336" t="n">
        <v>13.7815558272553</v>
      </c>
      <c r="Q43" s="336" t="n">
        <v>14.7200937288025</v>
      </c>
      <c r="R43" s="336" t="n">
        <v>2.06557728013833</v>
      </c>
      <c r="S43" s="336" t="n">
        <v>24.3723110039719</v>
      </c>
      <c r="T43" s="194" t="n">
        <v>0.7880478451902</v>
      </c>
      <c r="U43" s="194" t="n">
        <v>0.00528347942828997</v>
      </c>
      <c r="V43" s="194" t="n">
        <v>0.0134831115392495</v>
      </c>
      <c r="W43" s="194" t="n">
        <v>0.706814989498283</v>
      </c>
      <c r="X43" s="194" t="n">
        <v>0.124855745334933</v>
      </c>
      <c r="Y43" s="194" t="n">
        <v>0.0835543200641607</v>
      </c>
      <c r="Z43" s="194" t="n">
        <v>0.0835543200641606</v>
      </c>
    </row>
    <row r="44" customFormat="false" ht="12" hidden="false" customHeight="false" outlineLevel="0" collapsed="false">
      <c r="A44" s="0" t="s">
        <v>487</v>
      </c>
      <c r="B44" s="0" t="n">
        <v>35</v>
      </c>
      <c r="C44" s="194" t="n">
        <v>0.0818755</v>
      </c>
      <c r="D44" s="194" t="n">
        <v>0.0880876881060356</v>
      </c>
      <c r="E44" s="194" t="n">
        <v>0.118369378081978</v>
      </c>
      <c r="F44" s="194" t="n">
        <v>0.31059732799449</v>
      </c>
      <c r="G44" s="336" t="n">
        <v>0.51228544462775</v>
      </c>
      <c r="H44" s="336" t="n">
        <v>1.1785352</v>
      </c>
      <c r="I44" s="194" t="n">
        <v>0.08396958816</v>
      </c>
      <c r="J44" s="194" t="n">
        <v>0.60628194314051</v>
      </c>
      <c r="K44" s="194" t="n">
        <v>0.0391</v>
      </c>
      <c r="L44" s="194" t="n">
        <v>0.638353821207201</v>
      </c>
      <c r="M44" s="194" t="n">
        <v>0.0493366028438622</v>
      </c>
      <c r="N44" s="336" t="n">
        <v>1.50260574412209</v>
      </c>
      <c r="O44" s="336" t="n">
        <v>1.32367851634799</v>
      </c>
      <c r="P44" s="336" t="n">
        <v>8.23761815582044</v>
      </c>
      <c r="Q44" s="336" t="n">
        <v>14.9735074131999</v>
      </c>
      <c r="R44" s="336" t="n">
        <v>3.8179599622551</v>
      </c>
      <c r="S44" s="336" t="n">
        <v>19.7725622331084</v>
      </c>
      <c r="T44" s="194" t="n">
        <v>0.123274294590409</v>
      </c>
      <c r="U44" s="194" t="n">
        <v>0.051007628163262</v>
      </c>
      <c r="V44" s="194" t="n">
        <v>0.0256387418882515</v>
      </c>
      <c r="W44" s="194" t="n">
        <v>1.10412969665098</v>
      </c>
      <c r="X44" s="194" t="n">
        <v>0.0821090990523305</v>
      </c>
      <c r="Y44" s="194" t="n">
        <v>0.241406412710377</v>
      </c>
      <c r="Z44" s="194" t="n">
        <v>0.241406412710377</v>
      </c>
    </row>
    <row r="45" customFormat="false" ht="12" hidden="false" customHeight="false" outlineLevel="0" collapsed="false">
      <c r="A45" s="0" t="s">
        <v>488</v>
      </c>
      <c r="B45" s="0" t="n">
        <v>70</v>
      </c>
      <c r="C45" s="194" t="n">
        <v>0.0786019512195122</v>
      </c>
      <c r="D45" s="194" t="n">
        <v>0.19589530672059</v>
      </c>
      <c r="E45" s="194" t="n">
        <v>0.11330146432957</v>
      </c>
      <c r="F45" s="194" t="n">
        <v>0.203032319225864</v>
      </c>
      <c r="G45" s="336" t="n">
        <v>0.744159462328692</v>
      </c>
      <c r="H45" s="336" t="n">
        <v>0.938652774193548</v>
      </c>
      <c r="I45" s="194" t="n">
        <v>0.0717835609290323</v>
      </c>
      <c r="J45" s="194" t="n">
        <v>0.455138317974845</v>
      </c>
      <c r="K45" s="194" t="n">
        <v>0.0391</v>
      </c>
      <c r="L45" s="194" t="n">
        <v>0.285236662682453</v>
      </c>
      <c r="M45" s="194" t="n">
        <v>0.0597843502424444</v>
      </c>
      <c r="N45" s="336" t="n">
        <v>0.672616913175947</v>
      </c>
      <c r="O45" s="336" t="n">
        <v>4.15311139316266</v>
      </c>
      <c r="P45" s="336" t="n">
        <v>13.3659073228702</v>
      </c>
      <c r="Q45" s="336" t="n">
        <v>21.0999321220985</v>
      </c>
      <c r="R45" s="336" t="n">
        <v>4.51023964788889</v>
      </c>
      <c r="S45" s="336" t="n">
        <v>54.5614632214354</v>
      </c>
      <c r="T45" s="194" t="n">
        <v>-0.0144680399779017</v>
      </c>
      <c r="U45" s="194" t="n">
        <v>0.0850596919475476</v>
      </c>
      <c r="V45" s="194" t="n">
        <v>0.014294660295493</v>
      </c>
      <c r="W45" s="194" t="n">
        <v>0.0941229500105039</v>
      </c>
      <c r="X45" s="194" t="n">
        <v>0.129425580493026</v>
      </c>
      <c r="Y45" s="194" t="n">
        <v>0.630637269968177</v>
      </c>
      <c r="Z45" s="194" t="n">
        <v>0.630637269968177</v>
      </c>
    </row>
    <row r="46" customFormat="false" ht="12" hidden="false" customHeight="false" outlineLevel="0" collapsed="false">
      <c r="A46" s="0" t="s">
        <v>489</v>
      </c>
      <c r="B46" s="0" t="n">
        <v>131</v>
      </c>
      <c r="C46" s="194" t="n">
        <v>0.0734110909090909</v>
      </c>
      <c r="D46" s="194" t="n">
        <v>0.182982930396166</v>
      </c>
      <c r="E46" s="194" t="n">
        <v>0.295179005962217</v>
      </c>
      <c r="F46" s="194" t="n">
        <v>0.254717923003652</v>
      </c>
      <c r="G46" s="336" t="n">
        <v>0.879269332877341</v>
      </c>
      <c r="H46" s="336" t="n">
        <v>0.996213</v>
      </c>
      <c r="I46" s="194" t="n">
        <v>0.0747076204</v>
      </c>
      <c r="J46" s="194" t="n">
        <v>0.562969153703115</v>
      </c>
      <c r="K46" s="194" t="n">
        <v>0.0391</v>
      </c>
      <c r="L46" s="194" t="n">
        <v>0.173744466789436</v>
      </c>
      <c r="M46" s="194" t="n">
        <v>0.0668905753036093</v>
      </c>
      <c r="N46" s="336" t="n">
        <v>1.74079395707154</v>
      </c>
      <c r="O46" s="336" t="n">
        <v>3.29871690792144</v>
      </c>
      <c r="P46" s="336" t="n">
        <v>14.1884021989889</v>
      </c>
      <c r="Q46" s="336" t="n">
        <v>18.0388637577552</v>
      </c>
      <c r="R46" s="336" t="n">
        <v>5.09454348491075</v>
      </c>
      <c r="S46" s="336" t="n">
        <v>48.5898750321124</v>
      </c>
      <c r="T46" s="194" t="n">
        <v>0.104647593580767</v>
      </c>
      <c r="U46" s="194" t="n">
        <v>0.0442143973591117</v>
      </c>
      <c r="V46" s="194" t="n">
        <v>0.0373660985432182</v>
      </c>
      <c r="W46" s="194" t="n">
        <v>0.280802668763701</v>
      </c>
      <c r="X46" s="194" t="n">
        <v>0.292537304062632</v>
      </c>
      <c r="Y46" s="194" t="n">
        <v>0.496150498485168</v>
      </c>
      <c r="Z46" s="194" t="n">
        <v>0.496150498485168</v>
      </c>
    </row>
    <row r="47" customFormat="false" ht="12" hidden="false" customHeight="false" outlineLevel="0" collapsed="false">
      <c r="A47" s="0" t="s">
        <v>490</v>
      </c>
      <c r="B47" s="0" t="n">
        <v>61</v>
      </c>
      <c r="C47" s="194" t="n">
        <v>0.0693838461538462</v>
      </c>
      <c r="D47" s="194" t="n">
        <v>0.254030755648601</v>
      </c>
      <c r="E47" s="194" t="n">
        <v>0.335109391627548</v>
      </c>
      <c r="F47" s="194" t="n">
        <v>0.325552673950308</v>
      </c>
      <c r="G47" s="336" t="n">
        <v>0.82102604136195</v>
      </c>
      <c r="H47" s="336" t="n">
        <v>0.881602962962963</v>
      </c>
      <c r="I47" s="194" t="n">
        <v>0.0688854305185185</v>
      </c>
      <c r="J47" s="194" t="n">
        <v>0.413486233848825</v>
      </c>
      <c r="K47" s="194" t="n">
        <v>0.0391</v>
      </c>
      <c r="L47" s="194" t="n">
        <v>0.135754745174385</v>
      </c>
      <c r="M47" s="194" t="n">
        <v>0.0635679944598512</v>
      </c>
      <c r="N47" s="336" t="n">
        <v>1.56761795895463</v>
      </c>
      <c r="O47" s="336" t="n">
        <v>6.03304124612103</v>
      </c>
      <c r="P47" s="336" t="n">
        <v>18.7410709584691</v>
      </c>
      <c r="Q47" s="336" t="n">
        <v>23.4571313186505</v>
      </c>
      <c r="R47" s="336" t="n">
        <v>7.6315684355658</v>
      </c>
      <c r="S47" s="336" t="n">
        <v>34.3053307486716</v>
      </c>
      <c r="T47" s="194" t="n">
        <v>-0.051458973028758</v>
      </c>
      <c r="U47" s="194" t="n">
        <v>0.0326616346001705</v>
      </c>
      <c r="V47" s="194" t="n">
        <v>0.0110759984922629</v>
      </c>
      <c r="W47" s="194" t="n">
        <v>0.135696324758673</v>
      </c>
      <c r="X47" s="194" t="n">
        <v>0.209091245740962</v>
      </c>
      <c r="Y47" s="194" t="n">
        <v>0.272572695312607</v>
      </c>
      <c r="Z47" s="194" t="n">
        <v>0.272572695312607</v>
      </c>
    </row>
    <row r="48" customFormat="false" ht="12" hidden="false" customHeight="false" outlineLevel="0" collapsed="false">
      <c r="A48" s="0" t="s">
        <v>491</v>
      </c>
      <c r="B48" s="0" t="n">
        <v>21</v>
      </c>
      <c r="C48" s="194" t="n">
        <v>0.0496747058823529</v>
      </c>
      <c r="D48" s="194" t="n">
        <v>0.0510620596467537</v>
      </c>
      <c r="E48" s="194" t="n">
        <v>0.0282352112251783</v>
      </c>
      <c r="F48" s="194" t="n">
        <v>0.21017994638129</v>
      </c>
      <c r="G48" s="336" t="n">
        <v>0.631617860134108</v>
      </c>
      <c r="H48" s="336" t="n">
        <v>0.783854857142857</v>
      </c>
      <c r="I48" s="194" t="n">
        <v>0.0639198267428571</v>
      </c>
      <c r="J48" s="194" t="n">
        <v>0.37213973394262</v>
      </c>
      <c r="K48" s="194" t="n">
        <v>0.0361</v>
      </c>
      <c r="L48" s="194" t="n">
        <v>0.277973574021985</v>
      </c>
      <c r="M48" s="194" t="n">
        <v>0.0537782870291463</v>
      </c>
      <c r="N48" s="336" t="n">
        <v>0.648350635757128</v>
      </c>
      <c r="O48" s="336" t="n">
        <v>1.83507174989756</v>
      </c>
      <c r="P48" s="336" t="n">
        <v>16.4442399258161</v>
      </c>
      <c r="Q48" s="336" t="n">
        <v>35.8787887079009</v>
      </c>
      <c r="R48" s="336" t="n">
        <v>1.1946739213702</v>
      </c>
      <c r="S48" s="336" t="n">
        <v>22.1550248747348</v>
      </c>
      <c r="T48" s="194" t="n">
        <v>-0.168038224995284</v>
      </c>
      <c r="U48" s="194" t="n">
        <v>0.0146245537609828</v>
      </c>
      <c r="V48" s="194" t="n">
        <v>-0.011072805559717</v>
      </c>
      <c r="W48" s="194" t="n">
        <v>0.192820660327587</v>
      </c>
      <c r="X48" s="194" t="n">
        <v>0.0196663737180865</v>
      </c>
      <c r="Y48" s="194" t="n">
        <v>1.01148571294462</v>
      </c>
      <c r="Z48" s="194" t="n">
        <v>1.01148571294462</v>
      </c>
    </row>
    <row r="49" customFormat="false" ht="12" hidden="false" customHeight="false" outlineLevel="0" collapsed="false">
      <c r="A49" s="0" t="s">
        <v>492</v>
      </c>
      <c r="B49" s="0" t="n">
        <v>25</v>
      </c>
      <c r="C49" s="194" t="n">
        <v>0.012959</v>
      </c>
      <c r="D49" s="194" t="n">
        <v>0.0820545985066211</v>
      </c>
      <c r="E49" s="194" t="n">
        <v>0.0440037082256447</v>
      </c>
      <c r="F49" s="194" t="n">
        <v>0.264473160928096</v>
      </c>
      <c r="G49" s="336" t="n">
        <v>0.805194979294014</v>
      </c>
      <c r="H49" s="336" t="n">
        <v>1.00766218181818</v>
      </c>
      <c r="I49" s="194" t="n">
        <v>0.0752892388363636</v>
      </c>
      <c r="J49" s="194" t="n">
        <v>0.373358194713087</v>
      </c>
      <c r="K49" s="194" t="n">
        <v>0.0361</v>
      </c>
      <c r="L49" s="194" t="n">
        <v>0.363280675125631</v>
      </c>
      <c r="M49" s="194" t="n">
        <v>0.0579050819249414</v>
      </c>
      <c r="N49" s="336" t="n">
        <v>0.63331534456291</v>
      </c>
      <c r="O49" s="336" t="n">
        <v>1.44805314986856</v>
      </c>
      <c r="P49" s="336" t="n">
        <v>8.37378074913599</v>
      </c>
      <c r="Q49" s="336" t="n">
        <v>11.3651936918019</v>
      </c>
      <c r="R49" s="336" t="n">
        <v>1.03623986721727</v>
      </c>
      <c r="S49" s="336" t="n">
        <v>18.1689265492491</v>
      </c>
      <c r="T49" s="194" t="n">
        <v>0.056473240074715</v>
      </c>
      <c r="U49" s="194" t="n">
        <v>0.00180618178953058</v>
      </c>
      <c r="V49" s="194" t="n">
        <v>-0.00277990938289685</v>
      </c>
      <c r="W49" s="194" t="n">
        <v>0.164669245979293</v>
      </c>
      <c r="X49" s="194" t="n">
        <v>0.0417169234783686</v>
      </c>
      <c r="Y49" s="194" t="n">
        <v>0.657749010121964</v>
      </c>
      <c r="Z49" s="194" t="n">
        <v>0.657749010121964</v>
      </c>
    </row>
    <row r="50" customFormat="false" ht="12" hidden="false" customHeight="false" outlineLevel="0" collapsed="false">
      <c r="A50" s="0" t="s">
        <v>493</v>
      </c>
      <c r="B50" s="0" t="n">
        <v>50</v>
      </c>
      <c r="C50" s="194" t="n">
        <v>0.0681668292682927</v>
      </c>
      <c r="D50" s="194" t="n">
        <v>0.0929647642442626</v>
      </c>
      <c r="E50" s="194" t="n">
        <v>0.083214580175757</v>
      </c>
      <c r="F50" s="194" t="n">
        <v>0.282906933812975</v>
      </c>
      <c r="G50" s="336" t="n">
        <v>0.727742990078496</v>
      </c>
      <c r="H50" s="336" t="n">
        <v>0.838400333333333</v>
      </c>
      <c r="I50" s="194" t="n">
        <v>0.0666907369333333</v>
      </c>
      <c r="J50" s="194" t="n">
        <v>0.346527993385819</v>
      </c>
      <c r="K50" s="194" t="n">
        <v>0.0361</v>
      </c>
      <c r="L50" s="194" t="n">
        <v>0.209025033701705</v>
      </c>
      <c r="M50" s="194" t="n">
        <v>0.0584855142228918</v>
      </c>
      <c r="N50" s="336" t="n">
        <v>1.09833360870564</v>
      </c>
      <c r="O50" s="336" t="n">
        <v>1.52153928843915</v>
      </c>
      <c r="P50" s="336" t="n">
        <v>11.9130789986806</v>
      </c>
      <c r="Q50" s="336" t="n">
        <v>15.3559443097988</v>
      </c>
      <c r="R50" s="336" t="n">
        <v>1.69810793546393</v>
      </c>
      <c r="S50" s="336" t="n">
        <v>49.6877403576868</v>
      </c>
      <c r="T50" s="194" t="n">
        <v>-0.366662277982396</v>
      </c>
      <c r="U50" s="194" t="n">
        <v>0.00860983163798012</v>
      </c>
      <c r="V50" s="194" t="n">
        <v>0.00572211097504697</v>
      </c>
      <c r="W50" s="194" t="n">
        <v>0.163657151855307</v>
      </c>
      <c r="X50" s="194" t="n">
        <v>0.0728969816039987</v>
      </c>
      <c r="Y50" s="194" t="n">
        <v>0.426481343558619</v>
      </c>
      <c r="Z50" s="194" t="n">
        <v>0.426481343558619</v>
      </c>
    </row>
    <row r="51" customFormat="false" ht="12" hidden="false" customHeight="false" outlineLevel="0" collapsed="false">
      <c r="A51" s="0" t="s">
        <v>494</v>
      </c>
      <c r="B51" s="0" t="n">
        <v>165</v>
      </c>
      <c r="C51" s="194" t="n">
        <v>0.0786063157894737</v>
      </c>
      <c r="D51" s="194" t="n">
        <v>0.199791152834473</v>
      </c>
      <c r="E51" s="194" t="n">
        <v>0.0988798933868994</v>
      </c>
      <c r="F51" s="194" t="n">
        <v>0.242096123342023</v>
      </c>
      <c r="G51" s="336" t="n">
        <v>0.866909376521179</v>
      </c>
      <c r="H51" s="336" t="n">
        <v>0.987428826446282</v>
      </c>
      <c r="I51" s="194" t="n">
        <v>0.0742613843834711</v>
      </c>
      <c r="J51" s="194" t="n">
        <v>0.409960931586872</v>
      </c>
      <c r="K51" s="194" t="n">
        <v>0.0391</v>
      </c>
      <c r="L51" s="194" t="n">
        <v>0.296166942037607</v>
      </c>
      <c r="M51" s="194" t="n">
        <v>0.0610685141087287</v>
      </c>
      <c r="N51" s="336" t="n">
        <v>0.539630565038406</v>
      </c>
      <c r="O51" s="336" t="n">
        <v>4.96379619380647</v>
      </c>
      <c r="P51" s="336" t="n">
        <v>21.4186898028753</v>
      </c>
      <c r="Q51" s="336" t="n">
        <v>24.3141615826433</v>
      </c>
      <c r="R51" s="336" t="n">
        <v>2.1193804863415</v>
      </c>
      <c r="S51" s="336" t="n">
        <v>158.405922112251</v>
      </c>
      <c r="T51" s="194" t="s">
        <v>453</v>
      </c>
      <c r="U51" s="194" t="n">
        <v>0.031099147898092</v>
      </c>
      <c r="V51" s="194" t="n">
        <v>0.0357390119647672</v>
      </c>
      <c r="W51" s="194" t="n">
        <v>0.369015687493347</v>
      </c>
      <c r="X51" s="194" t="n">
        <v>0.13754420079182</v>
      </c>
      <c r="Y51" s="194" t="n">
        <v>0.363254541317616</v>
      </c>
      <c r="Z51" s="194" t="n">
        <v>0.363254541317616</v>
      </c>
    </row>
    <row r="52" customFormat="false" ht="12" hidden="false" customHeight="false" outlineLevel="0" collapsed="false">
      <c r="A52" s="0" t="s">
        <v>495</v>
      </c>
      <c r="B52" s="0" t="n">
        <v>126</v>
      </c>
      <c r="C52" s="194" t="n">
        <v>0.0184094936708861</v>
      </c>
      <c r="D52" s="194" t="n">
        <v>0.136818168574213</v>
      </c>
      <c r="E52" s="194" t="n">
        <v>0.258881434657464</v>
      </c>
      <c r="F52" s="194" t="n">
        <v>0.261613608587927</v>
      </c>
      <c r="G52" s="336" t="n">
        <v>1.03768083877462</v>
      </c>
      <c r="H52" s="336" t="n">
        <v>1.14932112149533</v>
      </c>
      <c r="I52" s="194" t="n">
        <v>0.0824855129719626</v>
      </c>
      <c r="J52" s="194" t="n">
        <v>0.431709600582265</v>
      </c>
      <c r="K52" s="194" t="n">
        <v>0.0391</v>
      </c>
      <c r="L52" s="194" t="n">
        <v>0.164897040038357</v>
      </c>
      <c r="M52" s="194" t="n">
        <v>0.0737839764786203</v>
      </c>
      <c r="N52" s="336" t="n">
        <v>2.19946669264958</v>
      </c>
      <c r="O52" s="336" t="n">
        <v>2.65431832345854</v>
      </c>
      <c r="P52" s="336" t="n">
        <v>14.8484000699111</v>
      </c>
      <c r="Q52" s="336" t="n">
        <v>19.489631726403</v>
      </c>
      <c r="R52" s="336" t="n">
        <v>4.49452965532568</v>
      </c>
      <c r="S52" s="336" t="n">
        <v>32.7433458071992</v>
      </c>
      <c r="T52" s="194" t="n">
        <v>0.229837390519135</v>
      </c>
      <c r="U52" s="194" t="n">
        <v>0.0267380898254109</v>
      </c>
      <c r="V52" s="194" t="n">
        <v>0.103788213598229</v>
      </c>
      <c r="W52" s="194" t="n">
        <v>1.12475580445293</v>
      </c>
      <c r="X52" s="194" t="n">
        <v>0.190825470115317</v>
      </c>
      <c r="Y52" s="194" t="n">
        <v>0.300983435983636</v>
      </c>
      <c r="Z52" s="194" t="n">
        <v>0.300983435983636</v>
      </c>
    </row>
    <row r="53" customFormat="false" ht="12" hidden="false" customHeight="false" outlineLevel="0" collapsed="false">
      <c r="A53" s="0" t="s">
        <v>496</v>
      </c>
      <c r="B53" s="0" t="n">
        <v>102</v>
      </c>
      <c r="C53" s="194" t="n">
        <v>0.147218461538462</v>
      </c>
      <c r="D53" s="194" t="n">
        <v>0.1792990168175</v>
      </c>
      <c r="E53" s="194" t="n">
        <v>0.143449296519343</v>
      </c>
      <c r="F53" s="194" t="n">
        <v>0.423045891611614</v>
      </c>
      <c r="G53" s="336" t="n">
        <v>0.960162184238802</v>
      </c>
      <c r="H53" s="336" t="n">
        <v>1.10320912941176</v>
      </c>
      <c r="I53" s="194" t="n">
        <v>0.0801430237741176</v>
      </c>
      <c r="J53" s="194" t="n">
        <v>0.823280798865946</v>
      </c>
      <c r="K53" s="194" t="n">
        <v>0.0691</v>
      </c>
      <c r="L53" s="194" t="n">
        <v>0.233949491854553</v>
      </c>
      <c r="M53" s="194" t="n">
        <v>0.0736796956007091</v>
      </c>
      <c r="N53" s="336" t="n">
        <v>0.813572459449634</v>
      </c>
      <c r="O53" s="336" t="n">
        <v>2.53900623337923</v>
      </c>
      <c r="P53" s="336" t="n">
        <v>8.81437001919979</v>
      </c>
      <c r="Q53" s="336" t="n">
        <v>13.938116771681</v>
      </c>
      <c r="R53" s="336" t="n">
        <v>2.93292233754553</v>
      </c>
      <c r="S53" s="336" t="n">
        <v>52.109037519254</v>
      </c>
      <c r="T53" s="194" t="n">
        <v>0.153008387254768</v>
      </c>
      <c r="U53" s="194" t="n">
        <v>0.0811388752523256</v>
      </c>
      <c r="V53" s="194" t="n">
        <v>-0.00108980635771316</v>
      </c>
      <c r="W53" s="194" t="n">
        <v>0.258754044653984</v>
      </c>
      <c r="X53" s="194" t="n">
        <v>0.107778637482763</v>
      </c>
      <c r="Y53" s="194" t="n">
        <v>0.185721702141912</v>
      </c>
      <c r="Z53" s="194" t="n">
        <v>0.185721702141912</v>
      </c>
    </row>
    <row r="54" customFormat="false" ht="12" hidden="false" customHeight="false" outlineLevel="0" collapsed="false">
      <c r="A54" s="0" t="s">
        <v>497</v>
      </c>
      <c r="B54" s="0" t="n">
        <v>24</v>
      </c>
      <c r="C54" s="194" t="n">
        <v>0.0426413333333333</v>
      </c>
      <c r="D54" s="194" t="n">
        <v>0.0859602574120844</v>
      </c>
      <c r="E54" s="194" t="n">
        <v>0.177159750419302</v>
      </c>
      <c r="F54" s="194" t="n">
        <v>0.346636786079162</v>
      </c>
      <c r="G54" s="336" t="n">
        <v>1.09841434385381</v>
      </c>
      <c r="H54" s="336" t="n">
        <v>1.3734419047619</v>
      </c>
      <c r="I54" s="194" t="n">
        <v>0.0938708487619048</v>
      </c>
      <c r="J54" s="194" t="n">
        <v>0.496588287462273</v>
      </c>
      <c r="K54" s="194" t="n">
        <v>0.0391</v>
      </c>
      <c r="L54" s="194" t="n">
        <v>0.340575756118116</v>
      </c>
      <c r="M54" s="194" t="n">
        <v>0.0720212626361757</v>
      </c>
      <c r="N54" s="336" t="n">
        <v>2.52247660140776</v>
      </c>
      <c r="O54" s="336" t="n">
        <v>1.02158063680303</v>
      </c>
      <c r="P54" s="336" t="n">
        <v>8.37039790559732</v>
      </c>
      <c r="Q54" s="336" t="n">
        <v>11.9300646512148</v>
      </c>
      <c r="R54" s="336" t="n">
        <v>3.12350048730255</v>
      </c>
      <c r="S54" s="336" t="n">
        <v>35.3762664412015</v>
      </c>
      <c r="T54" s="194" t="n">
        <v>0.0821307015180492</v>
      </c>
      <c r="U54" s="194" t="n">
        <v>0.0289144866149314</v>
      </c>
      <c r="V54" s="194" t="n">
        <v>0.0310443489437258</v>
      </c>
      <c r="W54" s="194" t="n">
        <v>0.406612087744731</v>
      </c>
      <c r="X54" s="194" t="n">
        <v>0.0870169809710726</v>
      </c>
      <c r="Y54" s="194" t="n">
        <v>0.823602209164581</v>
      </c>
      <c r="Z54" s="194" t="n">
        <v>0.823602209164581</v>
      </c>
    </row>
    <row r="55" customFormat="false" ht="12" hidden="false" customHeight="false" outlineLevel="0" collapsed="false">
      <c r="A55" s="0" t="s">
        <v>498</v>
      </c>
      <c r="B55" s="0" t="n">
        <v>5</v>
      </c>
      <c r="C55" s="194" t="n">
        <v>-0.123333333333333</v>
      </c>
      <c r="D55" s="194" t="n">
        <v>0.0292833773719948</v>
      </c>
      <c r="E55" s="194" t="n">
        <v>0.0215142702491454</v>
      </c>
      <c r="F55" s="194" t="n">
        <v>0.182197165204272</v>
      </c>
      <c r="G55" s="336" t="n">
        <v>1.25076403539539</v>
      </c>
      <c r="H55" s="336" t="n">
        <v>1.3724</v>
      </c>
      <c r="I55" s="194" t="n">
        <v>0.09381792</v>
      </c>
      <c r="J55" s="194" t="n">
        <v>0.202129206549148</v>
      </c>
      <c r="K55" s="194" t="n">
        <v>0.0311</v>
      </c>
      <c r="L55" s="194" t="n">
        <v>0.132645546033605</v>
      </c>
      <c r="M55" s="194" t="n">
        <v>0.0845086008999132</v>
      </c>
      <c r="N55" s="336" t="n">
        <v>0.825462415997881</v>
      </c>
      <c r="O55" s="336" t="n">
        <v>2.06617842987861</v>
      </c>
      <c r="P55" s="336" t="n">
        <v>12.9464990180696</v>
      </c>
      <c r="Q55" s="336" t="n">
        <v>70.3554118736585</v>
      </c>
      <c r="R55" s="336" t="n">
        <v>1.81269556820151</v>
      </c>
      <c r="S55" s="336" t="n">
        <v>55.9425019422961</v>
      </c>
      <c r="T55" s="194" t="n">
        <v>0.0421465416672523</v>
      </c>
      <c r="U55" s="194" t="n">
        <v>0.0980870591873164</v>
      </c>
      <c r="V55" s="194" t="n">
        <v>-0.0277959717205223</v>
      </c>
      <c r="W55" s="194" t="n">
        <v>-0.92813229702282</v>
      </c>
      <c r="X55" s="194" t="n">
        <v>0.059026827164528</v>
      </c>
      <c r="Y55" s="194" t="n">
        <v>1.16213655179293</v>
      </c>
      <c r="Z55" s="194" t="n">
        <v>1.16213655179293</v>
      </c>
    </row>
    <row r="56" customFormat="false" ht="12" hidden="false" customHeight="false" outlineLevel="0" collapsed="false">
      <c r="A56" s="0" t="s">
        <v>499</v>
      </c>
      <c r="B56" s="0" t="n">
        <v>311</v>
      </c>
      <c r="C56" s="194" t="n">
        <v>-0.0171941935483871</v>
      </c>
      <c r="D56" s="194" t="n">
        <v>0.00232908245628931</v>
      </c>
      <c r="E56" s="194" t="n">
        <v>0.000861356250515143</v>
      </c>
      <c r="F56" s="194" t="n">
        <v>0.0516128110087345</v>
      </c>
      <c r="G56" s="336" t="n">
        <v>1.00369011481321</v>
      </c>
      <c r="H56" s="336" t="n">
        <v>1.25873201498127</v>
      </c>
      <c r="I56" s="194" t="n">
        <v>0.0880435863610487</v>
      </c>
      <c r="J56" s="194" t="n">
        <v>0.788825354292221</v>
      </c>
      <c r="K56" s="194" t="n">
        <v>0.0691</v>
      </c>
      <c r="L56" s="194" t="n">
        <v>0.295333027437911</v>
      </c>
      <c r="M56" s="194" t="n">
        <v>0.0775511167234784</v>
      </c>
      <c r="N56" s="336" t="n">
        <v>0.379021246972491</v>
      </c>
      <c r="O56" s="336" t="n">
        <v>4.32866101536691</v>
      </c>
      <c r="P56" s="336" t="n">
        <v>10.5550401837169</v>
      </c>
      <c r="Q56" s="336" t="s">
        <v>453</v>
      </c>
      <c r="R56" s="336" t="n">
        <v>1.93378174459842</v>
      </c>
      <c r="S56" s="336" t="n">
        <v>126.145083170466</v>
      </c>
      <c r="T56" s="194" t="n">
        <v>-0.0175149956779599</v>
      </c>
      <c r="U56" s="194" t="n">
        <v>0.539683859349981</v>
      </c>
      <c r="V56" s="194" t="n">
        <v>0.220339279002768</v>
      </c>
      <c r="W56" s="194" t="s">
        <v>453</v>
      </c>
      <c r="X56" s="194" t="n">
        <v>-0.0486653608154722</v>
      </c>
      <c r="Y56" s="194" t="n">
        <v>0.00826984536441814</v>
      </c>
      <c r="Z56" s="194" t="n">
        <v>0.00826984536441811</v>
      </c>
    </row>
    <row r="57" customFormat="false" ht="12" hidden="false" customHeight="false" outlineLevel="0" collapsed="false">
      <c r="A57" s="0" t="s">
        <v>500</v>
      </c>
      <c r="B57" s="0" t="n">
        <v>16</v>
      </c>
      <c r="C57" s="194" t="n">
        <v>0.138885</v>
      </c>
      <c r="D57" s="194" t="n">
        <v>0.177962262176292</v>
      </c>
      <c r="E57" s="194" t="n">
        <v>0.0612840122685379</v>
      </c>
      <c r="F57" s="194" t="n">
        <v>0.257780611975565</v>
      </c>
      <c r="G57" s="336" t="n">
        <v>0.716467562685167</v>
      </c>
      <c r="H57" s="336" t="n">
        <v>1.2064832</v>
      </c>
      <c r="I57" s="194" t="n">
        <v>0.08538934656</v>
      </c>
      <c r="J57" s="194" t="n">
        <v>0.62786694689603</v>
      </c>
      <c r="K57" s="194" t="n">
        <v>0.0391</v>
      </c>
      <c r="L57" s="194" t="n">
        <v>0.483010444784997</v>
      </c>
      <c r="M57" s="194" t="n">
        <v>0.0584985386753851</v>
      </c>
      <c r="N57" s="336" t="n">
        <v>0.361869629692623</v>
      </c>
      <c r="O57" s="336" t="n">
        <v>4.51966568564992</v>
      </c>
      <c r="P57" s="336" t="n">
        <v>14.5774352774192</v>
      </c>
      <c r="Q57" s="336" t="n">
        <v>25.295507661193</v>
      </c>
      <c r="R57" s="336" t="n">
        <v>1.62729696626359</v>
      </c>
      <c r="S57" s="336" t="n">
        <v>43.873605631437</v>
      </c>
      <c r="T57" s="194" t="n">
        <v>0.0423896069286036</v>
      </c>
      <c r="U57" s="194" t="n">
        <v>0.235577191298731</v>
      </c>
      <c r="V57" s="194" t="n">
        <v>0.129797059228867</v>
      </c>
      <c r="W57" s="194" t="n">
        <v>0.98647691753934</v>
      </c>
      <c r="X57" s="194" t="n">
        <v>0.0197244659385208</v>
      </c>
      <c r="Y57" s="194" t="n">
        <v>3.10268522566673</v>
      </c>
      <c r="Z57" s="194" t="n">
        <v>3.10268522566673</v>
      </c>
    </row>
    <row r="58" customFormat="false" ht="12" hidden="false" customHeight="false" outlineLevel="0" collapsed="false">
      <c r="A58" s="0" t="s">
        <v>501</v>
      </c>
      <c r="B58" s="0" t="n">
        <v>130</v>
      </c>
      <c r="C58" s="194" t="n">
        <v>-0.049305</v>
      </c>
      <c r="D58" s="194" t="n">
        <v>0.0319944847758704</v>
      </c>
      <c r="E58" s="194" t="n">
        <v>0.0641610710374344</v>
      </c>
      <c r="F58" s="194" t="n">
        <v>0.294029996066247</v>
      </c>
      <c r="G58" s="336" t="n">
        <v>1.05589831295976</v>
      </c>
      <c r="H58" s="336" t="n">
        <v>1.22720594285714</v>
      </c>
      <c r="I58" s="194" t="n">
        <v>0.0864420618971429</v>
      </c>
      <c r="J58" s="194" t="n">
        <v>0.732863916295315</v>
      </c>
      <c r="K58" s="194" t="n">
        <v>0.0466</v>
      </c>
      <c r="L58" s="194" t="n">
        <v>0.236520259643709</v>
      </c>
      <c r="M58" s="194" t="n">
        <v>0.0743733644886346</v>
      </c>
      <c r="N58" s="336" t="n">
        <v>2.11802780484066</v>
      </c>
      <c r="O58" s="336" t="n">
        <v>1.01508339049219</v>
      </c>
      <c r="P58" s="336" t="n">
        <v>12.1458566720392</v>
      </c>
      <c r="Q58" s="336" t="n">
        <v>30.032057187157</v>
      </c>
      <c r="R58" s="336" t="n">
        <v>1.63649661480414</v>
      </c>
      <c r="S58" s="336" t="n">
        <v>131.004643286576</v>
      </c>
      <c r="T58" s="194" t="n">
        <v>0.0977030082327367</v>
      </c>
      <c r="U58" s="194" t="n">
        <v>0.0353820189683003</v>
      </c>
      <c r="V58" s="194" t="n">
        <v>0.0115452900163878</v>
      </c>
      <c r="W58" s="194" t="n">
        <v>0.725258841106312</v>
      </c>
      <c r="X58" s="194" t="n">
        <v>0.0197095035281802</v>
      </c>
      <c r="Y58" s="194" t="n">
        <v>2.42267051380631</v>
      </c>
      <c r="Z58" s="194" t="n">
        <v>2.42267051380631</v>
      </c>
    </row>
    <row r="59" customFormat="false" ht="12" hidden="false" customHeight="false" outlineLevel="0" collapsed="false">
      <c r="A59" s="0" t="s">
        <v>502</v>
      </c>
      <c r="B59" s="0" t="n">
        <v>25</v>
      </c>
      <c r="C59" s="194" t="n">
        <v>0.0167361111111111</v>
      </c>
      <c r="D59" s="194" t="n">
        <v>0.100039021534869</v>
      </c>
      <c r="E59" s="194" t="n">
        <v>0.145761286234918</v>
      </c>
      <c r="F59" s="194" t="n">
        <v>0.274560654056967</v>
      </c>
      <c r="G59" s="336" t="n">
        <v>0.551068480148203</v>
      </c>
      <c r="H59" s="336" t="n">
        <v>0.738525818181818</v>
      </c>
      <c r="I59" s="194" t="n">
        <v>0.0616171115636364</v>
      </c>
      <c r="J59" s="194" t="n">
        <v>0.27674733987108</v>
      </c>
      <c r="K59" s="194" t="n">
        <v>0.0361</v>
      </c>
      <c r="L59" s="194" t="n">
        <v>0.334327415304755</v>
      </c>
      <c r="M59" s="194" t="n">
        <v>0.0501894288823224</v>
      </c>
      <c r="N59" s="336" t="n">
        <v>1.8769868095319</v>
      </c>
      <c r="O59" s="336" t="n">
        <v>1.64934818973167</v>
      </c>
      <c r="P59" s="336" t="n">
        <v>10.2982885787418</v>
      </c>
      <c r="Q59" s="336" t="n">
        <v>16.4641577347582</v>
      </c>
      <c r="R59" s="336" t="n">
        <v>3.88154337331806</v>
      </c>
      <c r="S59" s="336" t="n">
        <v>26.4374758282789</v>
      </c>
      <c r="T59" s="194" t="n">
        <v>0.104097359370148</v>
      </c>
      <c r="U59" s="194" t="n">
        <v>0.0507471463518341</v>
      </c>
      <c r="V59" s="194" t="n">
        <v>0.0648521354981104</v>
      </c>
      <c r="W59" s="194" t="n">
        <v>0.893328308162858</v>
      </c>
      <c r="X59" s="194" t="n">
        <v>0.205377454458942</v>
      </c>
      <c r="Y59" s="194" t="n">
        <v>0.395902269210547</v>
      </c>
      <c r="Z59" s="194" t="n">
        <v>0.395902269210547</v>
      </c>
    </row>
    <row r="60" customFormat="false" ht="12" hidden="false" customHeight="false" outlineLevel="0" collapsed="false">
      <c r="A60" s="0" t="s">
        <v>503</v>
      </c>
      <c r="B60" s="0" t="n">
        <v>21</v>
      </c>
      <c r="C60" s="194" t="n">
        <v>0.0723353333333334</v>
      </c>
      <c r="D60" s="194" t="n">
        <v>0.0543870859845218</v>
      </c>
      <c r="E60" s="194" t="n">
        <v>0.0847881487547226</v>
      </c>
      <c r="F60" s="194" t="n">
        <v>0.228554814927941</v>
      </c>
      <c r="G60" s="336" t="n">
        <v>0.977530200347728</v>
      </c>
      <c r="H60" s="336" t="n">
        <v>1.19908463157895</v>
      </c>
      <c r="I60" s="194" t="n">
        <v>0.0850134992842105</v>
      </c>
      <c r="J60" s="194" t="n">
        <v>0.568136331970695</v>
      </c>
      <c r="K60" s="194" t="n">
        <v>0.0391</v>
      </c>
      <c r="L60" s="194" t="n">
        <v>0.285754842655428</v>
      </c>
      <c r="M60" s="194" t="n">
        <v>0.0692119710770123</v>
      </c>
      <c r="N60" s="336" t="n">
        <v>1.81621554006103</v>
      </c>
      <c r="O60" s="336" t="n">
        <v>0.970291175911263</v>
      </c>
      <c r="P60" s="336" t="n">
        <v>8.89802816927205</v>
      </c>
      <c r="Q60" s="336" t="n">
        <v>17.7120729538409</v>
      </c>
      <c r="R60" s="336" t="n">
        <v>1.88963780483513</v>
      </c>
      <c r="S60" s="336" t="n">
        <v>75.0883522235312</v>
      </c>
      <c r="T60" s="194" t="n">
        <v>0.139869535839441</v>
      </c>
      <c r="U60" s="194" t="n">
        <v>0.0432670244778837</v>
      </c>
      <c r="V60" s="194" t="n">
        <v>0.0149991465406254</v>
      </c>
      <c r="W60" s="194" t="n">
        <v>0.428496796746335</v>
      </c>
      <c r="X60" s="194" t="n">
        <v>0.0614750071816597</v>
      </c>
      <c r="Y60" s="194" t="n">
        <v>0.46742274231984</v>
      </c>
      <c r="Z60" s="194" t="n">
        <v>0.46742274231984</v>
      </c>
    </row>
    <row r="61" customFormat="false" ht="12" hidden="false" customHeight="false" outlineLevel="0" collapsed="false">
      <c r="A61" s="0" t="s">
        <v>504</v>
      </c>
      <c r="B61" s="0" t="n">
        <v>61</v>
      </c>
      <c r="C61" s="194" t="n">
        <v>0.0778027450980392</v>
      </c>
      <c r="D61" s="194" t="n">
        <v>0.179151894707212</v>
      </c>
      <c r="E61" s="194" t="n">
        <v>0.0642591335156672</v>
      </c>
      <c r="F61" s="194" t="n">
        <v>0.171711203011073</v>
      </c>
      <c r="G61" s="336" t="n">
        <v>0.324935655403492</v>
      </c>
      <c r="H61" s="336" t="n">
        <v>0.504522947368421</v>
      </c>
      <c r="I61" s="194" t="n">
        <v>0.0497297657263158</v>
      </c>
      <c r="J61" s="194" t="n">
        <v>0.312260081991557</v>
      </c>
      <c r="K61" s="194" t="n">
        <v>0.0361</v>
      </c>
      <c r="L61" s="194" t="n">
        <v>0.432984095743521</v>
      </c>
      <c r="M61" s="194" t="n">
        <v>0.0400769197325891</v>
      </c>
      <c r="N61" s="336" t="n">
        <v>0.450235536259139</v>
      </c>
      <c r="O61" s="336" t="n">
        <v>3.51018057714758</v>
      </c>
      <c r="P61" s="336" t="n">
        <v>10.5458680426515</v>
      </c>
      <c r="Q61" s="336" t="n">
        <v>19.5649056824094</v>
      </c>
      <c r="R61" s="336" t="n">
        <v>1.87593509537028</v>
      </c>
      <c r="S61" s="336" t="n">
        <v>25.9539382371714</v>
      </c>
      <c r="T61" s="194" t="n">
        <v>0.0731651327691773</v>
      </c>
      <c r="U61" s="194" t="n">
        <v>0.269606276894248</v>
      </c>
      <c r="V61" s="194" t="n">
        <v>0.184793209362846</v>
      </c>
      <c r="W61" s="194" t="n">
        <v>1.36714263820023</v>
      </c>
      <c r="X61" s="194" t="n">
        <v>0.155457210655481</v>
      </c>
      <c r="Y61" s="194" t="n">
        <v>0.457419170026099</v>
      </c>
      <c r="Z61" s="194" t="n">
        <v>0.457419170026099</v>
      </c>
    </row>
    <row r="62" customFormat="false" ht="12" hidden="false" customHeight="false" outlineLevel="0" collapsed="false">
      <c r="A62" s="0" t="s">
        <v>505</v>
      </c>
      <c r="B62" s="0" t="n">
        <v>111</v>
      </c>
      <c r="C62" s="194" t="n">
        <v>-0.05543</v>
      </c>
      <c r="D62" s="194" t="n">
        <v>0.1738784138272</v>
      </c>
      <c r="E62" s="194" t="n">
        <v>0.0753408951708794</v>
      </c>
      <c r="F62" s="194" t="n">
        <v>0.356186184746656</v>
      </c>
      <c r="G62" s="336" t="n">
        <v>0.946399809783957</v>
      </c>
      <c r="H62" s="336" t="n">
        <v>0.963149670886076</v>
      </c>
      <c r="I62" s="194" t="n">
        <v>0.0730280032810127</v>
      </c>
      <c r="J62" s="194" t="n">
        <v>0.913515767423059</v>
      </c>
      <c r="K62" s="194" t="n">
        <v>0.0816</v>
      </c>
      <c r="L62" s="194" t="n">
        <v>0.151457279168749</v>
      </c>
      <c r="M62" s="194" t="n">
        <v>0.0713601552258732</v>
      </c>
      <c r="N62" s="336" t="n">
        <v>0.442839736968389</v>
      </c>
      <c r="O62" s="336" t="n">
        <v>3.24022860952398</v>
      </c>
      <c r="P62" s="336" t="n">
        <v>8.3786583067484</v>
      </c>
      <c r="Q62" s="336" t="n">
        <v>18.1410715556115</v>
      </c>
      <c r="R62" s="336" t="n">
        <v>1.49307157557837</v>
      </c>
      <c r="S62" s="336" t="n">
        <v>36.158047998059</v>
      </c>
      <c r="T62" s="194" t="n">
        <v>0.135565238492773</v>
      </c>
      <c r="U62" s="194" t="n">
        <v>0.182170232288082</v>
      </c>
      <c r="V62" s="194" t="n">
        <v>0.0108354783718763</v>
      </c>
      <c r="W62" s="194" t="n">
        <v>0.222526861750825</v>
      </c>
      <c r="X62" s="194" t="n">
        <v>0.0188691671963504</v>
      </c>
      <c r="Y62" s="194" t="n">
        <v>0.637849109128434</v>
      </c>
      <c r="Z62" s="194" t="n">
        <v>0.637849109128434</v>
      </c>
    </row>
    <row r="63" customFormat="false" ht="12" hidden="false" customHeight="false" outlineLevel="0" collapsed="false">
      <c r="A63" s="0" t="s">
        <v>506</v>
      </c>
      <c r="B63" s="0" t="n">
        <v>41</v>
      </c>
      <c r="C63" s="194" t="n">
        <v>-0.0165095238095238</v>
      </c>
      <c r="D63" s="194" t="n">
        <v>0.0742831321253512</v>
      </c>
      <c r="E63" s="194" t="n">
        <v>0.134824257687482</v>
      </c>
      <c r="F63" s="194" t="n">
        <v>0.308877583184197</v>
      </c>
      <c r="G63" s="336" t="n">
        <v>0.826233641388769</v>
      </c>
      <c r="H63" s="336" t="n">
        <v>1.01899097435897</v>
      </c>
      <c r="I63" s="194" t="n">
        <v>0.0758647414974359</v>
      </c>
      <c r="J63" s="194" t="n">
        <v>0.541412319763779</v>
      </c>
      <c r="K63" s="194" t="n">
        <v>0.0391</v>
      </c>
      <c r="L63" s="194" t="n">
        <v>0.307921548954414</v>
      </c>
      <c r="M63" s="194" t="n">
        <v>0.0616545495332486</v>
      </c>
      <c r="N63" s="336" t="n">
        <v>2.06086888424252</v>
      </c>
      <c r="O63" s="336" t="n">
        <v>1.04268404733321</v>
      </c>
      <c r="P63" s="336" t="n">
        <v>8.02284212217109</v>
      </c>
      <c r="Q63" s="336" t="n">
        <v>13.8536655072454</v>
      </c>
      <c r="R63" s="336" t="n">
        <v>1.75885316060769</v>
      </c>
      <c r="S63" s="336" t="n">
        <v>69.1663060380672</v>
      </c>
      <c r="T63" s="194" t="n">
        <v>0.113378824033605</v>
      </c>
      <c r="U63" s="194" t="n">
        <v>0.0260175701334474</v>
      </c>
      <c r="V63" s="194" t="n">
        <v>0.00633023526707596</v>
      </c>
      <c r="W63" s="194" t="n">
        <v>0.105405013033674</v>
      </c>
      <c r="X63" s="194" t="n">
        <v>-0.0250970236471702</v>
      </c>
      <c r="Y63" s="194" t="n">
        <v>0.0062742389729284</v>
      </c>
      <c r="Z63" s="194" t="n">
        <v>0.00627423897292845</v>
      </c>
    </row>
    <row r="64" customFormat="false" ht="12" hidden="false" customHeight="false" outlineLevel="0" collapsed="false">
      <c r="A64" s="0" t="s">
        <v>507</v>
      </c>
      <c r="B64" s="0" t="n">
        <v>244</v>
      </c>
      <c r="C64" s="194" t="n">
        <v>0.150159408284024</v>
      </c>
      <c r="D64" s="194" t="n">
        <v>0.223077200862261</v>
      </c>
      <c r="E64" s="194" t="n">
        <v>0.0307974323930431</v>
      </c>
      <c r="F64" s="194" t="n">
        <v>0.0223478479015013</v>
      </c>
      <c r="G64" s="336" t="n">
        <v>0.421335920717823</v>
      </c>
      <c r="H64" s="336" t="n">
        <v>0.659257147826087</v>
      </c>
      <c r="I64" s="194" t="n">
        <v>0.0575902631095652</v>
      </c>
      <c r="J64" s="194" t="n">
        <v>0.321403231207193</v>
      </c>
      <c r="K64" s="194" t="n">
        <v>0.0361</v>
      </c>
      <c r="L64" s="194" t="n">
        <v>0.43978543853332</v>
      </c>
      <c r="M64" s="194" t="n">
        <v>0.044328857284276</v>
      </c>
      <c r="N64" s="336" t="n">
        <v>0.140816067886405</v>
      </c>
      <c r="O64" s="336" t="n">
        <v>11.4750261376819</v>
      </c>
      <c r="P64" s="336" t="n">
        <v>20.7889278363687</v>
      </c>
      <c r="Q64" s="336" t="n">
        <v>46.7965666512985</v>
      </c>
      <c r="R64" s="336" t="n">
        <v>2.05372882359512</v>
      </c>
      <c r="S64" s="336" t="n">
        <v>42.5030251794684</v>
      </c>
      <c r="T64" s="194" t="n">
        <v>0.46352820456524</v>
      </c>
      <c r="U64" s="194" t="n">
        <v>0.0322670275276182</v>
      </c>
      <c r="V64" s="194" t="n">
        <v>-0.0839407804855684</v>
      </c>
      <c r="W64" s="194" t="n">
        <v>-0.359801631943067</v>
      </c>
      <c r="X64" s="194" t="n">
        <v>0.0953698015341905</v>
      </c>
      <c r="Y64" s="194" t="n">
        <v>1.04868751808973</v>
      </c>
      <c r="Z64" s="194" t="n">
        <v>1.04868751808973</v>
      </c>
    </row>
    <row r="65" customFormat="false" ht="12" hidden="false" customHeight="false" outlineLevel="0" collapsed="false">
      <c r="A65" s="0" t="s">
        <v>508</v>
      </c>
      <c r="B65" s="0" t="n">
        <v>20</v>
      </c>
      <c r="C65" s="194" t="n">
        <v>0.139016666666667</v>
      </c>
      <c r="D65" s="194" t="n">
        <v>0.115855843722099</v>
      </c>
      <c r="E65" s="194" t="n">
        <v>0.0227163251640628</v>
      </c>
      <c r="F65" s="194" t="n">
        <v>0.359323820639283</v>
      </c>
      <c r="G65" s="336" t="n">
        <v>0.613558112944647</v>
      </c>
      <c r="H65" s="336" t="n">
        <v>0.749504</v>
      </c>
      <c r="I65" s="194" t="n">
        <v>0.0621748032</v>
      </c>
      <c r="J65" s="194" t="n">
        <v>0.442661569597058</v>
      </c>
      <c r="K65" s="194" t="n">
        <v>0.0391</v>
      </c>
      <c r="L65" s="194" t="n">
        <v>0.311777169472978</v>
      </c>
      <c r="M65" s="194" t="n">
        <v>0.0520548894138236</v>
      </c>
      <c r="N65" s="336" t="n">
        <v>0.208147173464241</v>
      </c>
      <c r="O65" s="336" t="n">
        <v>7.42104039150658</v>
      </c>
      <c r="P65" s="336" t="n">
        <v>28.9160073466008</v>
      </c>
      <c r="Q65" s="336" t="n">
        <v>63.2155895203806</v>
      </c>
      <c r="R65" s="336" t="n">
        <v>1.59961756054473</v>
      </c>
      <c r="S65" s="336" t="n">
        <v>38.1066212465285</v>
      </c>
      <c r="T65" s="194" t="n">
        <v>0.650590208747515</v>
      </c>
      <c r="U65" s="194" t="n">
        <v>0.0354649878506737</v>
      </c>
      <c r="V65" s="194" t="n">
        <v>-0.0511134581400486</v>
      </c>
      <c r="W65" s="194" t="n">
        <v>0.0699100326730716</v>
      </c>
      <c r="X65" s="194" t="n">
        <v>0.0461520391894154</v>
      </c>
      <c r="Y65" s="194" t="n">
        <v>0</v>
      </c>
      <c r="Z65" s="194" t="n">
        <v>0</v>
      </c>
    </row>
    <row r="66" customFormat="false" ht="12" hidden="false" customHeight="false" outlineLevel="0" collapsed="false">
      <c r="A66" s="0" t="s">
        <v>509</v>
      </c>
      <c r="B66" s="0" t="n">
        <v>10</v>
      </c>
      <c r="C66" s="194" t="n">
        <v>0.3099</v>
      </c>
      <c r="D66" s="194" t="n">
        <v>0.146359917894609</v>
      </c>
      <c r="E66" s="194" t="n">
        <v>0.0431503030218433</v>
      </c>
      <c r="F66" s="194" t="n">
        <v>0.264144551101073</v>
      </c>
      <c r="G66" s="336" t="n">
        <v>0.733310969108686</v>
      </c>
      <c r="H66" s="336" t="n">
        <v>0.745129777777778</v>
      </c>
      <c r="I66" s="194" t="n">
        <v>0.0619525927111111</v>
      </c>
      <c r="J66" s="194" t="n">
        <v>0.410678323465761</v>
      </c>
      <c r="K66" s="194" t="n">
        <v>0.0391</v>
      </c>
      <c r="L66" s="194" t="n">
        <v>0.190967681612143</v>
      </c>
      <c r="M66" s="194" t="n">
        <v>0.0557964453379953</v>
      </c>
      <c r="N66" s="336" t="n">
        <v>0.337985129291279</v>
      </c>
      <c r="O66" s="336" t="n">
        <v>6.20032450444334</v>
      </c>
      <c r="P66" s="336" t="n">
        <v>11.9617608429605</v>
      </c>
      <c r="Q66" s="336" t="n">
        <v>29.0675184275449</v>
      </c>
      <c r="R66" s="336" t="n">
        <v>1.24984730186983</v>
      </c>
      <c r="S66" s="336" t="n">
        <v>28.4743223564389</v>
      </c>
      <c r="T66" s="194" t="n">
        <v>1.97484077791885</v>
      </c>
      <c r="U66" s="194" t="n">
        <v>0.0195274167991985</v>
      </c>
      <c r="V66" s="194" t="n">
        <v>-0.118497420227126</v>
      </c>
      <c r="W66" s="194" t="n">
        <v>-2.16504251125248</v>
      </c>
      <c r="X66" s="194" t="n">
        <v>0.0416716410579319</v>
      </c>
      <c r="Y66" s="194" t="n">
        <v>0.279091087682536</v>
      </c>
      <c r="Z66" s="194" t="n">
        <v>0.279091087682536</v>
      </c>
    </row>
    <row r="67" customFormat="false" ht="12" hidden="false" customHeight="false" outlineLevel="0" collapsed="false">
      <c r="A67" s="0" t="s">
        <v>510</v>
      </c>
      <c r="B67" s="0" t="n">
        <v>60</v>
      </c>
      <c r="C67" s="194" t="n">
        <v>0.00189473684210526</v>
      </c>
      <c r="D67" s="194" t="n">
        <v>0.0758499375604767</v>
      </c>
      <c r="E67" s="194" t="n">
        <v>0.110485249731219</v>
      </c>
      <c r="F67" s="194" t="n">
        <v>0.28259080016848</v>
      </c>
      <c r="G67" s="336" t="n">
        <v>0.801856422168491</v>
      </c>
      <c r="H67" s="336" t="n">
        <v>1.02257666666667</v>
      </c>
      <c r="I67" s="194" t="n">
        <v>0.0760468946666667</v>
      </c>
      <c r="J67" s="194" t="n">
        <v>0.540143413741908</v>
      </c>
      <c r="K67" s="194" t="n">
        <v>0.0391</v>
      </c>
      <c r="L67" s="194" t="n">
        <v>0.318401912878653</v>
      </c>
      <c r="M67" s="194" t="n">
        <v>0.0612950491794206</v>
      </c>
      <c r="N67" s="336" t="n">
        <v>1.59690851824219</v>
      </c>
      <c r="O67" s="336" t="n">
        <v>1.98705608989318</v>
      </c>
      <c r="P67" s="336" t="n">
        <v>14.0790896801745</v>
      </c>
      <c r="Q67" s="336" t="n">
        <v>24.6076808675181</v>
      </c>
      <c r="R67" s="336" t="n">
        <v>3.06218096615351</v>
      </c>
      <c r="S67" s="336" t="n">
        <v>75.2025816502437</v>
      </c>
      <c r="T67" s="194" t="n">
        <v>0.149966085140196</v>
      </c>
      <c r="U67" s="194" t="n">
        <v>0.015147385006388</v>
      </c>
      <c r="V67" s="194" t="n">
        <v>-0.0127960646910907</v>
      </c>
      <c r="W67" s="194" t="n">
        <v>0.0360156138189999</v>
      </c>
      <c r="X67" s="194" t="n">
        <v>0.150591676287203</v>
      </c>
      <c r="Y67" s="194" t="n">
        <v>0.0989941219202238</v>
      </c>
      <c r="Z67" s="194" t="n">
        <v>0.0989941219202237</v>
      </c>
    </row>
    <row r="68" customFormat="false" ht="12" hidden="false" customHeight="false" outlineLevel="0" collapsed="false">
      <c r="A68" s="0" t="s">
        <v>511</v>
      </c>
      <c r="B68" s="0" t="n">
        <v>70</v>
      </c>
      <c r="C68" s="194" t="n">
        <v>0.00863193548387095</v>
      </c>
      <c r="D68" s="194" t="n">
        <v>0.110927405183991</v>
      </c>
      <c r="E68" s="194" t="n">
        <v>0.145881723298091</v>
      </c>
      <c r="F68" s="194" t="n">
        <v>0.47660955134629</v>
      </c>
      <c r="G68" s="336" t="n">
        <v>0.726073388011374</v>
      </c>
      <c r="H68" s="336" t="n">
        <v>0.849533866666667</v>
      </c>
      <c r="I68" s="194" t="n">
        <v>0.0672563204266667</v>
      </c>
      <c r="J68" s="194" t="n">
        <v>0.50849782345629</v>
      </c>
      <c r="K68" s="194" t="n">
        <v>0.0391</v>
      </c>
      <c r="L68" s="194" t="n">
        <v>0.228311386015578</v>
      </c>
      <c r="M68" s="194" t="n">
        <v>0.0586854378385855</v>
      </c>
      <c r="N68" s="336" t="n">
        <v>1.46132035798309</v>
      </c>
      <c r="O68" s="336" t="n">
        <v>2.0175762746827</v>
      </c>
      <c r="P68" s="336" t="n">
        <v>11.678995367261</v>
      </c>
      <c r="Q68" s="336" t="n">
        <v>18.3936472652239</v>
      </c>
      <c r="R68" s="336" t="n">
        <v>4.11814102812399</v>
      </c>
      <c r="S68" s="336" t="n">
        <v>21.9353513484978</v>
      </c>
      <c r="T68" s="194" t="n">
        <v>0.199273367850997</v>
      </c>
      <c r="U68" s="194" t="n">
        <v>0.0485322822426236</v>
      </c>
      <c r="V68" s="194" t="n">
        <v>0.0389704747520284</v>
      </c>
      <c r="W68" s="194" t="n">
        <v>0.503897277855566</v>
      </c>
      <c r="X68" s="194" t="n">
        <v>0.0526049518200039</v>
      </c>
      <c r="Y68" s="194" t="n">
        <v>2.00827999671775</v>
      </c>
      <c r="Z68" s="194" t="n">
        <v>2.00827999671775</v>
      </c>
    </row>
    <row r="69" customFormat="false" ht="12" hidden="false" customHeight="false" outlineLevel="0" collapsed="false">
      <c r="A69" s="0" t="s">
        <v>512</v>
      </c>
      <c r="B69" s="0" t="n">
        <v>3</v>
      </c>
      <c r="C69" s="194" t="n">
        <v>-0.0287</v>
      </c>
      <c r="D69" s="194" t="n">
        <v>0.0730553186871416</v>
      </c>
      <c r="E69" s="194" t="n">
        <v>0.0597395746039049</v>
      </c>
      <c r="F69" s="194" t="n">
        <v>0.285230452068915</v>
      </c>
      <c r="G69" s="336" t="n">
        <v>0.467210278610755</v>
      </c>
      <c r="H69" s="336" t="n">
        <v>0.521528</v>
      </c>
      <c r="I69" s="194" t="n">
        <v>0.0505936224</v>
      </c>
      <c r="J69" s="194" t="n">
        <v>0.189911914183991</v>
      </c>
      <c r="K69" s="194" t="n">
        <v>0.0311</v>
      </c>
      <c r="L69" s="194" t="n">
        <v>0.21707738768839</v>
      </c>
      <c r="M69" s="194" t="n">
        <v>0.044741732151118</v>
      </c>
      <c r="N69" s="336" t="n">
        <v>0.917939083320789</v>
      </c>
      <c r="O69" s="336" t="n">
        <v>1.22942722824607</v>
      </c>
      <c r="P69" s="336" t="n">
        <v>14.2502642582214</v>
      </c>
      <c r="Q69" s="336" t="n">
        <v>16.7223448602371</v>
      </c>
      <c r="R69" s="336" t="n">
        <v>1.1323391976823</v>
      </c>
      <c r="S69" s="336" t="n">
        <v>486.85531898448</v>
      </c>
      <c r="T69" s="194" t="n">
        <v>0.0387149584927608</v>
      </c>
      <c r="U69" s="194" t="n">
        <v>0.00446549500378318</v>
      </c>
      <c r="V69" s="194" t="n">
        <v>0.00384763894760368</v>
      </c>
      <c r="W69" s="194" t="n">
        <v>0.798843684679108</v>
      </c>
      <c r="X69" s="194" t="n">
        <v>0.0604727450531358</v>
      </c>
      <c r="Y69" s="194" t="n">
        <v>0.114017849832146</v>
      </c>
      <c r="Z69" s="194" t="n">
        <v>0.114017849832146</v>
      </c>
    </row>
    <row r="70" customFormat="false" ht="12" hidden="false" customHeight="false" outlineLevel="0" collapsed="false">
      <c r="A70" s="0" t="s">
        <v>513</v>
      </c>
      <c r="B70" s="0" t="n">
        <v>81</v>
      </c>
      <c r="C70" s="194" t="n">
        <v>0.14114125</v>
      </c>
      <c r="D70" s="194" t="n">
        <v>0.145453754083747</v>
      </c>
      <c r="E70" s="194" t="n">
        <v>0.170087146999997</v>
      </c>
      <c r="F70" s="194" t="n">
        <v>0.311233774805391</v>
      </c>
      <c r="G70" s="336" t="n">
        <v>0.695790898370834</v>
      </c>
      <c r="H70" s="336" t="n">
        <v>0.85012096</v>
      </c>
      <c r="I70" s="194" t="n">
        <v>0.067286144768</v>
      </c>
      <c r="J70" s="194" t="n">
        <v>0.484064077840069</v>
      </c>
      <c r="K70" s="194" t="n">
        <v>0.0391</v>
      </c>
      <c r="L70" s="194" t="n">
        <v>0.243612488357308</v>
      </c>
      <c r="M70" s="194" t="n">
        <v>0.0581335883131232</v>
      </c>
      <c r="N70" s="336" t="n">
        <v>1.37557395837469</v>
      </c>
      <c r="O70" s="336" t="n">
        <v>3.54121852418973</v>
      </c>
      <c r="P70" s="336" t="n">
        <v>13.8385696735707</v>
      </c>
      <c r="Q70" s="336" t="n">
        <v>24.3173500930264</v>
      </c>
      <c r="R70" s="336" t="n">
        <v>77.3948747648722</v>
      </c>
      <c r="S70" s="336" t="n">
        <v>49.4633068166069</v>
      </c>
      <c r="T70" s="194" t="n">
        <v>0.00971569048512307</v>
      </c>
      <c r="U70" s="194" t="n">
        <v>0.0599760250412636</v>
      </c>
      <c r="V70" s="194" t="n">
        <v>0.0228113509493331</v>
      </c>
      <c r="W70" s="194" t="n">
        <v>0.247045317875917</v>
      </c>
      <c r="X70" s="194" t="n">
        <v>0.956695076973567</v>
      </c>
      <c r="Y70" s="194" t="n">
        <v>0.511180547257053</v>
      </c>
      <c r="Z70" s="194" t="n">
        <v>0.511180547257053</v>
      </c>
    </row>
    <row r="71" customFormat="false" ht="12" hidden="false" customHeight="false" outlineLevel="0" collapsed="false">
      <c r="A71" s="0" t="s">
        <v>514</v>
      </c>
      <c r="B71" s="0" t="n">
        <v>25</v>
      </c>
      <c r="C71" s="194" t="n">
        <v>0.0994266666666667</v>
      </c>
      <c r="D71" s="194" t="n">
        <v>0.0539085994300811</v>
      </c>
      <c r="E71" s="194" t="n">
        <v>0.103781552397263</v>
      </c>
      <c r="F71" s="194" t="n">
        <v>0.341719944841419</v>
      </c>
      <c r="G71" s="336" t="n">
        <v>0.64728168498739</v>
      </c>
      <c r="H71" s="336" t="n">
        <v>1.01085333333333</v>
      </c>
      <c r="I71" s="194" t="n">
        <v>0.0754513493333334</v>
      </c>
      <c r="J71" s="194" t="n">
        <v>0.426229249602571</v>
      </c>
      <c r="K71" s="194" t="n">
        <v>0.0391</v>
      </c>
      <c r="L71" s="194" t="n">
        <v>0.431689833254757</v>
      </c>
      <c r="M71" s="194" t="n">
        <v>0.0557078640057786</v>
      </c>
      <c r="N71" s="336" t="n">
        <v>2.37781627052117</v>
      </c>
      <c r="O71" s="336" t="n">
        <v>0.94862532647612</v>
      </c>
      <c r="P71" s="336" t="n">
        <v>10.9976430748593</v>
      </c>
      <c r="Q71" s="336" t="n">
        <v>17.5352646682002</v>
      </c>
      <c r="R71" s="336" t="n">
        <v>5.22139117273183</v>
      </c>
      <c r="S71" s="336" t="n">
        <v>16.0916300031801</v>
      </c>
      <c r="T71" s="194" t="n">
        <v>0.129894857493674</v>
      </c>
      <c r="U71" s="194" t="n">
        <v>0.0205723184879144</v>
      </c>
      <c r="V71" s="194" t="n">
        <v>0.0215358515582825</v>
      </c>
      <c r="W71" s="194" t="n">
        <v>0.820358996445019</v>
      </c>
      <c r="X71" s="194" t="n">
        <v>0.342582490904908</v>
      </c>
      <c r="Y71" s="194" t="n">
        <v>0.045945725239926</v>
      </c>
      <c r="Z71" s="194" t="n">
        <v>0.045945725239926</v>
      </c>
    </row>
    <row r="72" customFormat="false" ht="12" hidden="false" customHeight="false" outlineLevel="0" collapsed="false">
      <c r="A72" s="0" t="s">
        <v>515</v>
      </c>
      <c r="B72" s="0" t="n">
        <v>8</v>
      </c>
      <c r="C72" s="194" t="n">
        <v>0.05408</v>
      </c>
      <c r="D72" s="194" t="n">
        <v>0.11630149379124</v>
      </c>
      <c r="E72" s="194" t="n">
        <v>0.303000468761642</v>
      </c>
      <c r="F72" s="194" t="n">
        <v>0.362879300473638</v>
      </c>
      <c r="G72" s="336" t="n">
        <v>0.763377250146285</v>
      </c>
      <c r="H72" s="336" t="n">
        <v>0.856507428571429</v>
      </c>
      <c r="I72" s="194" t="n">
        <v>0.0676105773714286</v>
      </c>
      <c r="J72" s="194" t="n">
        <v>0.534448340979327</v>
      </c>
      <c r="K72" s="194" t="n">
        <v>0.0391</v>
      </c>
      <c r="L72" s="194" t="n">
        <v>0.151528031558028</v>
      </c>
      <c r="M72" s="194" t="n">
        <v>0.0618684866556126</v>
      </c>
      <c r="N72" s="336" t="n">
        <v>3.07801624279572</v>
      </c>
      <c r="O72" s="336" t="n">
        <v>2.05474361143085</v>
      </c>
      <c r="P72" s="336" t="n">
        <v>13.5190667790896</v>
      </c>
      <c r="Q72" s="336" t="n">
        <v>17.6638762488386</v>
      </c>
      <c r="R72" s="336" t="n">
        <v>32.9807264608368</v>
      </c>
      <c r="S72" s="336" t="n">
        <v>34.8454430844306</v>
      </c>
      <c r="T72" s="194" t="n">
        <v>0.059861948000286</v>
      </c>
      <c r="U72" s="194" t="n">
        <v>0.0180135096035242</v>
      </c>
      <c r="V72" s="194" t="n">
        <v>0.00358456752478474</v>
      </c>
      <c r="W72" s="194" t="n">
        <v>0.0345791063211635</v>
      </c>
      <c r="X72" s="194" t="n">
        <v>0.912599116773041</v>
      </c>
      <c r="Y72" s="194" t="n">
        <v>0.436366766740915</v>
      </c>
      <c r="Z72" s="194" t="n">
        <v>0.436366766740915</v>
      </c>
    </row>
    <row r="73" customFormat="false" ht="12" hidden="false" customHeight="false" outlineLevel="0" collapsed="false">
      <c r="A73" s="0" t="s">
        <v>516</v>
      </c>
      <c r="B73" s="0" t="n">
        <v>92</v>
      </c>
      <c r="C73" s="194" t="n">
        <v>0.0645555555555555</v>
      </c>
      <c r="D73" s="194" t="n">
        <v>0.0797093252493767</v>
      </c>
      <c r="E73" s="194" t="n">
        <v>0.131825205086868</v>
      </c>
      <c r="F73" s="194" t="n">
        <v>0.342194079899555</v>
      </c>
      <c r="G73" s="336" t="n">
        <v>0.871235187421098</v>
      </c>
      <c r="H73" s="336" t="n">
        <v>1.14873568421053</v>
      </c>
      <c r="I73" s="194" t="n">
        <v>0.0824557727578947</v>
      </c>
      <c r="J73" s="194" t="n">
        <v>0.492392231504205</v>
      </c>
      <c r="K73" s="194" t="n">
        <v>0.0391</v>
      </c>
      <c r="L73" s="194" t="n">
        <v>0.31308397881613</v>
      </c>
      <c r="M73" s="194" t="n">
        <v>0.0659437948609945</v>
      </c>
      <c r="N73" s="336" t="n">
        <v>1.92748168967106</v>
      </c>
      <c r="O73" s="336" t="n">
        <v>1.36397812841988</v>
      </c>
      <c r="P73" s="336" t="n">
        <v>13.4808136501368</v>
      </c>
      <c r="Q73" s="336" t="n">
        <v>17.0605406304817</v>
      </c>
      <c r="R73" s="336" t="n">
        <v>3.46802689921366</v>
      </c>
      <c r="S73" s="336" t="n">
        <v>111.564895292939</v>
      </c>
      <c r="T73" s="194" t="n">
        <v>0.171576130429085</v>
      </c>
      <c r="U73" s="194" t="n">
        <v>0.0433624080511876</v>
      </c>
      <c r="V73" s="194" t="n">
        <v>0.0524861578860923</v>
      </c>
      <c r="W73" s="194" t="n">
        <v>1.11027979494485</v>
      </c>
      <c r="X73" s="194" t="n">
        <v>0.160512950223364</v>
      </c>
      <c r="Y73" s="194" t="n">
        <v>0.302080345615733</v>
      </c>
      <c r="Z73" s="194" t="n">
        <v>0.302080345615733</v>
      </c>
    </row>
    <row r="74" customFormat="false" ht="12" hidden="false" customHeight="false" outlineLevel="0" collapsed="false">
      <c r="A74" s="0" t="s">
        <v>34</v>
      </c>
      <c r="B74" s="0" t="n">
        <v>18</v>
      </c>
      <c r="C74" s="194" t="n">
        <v>0.020755625</v>
      </c>
      <c r="D74" s="194" t="n">
        <v>0.0420773842407521</v>
      </c>
      <c r="E74" s="194" t="n">
        <v>0.119029963471071</v>
      </c>
      <c r="F74" s="194" t="n">
        <v>0.327843506523093</v>
      </c>
      <c r="G74" s="336" t="n">
        <v>0.87430045257362</v>
      </c>
      <c r="H74" s="336" t="n">
        <v>1.05008755555556</v>
      </c>
      <c r="I74" s="194" t="n">
        <v>0.0774444478222222</v>
      </c>
      <c r="J74" s="194" t="n">
        <v>0.499397698378044</v>
      </c>
      <c r="K74" s="194" t="n">
        <v>0.0391</v>
      </c>
      <c r="L74" s="194" t="n">
        <v>0.237512990827029</v>
      </c>
      <c r="M74" s="194" t="n">
        <v>0.0661083214324344</v>
      </c>
      <c r="N74" s="336" t="n">
        <v>3.67189921606203</v>
      </c>
      <c r="O74" s="336" t="n">
        <v>0.742047539284492</v>
      </c>
      <c r="P74" s="336" t="n">
        <v>9.46584218721389</v>
      </c>
      <c r="Q74" s="336" t="n">
        <v>17.4204047176441</v>
      </c>
      <c r="R74" s="336" t="n">
        <v>3.99710427141491</v>
      </c>
      <c r="S74" s="336" t="n">
        <v>21.0182236378063</v>
      </c>
      <c r="T74" s="194" t="n">
        <v>0.0223861388731782</v>
      </c>
      <c r="U74" s="194" t="n">
        <v>0.0226980171400374</v>
      </c>
      <c r="V74" s="194" t="n">
        <v>0.000415775527889828</v>
      </c>
      <c r="W74" s="194" t="n">
        <v>-0.229211664823416</v>
      </c>
      <c r="X74" s="194" t="n">
        <v>0.160954876257331</v>
      </c>
      <c r="Y74" s="194" t="n">
        <v>0.495268245015341</v>
      </c>
      <c r="Z74" s="194" t="n">
        <v>0.495268245015341</v>
      </c>
    </row>
    <row r="75" customFormat="false" ht="12" hidden="false" customHeight="false" outlineLevel="0" collapsed="false">
      <c r="A75" s="0" t="s">
        <v>517</v>
      </c>
      <c r="B75" s="0" t="n">
        <v>14</v>
      </c>
      <c r="C75" s="194" t="n">
        <v>0.0539</v>
      </c>
      <c r="D75" s="194" t="n">
        <v>0.0233206710429612</v>
      </c>
      <c r="E75" s="194" t="n">
        <v>0.0874763075163401</v>
      </c>
      <c r="F75" s="194" t="n">
        <v>0.337523505900014</v>
      </c>
      <c r="G75" s="336" t="n">
        <v>0.438960321676783</v>
      </c>
      <c r="H75" s="336" t="n">
        <v>0.706575384615385</v>
      </c>
      <c r="I75" s="194" t="n">
        <v>0.0599940295384615</v>
      </c>
      <c r="J75" s="194" t="n">
        <v>0.457266091795789</v>
      </c>
      <c r="K75" s="194" t="n">
        <v>0.0391</v>
      </c>
      <c r="L75" s="194" t="n">
        <v>0.455579881684121</v>
      </c>
      <c r="M75" s="194" t="n">
        <v>0.0461999684237009</v>
      </c>
      <c r="N75" s="336" t="n">
        <v>4.75038712214986</v>
      </c>
      <c r="O75" s="336" t="n">
        <v>0.405074387409888</v>
      </c>
      <c r="P75" s="336" t="n">
        <v>7.15840574474133</v>
      </c>
      <c r="Q75" s="336" t="n">
        <v>17.3692524599612</v>
      </c>
      <c r="R75" s="336" t="n">
        <v>3.30122710244262</v>
      </c>
      <c r="S75" s="336" t="n">
        <v>40.7212251136097</v>
      </c>
      <c r="T75" s="194" t="n">
        <v>0.00655420783544054</v>
      </c>
      <c r="U75" s="194" t="n">
        <v>0.0262284511733356</v>
      </c>
      <c r="V75" s="194" t="n">
        <v>0.0072868863437662</v>
      </c>
      <c r="W75" s="194" t="n">
        <v>0.461418353226796</v>
      </c>
      <c r="X75" s="194" t="n">
        <v>0.244317428384159</v>
      </c>
      <c r="Y75" s="194" t="n">
        <v>0.210218516845743</v>
      </c>
      <c r="Z75" s="194" t="n">
        <v>0.210218516845743</v>
      </c>
    </row>
    <row r="76" customFormat="false" ht="12" hidden="false" customHeight="false" outlineLevel="0" collapsed="false">
      <c r="A76" s="0" t="s">
        <v>518</v>
      </c>
      <c r="B76" s="0" t="n">
        <v>61</v>
      </c>
      <c r="C76" s="194" t="n">
        <v>0.101600454545455</v>
      </c>
      <c r="D76" s="194" t="n">
        <v>0.0414160285468493</v>
      </c>
      <c r="E76" s="194" t="n">
        <v>0.133964983789061</v>
      </c>
      <c r="F76" s="194" t="n">
        <v>0.233098100935984</v>
      </c>
      <c r="G76" s="336" t="n">
        <v>1.12365980770167</v>
      </c>
      <c r="H76" s="336" t="n">
        <v>1.18188588679245</v>
      </c>
      <c r="I76" s="194" t="n">
        <v>0.0841398030490566</v>
      </c>
      <c r="J76" s="194" t="n">
        <v>0.606353457098314</v>
      </c>
      <c r="K76" s="194" t="n">
        <v>0.0391</v>
      </c>
      <c r="L76" s="194" t="n">
        <v>0.102446236279052</v>
      </c>
      <c r="M76" s="194" t="n">
        <v>0.0785642892626884</v>
      </c>
      <c r="N76" s="336" t="n">
        <v>3.47322264553335</v>
      </c>
      <c r="O76" s="336" t="n">
        <v>3.57698260939824</v>
      </c>
      <c r="P76" s="336" t="n">
        <v>32.4700968605117</v>
      </c>
      <c r="Q76" s="336" t="n">
        <v>93.5275270613291</v>
      </c>
      <c r="R76" s="336" t="n">
        <v>9.37269171786655</v>
      </c>
      <c r="S76" s="336" t="n">
        <v>64.8703813761129</v>
      </c>
      <c r="T76" s="194" t="n">
        <v>-0.00432218155913995</v>
      </c>
      <c r="U76" s="194" t="n">
        <v>0.0491812888681908</v>
      </c>
      <c r="V76" s="194" t="n">
        <v>0.0484879026960586</v>
      </c>
      <c r="W76" s="194" t="n">
        <v>1.58750792668654</v>
      </c>
      <c r="X76" s="194" t="n">
        <v>0.187178749180432</v>
      </c>
      <c r="Y76" s="194" t="n">
        <v>0.0646377247635415</v>
      </c>
      <c r="Z76" s="194" t="n">
        <v>0.0646377247635415</v>
      </c>
    </row>
    <row r="77" customFormat="false" ht="12" hidden="false" customHeight="false" outlineLevel="0" collapsed="false">
      <c r="A77" s="0" t="s">
        <v>519</v>
      </c>
      <c r="B77" s="0" t="n">
        <v>106</v>
      </c>
      <c r="C77" s="194" t="n">
        <v>0.0489838028169014</v>
      </c>
      <c r="D77" s="194" t="n">
        <v>0.0582486286071444</v>
      </c>
      <c r="E77" s="194" t="n">
        <v>0.116917044332648</v>
      </c>
      <c r="F77" s="194" t="n">
        <v>0.329501691508444</v>
      </c>
      <c r="G77" s="336" t="n">
        <v>0.820095897462054</v>
      </c>
      <c r="H77" s="336" t="n">
        <v>1.11113642105263</v>
      </c>
      <c r="I77" s="194" t="n">
        <v>0.0805457301894737</v>
      </c>
      <c r="J77" s="194" t="n">
        <v>0.596789483507891</v>
      </c>
      <c r="K77" s="194" t="n">
        <v>0.0391</v>
      </c>
      <c r="L77" s="194" t="n">
        <v>0.346392796377411</v>
      </c>
      <c r="M77" s="194" t="n">
        <v>0.0629386778100326</v>
      </c>
      <c r="N77" s="336" t="n">
        <v>2.57335496307127</v>
      </c>
      <c r="O77" s="336" t="n">
        <v>0.942258832040584</v>
      </c>
      <c r="P77" s="336" t="n">
        <v>7.91187618060565</v>
      </c>
      <c r="Q77" s="336" t="n">
        <v>16.1648333540164</v>
      </c>
      <c r="R77" s="336" t="n">
        <v>3.43406548647057</v>
      </c>
      <c r="S77" s="336" t="n">
        <v>34.9831242546006</v>
      </c>
      <c r="T77" s="194" t="n">
        <v>0.0700369528362205</v>
      </c>
      <c r="U77" s="194" t="n">
        <v>0.0208034021894307</v>
      </c>
      <c r="V77" s="194" t="n">
        <v>0.00380180741273316</v>
      </c>
      <c r="W77" s="194" t="n">
        <v>-0.0360040875717786</v>
      </c>
      <c r="X77" s="194" t="n">
        <v>0.16587831512988</v>
      </c>
      <c r="Y77" s="194" t="n">
        <v>0.40015106482831</v>
      </c>
      <c r="Z77" s="194" t="n">
        <v>0.40015106482831</v>
      </c>
    </row>
    <row r="78" customFormat="false" ht="12" hidden="false" customHeight="false" outlineLevel="0" collapsed="false">
      <c r="A78" s="0" t="s">
        <v>520</v>
      </c>
      <c r="B78" s="0" t="n">
        <v>4</v>
      </c>
      <c r="C78" s="194" t="n">
        <v>-0.06465</v>
      </c>
      <c r="D78" s="194" t="n">
        <v>0.103334915276831</v>
      </c>
      <c r="E78" s="194" t="n">
        <v>0.139575924407427</v>
      </c>
      <c r="F78" s="194" t="n">
        <v>0.0787688228917708</v>
      </c>
      <c r="G78" s="336" t="n">
        <v>0.637263604283369</v>
      </c>
      <c r="H78" s="336" t="n">
        <v>0.952824</v>
      </c>
      <c r="I78" s="194" t="n">
        <v>0.0725034592</v>
      </c>
      <c r="J78" s="194" t="n">
        <v>0.562361128199037</v>
      </c>
      <c r="K78" s="194" t="n">
        <v>0.0391</v>
      </c>
      <c r="L78" s="194" t="n">
        <v>0.438174773438157</v>
      </c>
      <c r="M78" s="194" t="n">
        <v>0.0537550739590456</v>
      </c>
      <c r="N78" s="336" t="n">
        <v>1.46641887393005</v>
      </c>
      <c r="O78" s="336" t="n">
        <v>0.92447906135617</v>
      </c>
      <c r="P78" s="336" t="n">
        <v>5.59619280149831</v>
      </c>
      <c r="Q78" s="336" t="n">
        <v>8.86572130893462</v>
      </c>
      <c r="R78" s="336" t="n">
        <v>1.55307207955674</v>
      </c>
      <c r="S78" s="336" t="n">
        <v>77.7317552257036</v>
      </c>
      <c r="T78" s="194" t="n">
        <v>0.159913756173983</v>
      </c>
      <c r="U78" s="194" t="n">
        <v>0.0645597514717975</v>
      </c>
      <c r="V78" s="194" t="n">
        <v>0.0171634115213562</v>
      </c>
      <c r="W78" s="194" t="n">
        <v>0.401441973436502</v>
      </c>
      <c r="X78" s="194" t="n">
        <v>0.214377299908004</v>
      </c>
      <c r="Y78" s="194" t="n">
        <v>0.103176252866473</v>
      </c>
      <c r="Z78" s="194" t="n">
        <v>0.103176252866473</v>
      </c>
    </row>
    <row r="79" customFormat="false" ht="12" hidden="false" customHeight="false" outlineLevel="0" collapsed="false">
      <c r="A79" s="0" t="s">
        <v>521</v>
      </c>
      <c r="B79" s="0" t="n">
        <v>72</v>
      </c>
      <c r="C79" s="194" t="n">
        <v>0.0872385714285714</v>
      </c>
      <c r="D79" s="194" t="n">
        <v>0.260685171434629</v>
      </c>
      <c r="E79" s="194" t="n">
        <v>0.161285293461935</v>
      </c>
      <c r="F79" s="194" t="n">
        <v>0.188973035446977</v>
      </c>
      <c r="G79" s="336" t="n">
        <v>1.15676116746733</v>
      </c>
      <c r="H79" s="336" t="n">
        <v>1.17248847761194</v>
      </c>
      <c r="I79" s="194" t="n">
        <v>0.0836624146626866</v>
      </c>
      <c r="J79" s="194" t="n">
        <v>0.52676201419733</v>
      </c>
      <c r="K79" s="194" t="n">
        <v>0.0391</v>
      </c>
      <c r="L79" s="194" t="n">
        <v>0.115805133699068</v>
      </c>
      <c r="M79" s="194" t="n">
        <v>0.0774151429000888</v>
      </c>
      <c r="N79" s="336" t="n">
        <v>0.670423596749746</v>
      </c>
      <c r="O79" s="336" t="n">
        <v>4.35196747396732</v>
      </c>
      <c r="P79" s="336" t="n">
        <v>11.8201982782735</v>
      </c>
      <c r="Q79" s="336" t="n">
        <v>17.0489734658717</v>
      </c>
      <c r="R79" s="336" t="n">
        <v>3.94000286399293</v>
      </c>
      <c r="S79" s="336" t="n">
        <v>43.7956952836878</v>
      </c>
      <c r="T79" s="194" t="n">
        <v>0.178085533420631</v>
      </c>
      <c r="U79" s="194" t="n">
        <v>0.11426671782698</v>
      </c>
      <c r="V79" s="194" t="n">
        <v>0.235482390996177</v>
      </c>
      <c r="W79" s="194" t="n">
        <v>1.31181598899735</v>
      </c>
      <c r="X79" s="194" t="n">
        <v>0.198721141436161</v>
      </c>
      <c r="Y79" s="194" t="n">
        <v>0.374820915052007</v>
      </c>
      <c r="Z79" s="194" t="n">
        <v>0.374820915052007</v>
      </c>
    </row>
    <row r="80" customFormat="false" ht="12" hidden="false" customHeight="false" outlineLevel="0" collapsed="false">
      <c r="A80" s="0" t="s">
        <v>522</v>
      </c>
      <c r="B80" s="0" t="n">
        <v>45</v>
      </c>
      <c r="C80" s="194" t="n">
        <v>0.0540116129032258</v>
      </c>
      <c r="D80" s="194" t="n">
        <v>0.236587495728277</v>
      </c>
      <c r="E80" s="194" t="n">
        <v>0.290562772296549</v>
      </c>
      <c r="F80" s="194" t="n">
        <v>0.116692004562895</v>
      </c>
      <c r="G80" s="336" t="n">
        <v>0.985195472596962</v>
      </c>
      <c r="H80" s="336" t="n">
        <v>0.98194</v>
      </c>
      <c r="I80" s="194" t="n">
        <v>0.073982552</v>
      </c>
      <c r="J80" s="194" t="n">
        <v>0.610431470211801</v>
      </c>
      <c r="K80" s="194" t="n">
        <v>0.0391</v>
      </c>
      <c r="L80" s="194" t="n">
        <v>0.103418651425422</v>
      </c>
      <c r="M80" s="194" t="n">
        <v>0.0694045648889067</v>
      </c>
      <c r="N80" s="336" t="n">
        <v>1.33650855294412</v>
      </c>
      <c r="O80" s="336" t="n">
        <v>3.22737955191829</v>
      </c>
      <c r="P80" s="336" t="n">
        <v>11.6618398311265</v>
      </c>
      <c r="Q80" s="336" t="n">
        <v>14.3013109613064</v>
      </c>
      <c r="R80" s="336" t="n">
        <v>4.49975317936154</v>
      </c>
      <c r="S80" s="336" t="n">
        <v>23.7117144073701</v>
      </c>
      <c r="T80" s="194" t="n">
        <v>0.231046865357909</v>
      </c>
      <c r="U80" s="194" t="n">
        <v>0.037573700664086</v>
      </c>
      <c r="V80" s="194" t="n">
        <v>0.0456986904593358</v>
      </c>
      <c r="W80" s="194" t="n">
        <v>0.419485205518759</v>
      </c>
      <c r="X80" s="194" t="n">
        <v>0.336284802362032</v>
      </c>
      <c r="Y80" s="194" t="n">
        <v>0.149347466329912</v>
      </c>
      <c r="Z80" s="194" t="n">
        <v>0.149347466329912</v>
      </c>
    </row>
    <row r="81" customFormat="false" ht="12" hidden="false" customHeight="false" outlineLevel="0" collapsed="false">
      <c r="A81" s="0" t="s">
        <v>523</v>
      </c>
      <c r="B81" s="0" t="n">
        <v>9</v>
      </c>
      <c r="C81" s="194" t="n">
        <v>-0.0443666666666667</v>
      </c>
      <c r="D81" s="194" t="n">
        <v>0.0740035317771011</v>
      </c>
      <c r="E81" s="194" t="n">
        <v>0.0487680409727957</v>
      </c>
      <c r="F81" s="194" t="n">
        <v>0.364570589674578</v>
      </c>
      <c r="G81" s="336" t="n">
        <v>1.01347981611159</v>
      </c>
      <c r="H81" s="336" t="n">
        <v>1.34060533333333</v>
      </c>
      <c r="I81" s="194" t="n">
        <v>0.0922027509333333</v>
      </c>
      <c r="J81" s="194" t="n">
        <v>0.943989442254826</v>
      </c>
      <c r="K81" s="194" t="n">
        <v>0.0816</v>
      </c>
      <c r="L81" s="194" t="n">
        <v>0.319512511687436</v>
      </c>
      <c r="M81" s="194" t="n">
        <v>0.082557706322941</v>
      </c>
      <c r="N81" s="336" t="n">
        <v>0.718739752877455</v>
      </c>
      <c r="O81" s="336" t="n">
        <v>2.28501279838983</v>
      </c>
      <c r="P81" s="336" t="n">
        <v>10.6981727192383</v>
      </c>
      <c r="Q81" s="336" t="n">
        <v>26.3113959485974</v>
      </c>
      <c r="R81" s="336" t="n">
        <v>1.46804150809142</v>
      </c>
      <c r="S81" s="336" t="n">
        <v>24.7851299054644</v>
      </c>
      <c r="T81" s="194" t="n">
        <v>0.22211166870924</v>
      </c>
      <c r="U81" s="194" t="n">
        <v>0.155665687825084</v>
      </c>
      <c r="V81" s="194" t="n">
        <v>0.1594826342844</v>
      </c>
      <c r="W81" s="194" t="n">
        <v>3.83612231889546</v>
      </c>
      <c r="X81" s="194" t="n">
        <v>-0.0187639612807148</v>
      </c>
      <c r="Y81" s="194" t="n">
        <v>0.000991686460807601</v>
      </c>
      <c r="Z81" s="194" t="n">
        <v>0.000991686460807606</v>
      </c>
    </row>
    <row r="82" customFormat="false" ht="12" hidden="false" customHeight="false" outlineLevel="0" collapsed="false">
      <c r="A82" s="0" t="s">
        <v>524</v>
      </c>
      <c r="B82" s="0" t="n">
        <v>11</v>
      </c>
      <c r="C82" s="194" t="n">
        <v>0.066425</v>
      </c>
      <c r="D82" s="194" t="n">
        <v>0.113744068673432</v>
      </c>
      <c r="E82" s="194" t="n">
        <v>0.204040019195028</v>
      </c>
      <c r="F82" s="194" t="n">
        <v>0.139010174926999</v>
      </c>
      <c r="G82" s="336" t="n">
        <v>0.860651858482027</v>
      </c>
      <c r="H82" s="336" t="n">
        <v>0.880916</v>
      </c>
      <c r="I82" s="194" t="n">
        <v>0.0688505328</v>
      </c>
      <c r="J82" s="194" t="n">
        <v>0.443940771804251</v>
      </c>
      <c r="K82" s="194" t="n">
        <v>0.0391</v>
      </c>
      <c r="L82" s="194" t="n">
        <v>0.0880398186761465</v>
      </c>
      <c r="M82" s="194" t="n">
        <v>0.0654051356283123</v>
      </c>
      <c r="N82" s="336" t="n">
        <v>2.15525515571131</v>
      </c>
      <c r="O82" s="336" t="n">
        <v>2.67581168502511</v>
      </c>
      <c r="P82" s="336" t="n">
        <v>16.793354398363</v>
      </c>
      <c r="Q82" s="336" t="n">
        <v>23.5004998078511</v>
      </c>
      <c r="R82" s="336" t="n">
        <v>6.84556171074542</v>
      </c>
      <c r="S82" s="336" t="n">
        <v>35.8768910935938</v>
      </c>
      <c r="T82" s="194" t="n">
        <v>0.201911470127156</v>
      </c>
      <c r="U82" s="194" t="n">
        <v>0.00523362654589793</v>
      </c>
      <c r="V82" s="194" t="n">
        <v>-0.0150698441038147</v>
      </c>
      <c r="W82" s="194" t="n">
        <v>-0.156194634666008</v>
      </c>
      <c r="X82" s="194" t="n">
        <v>0.253213370612833</v>
      </c>
      <c r="Y82" s="194" t="n">
        <v>0.284937442177561</v>
      </c>
      <c r="Z82" s="194" t="n">
        <v>0.284937442177561</v>
      </c>
    </row>
    <row r="83" customFormat="false" ht="12" hidden="false" customHeight="false" outlineLevel="0" collapsed="false">
      <c r="A83" s="0" t="s">
        <v>525</v>
      </c>
      <c r="B83" s="0" t="n">
        <v>13</v>
      </c>
      <c r="C83" s="194" t="n">
        <v>0.02958</v>
      </c>
      <c r="D83" s="194" t="n">
        <v>0.220534671523629</v>
      </c>
      <c r="E83" s="194" t="n">
        <v>0.277940435003154</v>
      </c>
      <c r="F83" s="194" t="n">
        <v>0.139276412611015</v>
      </c>
      <c r="G83" s="336" t="n">
        <v>0.911016275352237</v>
      </c>
      <c r="H83" s="336" t="n">
        <v>0.891029818181818</v>
      </c>
      <c r="I83" s="194" t="n">
        <v>0.0693643147636364</v>
      </c>
      <c r="J83" s="194" t="n">
        <v>0.496143754308245</v>
      </c>
      <c r="K83" s="194" t="n">
        <v>0.0391</v>
      </c>
      <c r="L83" s="194" t="n">
        <v>0.060592927396481</v>
      </c>
      <c r="M83" s="194" t="n">
        <v>0.0669619073057705</v>
      </c>
      <c r="N83" s="336" t="n">
        <v>1.28687065849987</v>
      </c>
      <c r="O83" s="336" t="n">
        <v>6.38968436097002</v>
      </c>
      <c r="P83" s="336" t="n">
        <v>21.9725417534643</v>
      </c>
      <c r="Q83" s="336" t="n">
        <v>30.0983095778795</v>
      </c>
      <c r="R83" s="336" t="n">
        <v>5.52985373746078</v>
      </c>
      <c r="S83" s="336" t="n">
        <v>42.6527407277602</v>
      </c>
      <c r="T83" s="194" t="n">
        <v>0.207257879472683</v>
      </c>
      <c r="U83" s="194" t="n">
        <v>0.0222783702371646</v>
      </c>
      <c r="V83" s="194" t="n">
        <v>-0.00667477314749351</v>
      </c>
      <c r="W83" s="194" t="n">
        <v>0.0857103717459204</v>
      </c>
      <c r="X83" s="194" t="n">
        <v>0.16334166239069</v>
      </c>
      <c r="Y83" s="194" t="n">
        <v>0.095661520299667</v>
      </c>
      <c r="Z83" s="194" t="n">
        <v>0.095661520299667</v>
      </c>
    </row>
    <row r="84" customFormat="false" ht="12" hidden="false" customHeight="false" outlineLevel="0" collapsed="false">
      <c r="A84" s="0" t="s">
        <v>526</v>
      </c>
      <c r="B84" s="0" t="n">
        <v>305</v>
      </c>
      <c r="C84" s="194" t="n">
        <v>0.197171785714286</v>
      </c>
      <c r="D84" s="194" t="n">
        <v>0.260394717250998</v>
      </c>
      <c r="E84" s="194" t="n">
        <v>0.166346933300546</v>
      </c>
      <c r="F84" s="194" t="n">
        <v>0.15824291922397</v>
      </c>
      <c r="G84" s="336" t="n">
        <v>1.19913079445104</v>
      </c>
      <c r="H84" s="336" t="n">
        <v>1.20334090534979</v>
      </c>
      <c r="I84" s="194" t="n">
        <v>0.0852297179917696</v>
      </c>
      <c r="J84" s="194" t="n">
        <v>0.65595239422637</v>
      </c>
      <c r="K84" s="194" t="n">
        <v>0.0466</v>
      </c>
      <c r="L84" s="194" t="n">
        <v>0.0320985475744302</v>
      </c>
      <c r="M84" s="194" t="n">
        <v>0.0836307699949515</v>
      </c>
      <c r="N84" s="336" t="n">
        <v>0.654103707447389</v>
      </c>
      <c r="O84" s="336" t="n">
        <v>8.04009971691332</v>
      </c>
      <c r="P84" s="336" t="n">
        <v>22.89282038796</v>
      </c>
      <c r="Q84" s="336" t="n">
        <v>31.9307395695961</v>
      </c>
      <c r="R84" s="336" t="n">
        <v>4.96747479735518</v>
      </c>
      <c r="S84" s="336" t="n">
        <v>76.0255286412391</v>
      </c>
      <c r="T84" s="194" t="n">
        <v>0.0986212406622428</v>
      </c>
      <c r="U84" s="194" t="n">
        <v>0.104652139343787</v>
      </c>
      <c r="V84" s="194" t="n">
        <v>0.0892110076852721</v>
      </c>
      <c r="W84" s="194" t="n">
        <v>0.567185448393572</v>
      </c>
      <c r="X84" s="194" t="n">
        <v>0.185174855574995</v>
      </c>
      <c r="Y84" s="194" t="n">
        <v>0.00266732108983007</v>
      </c>
      <c r="Z84" s="194" t="n">
        <v>0.00266732108983003</v>
      </c>
    </row>
    <row r="85" customFormat="false" ht="12" hidden="false" customHeight="false" outlineLevel="0" collapsed="false">
      <c r="A85" s="0" t="s">
        <v>527</v>
      </c>
      <c r="B85" s="0" t="n">
        <v>255</v>
      </c>
      <c r="C85" s="194" t="n">
        <v>0.127112574257426</v>
      </c>
      <c r="D85" s="194" t="n">
        <v>0.210942472839617</v>
      </c>
      <c r="E85" s="194" t="n">
        <v>0.148232896281662</v>
      </c>
      <c r="F85" s="194" t="n">
        <v>0.143950948344714</v>
      </c>
      <c r="G85" s="336" t="n">
        <v>1.0202561296565</v>
      </c>
      <c r="H85" s="336" t="n">
        <v>1.08754841121495</v>
      </c>
      <c r="I85" s="194" t="n">
        <v>0.0793474592897196</v>
      </c>
      <c r="J85" s="194" t="n">
        <v>0.532682817513367</v>
      </c>
      <c r="K85" s="194" t="n">
        <v>0.0391</v>
      </c>
      <c r="L85" s="194" t="n">
        <v>0.123885641307957</v>
      </c>
      <c r="M85" s="194" t="n">
        <v>0.0731988341265629</v>
      </c>
      <c r="N85" s="336" t="n">
        <v>0.729210647239861</v>
      </c>
      <c r="O85" s="336" t="n">
        <v>7.27177380164007</v>
      </c>
      <c r="P85" s="336" t="n">
        <v>22.6191810090646</v>
      </c>
      <c r="Q85" s="336" t="n">
        <v>35.0236619635007</v>
      </c>
      <c r="R85" s="336" t="n">
        <v>6.59800624504686</v>
      </c>
      <c r="S85" s="336" t="n">
        <v>362.13555448213</v>
      </c>
      <c r="T85" s="194" t="n">
        <v>0.127550738454299</v>
      </c>
      <c r="U85" s="194" t="n">
        <v>0.0588418914400175</v>
      </c>
      <c r="V85" s="194" t="n">
        <v>0.168859531695577</v>
      </c>
      <c r="W85" s="194" t="n">
        <v>1.0913946738068</v>
      </c>
      <c r="X85" s="194" t="n">
        <v>0.17083302894913</v>
      </c>
      <c r="Y85" s="194" t="n">
        <v>0.502822182494973</v>
      </c>
      <c r="Z85" s="194" t="n">
        <v>0.502822182494973</v>
      </c>
    </row>
    <row r="86" customFormat="false" ht="12" hidden="false" customHeight="false" outlineLevel="0" collapsed="false">
      <c r="A86" s="0" t="s">
        <v>528</v>
      </c>
      <c r="B86" s="0" t="n">
        <v>37</v>
      </c>
      <c r="C86" s="194" t="n">
        <v>-0.0438147619047619</v>
      </c>
      <c r="D86" s="194" t="n">
        <v>0.0728977286472313</v>
      </c>
      <c r="E86" s="194" t="n">
        <v>0.156658698077695</v>
      </c>
      <c r="F86" s="194" t="n">
        <v>0.261763390861129</v>
      </c>
      <c r="G86" s="336" t="n">
        <v>1.53269272819231</v>
      </c>
      <c r="H86" s="336" t="n">
        <v>1.81667509677419</v>
      </c>
      <c r="I86" s="194" t="n">
        <v>0.116387094916129</v>
      </c>
      <c r="J86" s="194" t="n">
        <v>0.703990003373344</v>
      </c>
      <c r="K86" s="194" t="n">
        <v>0.0466</v>
      </c>
      <c r="L86" s="194" t="n">
        <v>0.265934542206627</v>
      </c>
      <c r="M86" s="194" t="n">
        <v>0.0948540838576389</v>
      </c>
      <c r="N86" s="336" t="n">
        <v>2.31206360337034</v>
      </c>
      <c r="O86" s="336" t="n">
        <v>0.959360458904128</v>
      </c>
      <c r="P86" s="336" t="n">
        <v>8.43530158010863</v>
      </c>
      <c r="Q86" s="336" t="n">
        <v>12.9337158874421</v>
      </c>
      <c r="R86" s="336" t="n">
        <v>2.25608763573409</v>
      </c>
      <c r="S86" s="336" t="n">
        <v>32.3047550965593</v>
      </c>
      <c r="T86" s="194" t="n">
        <v>0.210474224692101</v>
      </c>
      <c r="U86" s="194" t="n">
        <v>0.0286208391333372</v>
      </c>
      <c r="V86" s="194" t="n">
        <v>0.0173863731301759</v>
      </c>
      <c r="W86" s="194" t="n">
        <v>0.637208243614393</v>
      </c>
      <c r="X86" s="194" t="n">
        <v>0.122320459987163</v>
      </c>
      <c r="Y86" s="194" t="n">
        <v>0.342600562582792</v>
      </c>
      <c r="Z86" s="194" t="n">
        <v>0.342600562582792</v>
      </c>
    </row>
    <row r="87" customFormat="false" ht="12" hidden="false" customHeight="false" outlineLevel="0" collapsed="false">
      <c r="A87" s="0" t="s">
        <v>529</v>
      </c>
      <c r="B87" s="0" t="n">
        <v>18</v>
      </c>
      <c r="C87" s="194" t="n">
        <v>0.00812857142857144</v>
      </c>
      <c r="D87" s="194" t="n">
        <v>0.0877991704562222</v>
      </c>
      <c r="E87" s="194" t="n">
        <v>0.0543443549228426</v>
      </c>
      <c r="F87" s="194" t="n">
        <v>0.477777421732304</v>
      </c>
      <c r="G87" s="336" t="n">
        <v>0.708369003220438</v>
      </c>
      <c r="H87" s="336" t="n">
        <v>1.30175753846154</v>
      </c>
      <c r="I87" s="194" t="n">
        <v>0.0902292829538462</v>
      </c>
      <c r="J87" s="194" t="n">
        <v>0.544615086064977</v>
      </c>
      <c r="K87" s="194" t="n">
        <v>0.0391</v>
      </c>
      <c r="L87" s="194" t="n">
        <v>0.545400914994839</v>
      </c>
      <c r="M87" s="194" t="n">
        <v>0.0572252830614769</v>
      </c>
      <c r="N87" s="336" t="n">
        <v>0.672367066481309</v>
      </c>
      <c r="O87" s="336" t="n">
        <v>2.15496664266178</v>
      </c>
      <c r="P87" s="336" t="n">
        <v>6.23833548988185</v>
      </c>
      <c r="Q87" s="336" t="n">
        <v>24.5578487822554</v>
      </c>
      <c r="R87" s="336" t="n">
        <v>1.79271578323487</v>
      </c>
      <c r="S87" s="336" t="n">
        <v>118.327844461264</v>
      </c>
      <c r="T87" s="194" t="n">
        <v>0.0307718600548363</v>
      </c>
      <c r="U87" s="194" t="n">
        <v>0.138629544427215</v>
      </c>
      <c r="V87" s="194" t="n">
        <v>-0.051472167218549</v>
      </c>
      <c r="W87" s="194" t="n">
        <v>0.500245743989194</v>
      </c>
      <c r="X87" s="194" t="n">
        <v>0.0186813234872853</v>
      </c>
      <c r="Y87" s="194" t="n">
        <v>0.110658894312369</v>
      </c>
      <c r="Z87" s="194" t="n">
        <v>0.110658894312369</v>
      </c>
    </row>
    <row r="88" customFormat="false" ht="12" hidden="false" customHeight="false" outlineLevel="0" collapsed="false">
      <c r="A88" s="0" t="s">
        <v>530</v>
      </c>
      <c r="B88" s="0" t="n">
        <v>104</v>
      </c>
      <c r="C88" s="194" t="n">
        <v>0.0436135</v>
      </c>
      <c r="D88" s="194" t="n">
        <v>0.185076872613125</v>
      </c>
      <c r="E88" s="194" t="n">
        <v>0.135873101682357</v>
      </c>
      <c r="F88" s="194" t="n">
        <v>0.215722014896423</v>
      </c>
      <c r="G88" s="336" t="n">
        <v>0.958985984639131</v>
      </c>
      <c r="H88" s="336" t="n">
        <v>1.03447744680851</v>
      </c>
      <c r="I88" s="194" t="n">
        <v>0.0766514542978724</v>
      </c>
      <c r="J88" s="194" t="n">
        <v>0.578670753809311</v>
      </c>
      <c r="K88" s="194" t="n">
        <v>0.0391</v>
      </c>
      <c r="L88" s="194" t="n">
        <v>0.171710081370135</v>
      </c>
      <c r="M88" s="194" t="n">
        <v>0.0685921636212405</v>
      </c>
      <c r="N88" s="336" t="n">
        <v>0.798496893494267</v>
      </c>
      <c r="O88" s="336" t="n">
        <v>3.47592617808597</v>
      </c>
      <c r="P88" s="336" t="n">
        <v>13.5771125811204</v>
      </c>
      <c r="Q88" s="336" t="n">
        <v>18.1157616864263</v>
      </c>
      <c r="R88" s="336" t="n">
        <v>3.21903614374211</v>
      </c>
      <c r="S88" s="336" t="n">
        <v>56.5252679624431</v>
      </c>
      <c r="T88" s="194" t="n">
        <v>0.174973805232811</v>
      </c>
      <c r="U88" s="194" t="n">
        <v>0.0347537629377464</v>
      </c>
      <c r="V88" s="194" t="n">
        <v>0.0567418862226997</v>
      </c>
      <c r="W88" s="194" t="n">
        <v>0.441098185800307</v>
      </c>
      <c r="X88" s="194" t="n">
        <v>0.153105186511792</v>
      </c>
      <c r="Y88" s="194" t="n">
        <v>0.439041552301859</v>
      </c>
      <c r="Z88" s="194" t="n">
        <v>0.439041552301859</v>
      </c>
    </row>
    <row r="89" customFormat="false" ht="12" hidden="false" customHeight="false" outlineLevel="0" collapsed="false">
      <c r="A89" s="0" t="s">
        <v>531</v>
      </c>
      <c r="B89" s="0" t="n">
        <v>66</v>
      </c>
      <c r="C89" s="194" t="n">
        <v>0.0632168965517241</v>
      </c>
      <c r="D89" s="194" t="n">
        <v>0.175772027735251</v>
      </c>
      <c r="E89" s="194" t="n">
        <v>0.15967967834448</v>
      </c>
      <c r="F89" s="194" t="n">
        <v>0.331999565936781</v>
      </c>
      <c r="G89" s="336" t="n">
        <v>0.719309484888425</v>
      </c>
      <c r="H89" s="336" t="n">
        <v>1.08334537931035</v>
      </c>
      <c r="I89" s="194" t="n">
        <v>0.0791339452689655</v>
      </c>
      <c r="J89" s="194" t="n">
        <v>0.525668422795832</v>
      </c>
      <c r="K89" s="194" t="n">
        <v>0.0391</v>
      </c>
      <c r="L89" s="194" t="n">
        <v>0.442996018863408</v>
      </c>
      <c r="M89" s="194" t="n">
        <v>0.057241992254404</v>
      </c>
      <c r="N89" s="336" t="n">
        <v>0.987930043679494</v>
      </c>
      <c r="O89" s="336" t="n">
        <v>2.56811204982989</v>
      </c>
      <c r="P89" s="336" t="n">
        <v>7.32280859039374</v>
      </c>
      <c r="Q89" s="336" t="n">
        <v>14.5753313498357</v>
      </c>
      <c r="R89" s="336" t="n">
        <v>2.81873826931872</v>
      </c>
      <c r="S89" s="336" t="n">
        <v>45.5485087519145</v>
      </c>
      <c r="T89" s="194" t="n">
        <v>-0.0289038058839878</v>
      </c>
      <c r="U89" s="194" t="n">
        <v>0.145384265850091</v>
      </c>
      <c r="V89" s="194" t="n">
        <v>0.024407642665317</v>
      </c>
      <c r="W89" s="194" t="n">
        <v>0.386168293158096</v>
      </c>
      <c r="X89" s="194" t="n">
        <v>0.163369053068225</v>
      </c>
      <c r="Y89" s="194" t="n">
        <v>0.844118946283251</v>
      </c>
      <c r="Z89" s="194" t="n">
        <v>0.844118946283251</v>
      </c>
    </row>
    <row r="90" customFormat="false" ht="12" hidden="false" customHeight="false" outlineLevel="0" collapsed="false">
      <c r="A90" s="0" t="s">
        <v>532</v>
      </c>
      <c r="B90" s="0" t="n">
        <v>24</v>
      </c>
      <c r="C90" s="194" t="n">
        <v>0.85315</v>
      </c>
      <c r="D90" s="194" t="n">
        <v>0.406177728181325</v>
      </c>
      <c r="E90" s="194" t="n">
        <v>0.955941899547263</v>
      </c>
      <c r="F90" s="194" t="n">
        <v>0.314726430103064</v>
      </c>
      <c r="G90" s="336" t="n">
        <v>1.151843768927</v>
      </c>
      <c r="H90" s="336" t="n">
        <v>1.26220252631579</v>
      </c>
      <c r="I90" s="194" t="n">
        <v>0.0882198883368421</v>
      </c>
      <c r="J90" s="194" t="n">
        <v>0.451582473134512</v>
      </c>
      <c r="K90" s="194" t="n">
        <v>0.0391</v>
      </c>
      <c r="L90" s="194" t="n">
        <v>0.146294480940788</v>
      </c>
      <c r="M90" s="194" t="n">
        <v>0.079661092359586</v>
      </c>
      <c r="N90" s="336" t="n">
        <v>2.48393804576255</v>
      </c>
      <c r="O90" s="336" t="n">
        <v>6.63070586713136</v>
      </c>
      <c r="P90" s="336" t="n">
        <v>15.3085471437494</v>
      </c>
      <c r="Q90" s="336" t="n">
        <v>16.28646180718</v>
      </c>
      <c r="R90" s="336" t="n">
        <v>78.2543022312845</v>
      </c>
      <c r="S90" s="336" t="n">
        <v>26.3050162193261</v>
      </c>
      <c r="T90" s="194" t="n">
        <v>0.180504490575132</v>
      </c>
      <c r="U90" s="194" t="n">
        <v>0.0328833080874287</v>
      </c>
      <c r="V90" s="194" t="n">
        <v>-0.0642321373091949</v>
      </c>
      <c r="W90" s="194" t="n">
        <v>-0.172930063887796</v>
      </c>
      <c r="X90" s="194" t="n">
        <v>-2.82121470186344</v>
      </c>
      <c r="Y90" s="194" t="n">
        <v>0.50439602521281</v>
      </c>
      <c r="Z90" s="194" t="n">
        <v>0.50439602521281</v>
      </c>
    </row>
    <row r="91" customFormat="false" ht="12" hidden="false" customHeight="false" outlineLevel="0" collapsed="false">
      <c r="A91" s="0" t="s">
        <v>533</v>
      </c>
      <c r="B91" s="0" t="n">
        <v>18</v>
      </c>
      <c r="C91" s="194" t="n">
        <v>0.191238461538462</v>
      </c>
      <c r="D91" s="194" t="n">
        <v>0.0771651310548101</v>
      </c>
      <c r="E91" s="194" t="n">
        <v>0.176055879540765</v>
      </c>
      <c r="F91" s="194" t="n">
        <v>0.332908457970677</v>
      </c>
      <c r="G91" s="336" t="n">
        <v>0.796648642006179</v>
      </c>
      <c r="H91" s="336" t="n">
        <v>0.9490325</v>
      </c>
      <c r="I91" s="194" t="n">
        <v>0.072310851</v>
      </c>
      <c r="J91" s="194" t="n">
        <v>0.463643712862958</v>
      </c>
      <c r="K91" s="194" t="n">
        <v>0.0391</v>
      </c>
      <c r="L91" s="194" t="n">
        <v>0.230910313819055</v>
      </c>
      <c r="M91" s="194" t="n">
        <v>0.0624752605885141</v>
      </c>
      <c r="N91" s="336" t="n">
        <v>2.92191449164333</v>
      </c>
      <c r="O91" s="336" t="n">
        <v>1.54393988175882</v>
      </c>
      <c r="P91" s="336" t="n">
        <v>11.2193948072429</v>
      </c>
      <c r="Q91" s="336" t="n">
        <v>20.0109039501513</v>
      </c>
      <c r="R91" s="336" t="n">
        <v>7.25875284022823</v>
      </c>
      <c r="S91" s="336" t="n">
        <v>31.8115388662615</v>
      </c>
      <c r="T91" s="194" t="n">
        <v>0.084642954950654</v>
      </c>
      <c r="U91" s="194" t="n">
        <v>0.0666935555500043</v>
      </c>
      <c r="V91" s="194" t="n">
        <v>0.034627212521407</v>
      </c>
      <c r="W91" s="194" t="n">
        <v>0.924449417312158</v>
      </c>
      <c r="X91" s="194" t="n">
        <v>0.289707779333461</v>
      </c>
      <c r="Y91" s="194" t="n">
        <v>0.473387668947957</v>
      </c>
      <c r="Z91" s="194" t="n">
        <v>0.473387668947957</v>
      </c>
    </row>
    <row r="92" customFormat="false" ht="12" hidden="false" customHeight="false" outlineLevel="0" collapsed="false">
      <c r="A92" s="0" t="s">
        <v>534</v>
      </c>
      <c r="B92" s="0" t="n">
        <v>8</v>
      </c>
      <c r="C92" s="194" t="n">
        <v>0.042552</v>
      </c>
      <c r="D92" s="194" t="n">
        <v>0.343268867642182</v>
      </c>
      <c r="E92" s="194" t="n">
        <v>0.135533397960257</v>
      </c>
      <c r="F92" s="194" t="n">
        <v>0.375254503840375</v>
      </c>
      <c r="G92" s="336" t="n">
        <v>0.868837276865501</v>
      </c>
      <c r="H92" s="336" t="n">
        <v>1.00544342857143</v>
      </c>
      <c r="I92" s="194" t="n">
        <v>0.0751765261714286</v>
      </c>
      <c r="J92" s="194" t="n">
        <v>0.297706703853251</v>
      </c>
      <c r="K92" s="194" t="n">
        <v>0.0361</v>
      </c>
      <c r="L92" s="194" t="n">
        <v>0.184759346144078</v>
      </c>
      <c r="M92" s="194" t="n">
        <v>0.0663560177714212</v>
      </c>
      <c r="N92" s="336" t="n">
        <v>0.518293058763431</v>
      </c>
      <c r="O92" s="336" t="n">
        <v>5.39579651017922</v>
      </c>
      <c r="P92" s="336" t="n">
        <v>11.5590326099322</v>
      </c>
      <c r="Q92" s="336" t="n">
        <v>15.7165604241476</v>
      </c>
      <c r="R92" s="336" t="n">
        <v>4.18893445642123</v>
      </c>
      <c r="S92" s="336" t="n">
        <v>26.0971149341866</v>
      </c>
      <c r="T92" s="194" t="n">
        <v>0.0282685473754147</v>
      </c>
      <c r="U92" s="194" t="n">
        <v>0.174535754525614</v>
      </c>
      <c r="V92" s="194" t="n">
        <v>0.0915111812642836</v>
      </c>
      <c r="W92" s="194" t="n">
        <v>0.428006801168934</v>
      </c>
      <c r="X92" s="194" t="n">
        <v>0.174050311878813</v>
      </c>
      <c r="Y92" s="194" t="n">
        <v>0.38151198286988</v>
      </c>
      <c r="Z92" s="194" t="n">
        <v>0.38151198286988</v>
      </c>
    </row>
    <row r="93" customFormat="false" ht="12" hidden="false" customHeight="false" outlineLevel="0" collapsed="false">
      <c r="A93" s="0" t="s">
        <v>535</v>
      </c>
      <c r="B93" s="0" t="n">
        <v>30</v>
      </c>
      <c r="C93" s="194" t="n">
        <v>0.0348005</v>
      </c>
      <c r="D93" s="194" t="n">
        <v>0.0765600327765182</v>
      </c>
      <c r="E93" s="194" t="n">
        <v>0.0706972616838973</v>
      </c>
      <c r="F93" s="194" t="n">
        <v>0.35955171845406</v>
      </c>
      <c r="G93" s="336" t="n">
        <v>0.806946232239281</v>
      </c>
      <c r="H93" s="336" t="n">
        <v>1.19801632</v>
      </c>
      <c r="I93" s="194" t="n">
        <v>0.084959229056</v>
      </c>
      <c r="J93" s="194" t="n">
        <v>0.542471889144899</v>
      </c>
      <c r="K93" s="194" t="n">
        <v>0.0391</v>
      </c>
      <c r="L93" s="194" t="n">
        <v>0.411061025967362</v>
      </c>
      <c r="M93" s="194" t="n">
        <v>0.0622508906424907</v>
      </c>
      <c r="N93" s="336" t="n">
        <v>1.16215643106986</v>
      </c>
      <c r="O93" s="336" t="n">
        <v>1.78814212875754</v>
      </c>
      <c r="P93" s="336" t="n">
        <v>11.4560222081174</v>
      </c>
      <c r="Q93" s="336" t="n">
        <v>23.3074399894181</v>
      </c>
      <c r="R93" s="336" t="n">
        <v>3.32853159114708</v>
      </c>
      <c r="S93" s="336" t="n">
        <v>41.4550960124238</v>
      </c>
      <c r="T93" s="194" t="n">
        <v>0.0764044624324512</v>
      </c>
      <c r="U93" s="194" t="n">
        <v>0.173535074010026</v>
      </c>
      <c r="V93" s="194" t="n">
        <v>0.111651333374247</v>
      </c>
      <c r="W93" s="194" t="n">
        <v>2.31017956420274</v>
      </c>
      <c r="X93" s="194" t="n">
        <v>0.0787261851299469</v>
      </c>
      <c r="Y93" s="194" t="n">
        <v>0.274588203934113</v>
      </c>
      <c r="Z93" s="194" t="n">
        <v>0.274588203934113</v>
      </c>
    </row>
    <row r="94" customFormat="false" ht="12" hidden="false" customHeight="false" outlineLevel="0" collapsed="false">
      <c r="A94" s="0" t="s">
        <v>536</v>
      </c>
      <c r="B94" s="0" t="n">
        <v>18</v>
      </c>
      <c r="C94" s="194" t="n">
        <v>0.0245644444444444</v>
      </c>
      <c r="D94" s="194" t="n">
        <v>0.193894119327087</v>
      </c>
      <c r="E94" s="194" t="n">
        <v>0.0621310111515353</v>
      </c>
      <c r="F94" s="194" t="n">
        <v>0.311210214655811</v>
      </c>
      <c r="G94" s="336" t="n">
        <v>0.195288263491031</v>
      </c>
      <c r="H94" s="336" t="n">
        <v>0.293367111111111</v>
      </c>
      <c r="I94" s="194" t="n">
        <v>0.0390030492444445</v>
      </c>
      <c r="J94" s="194" t="n">
        <v>0.206669308463897</v>
      </c>
      <c r="K94" s="194" t="n">
        <v>0.0311</v>
      </c>
      <c r="L94" s="194" t="n">
        <v>0.402051407696895</v>
      </c>
      <c r="M94" s="194" t="n">
        <v>0.0328247054635681</v>
      </c>
      <c r="N94" s="336" t="n">
        <v>0.463651849872304</v>
      </c>
      <c r="O94" s="336" t="n">
        <v>3.72869082674076</v>
      </c>
      <c r="P94" s="336" t="n">
        <v>11.8128156396267</v>
      </c>
      <c r="Q94" s="336" t="n">
        <v>19.2308946659015</v>
      </c>
      <c r="R94" s="336" t="n">
        <v>2.15215510369475</v>
      </c>
      <c r="S94" s="336" t="n">
        <v>23.9986347222583</v>
      </c>
      <c r="T94" s="194" t="n">
        <v>0.0509175924155361</v>
      </c>
      <c r="U94" s="194" t="n">
        <v>0.293756938249471</v>
      </c>
      <c r="V94" s="194" t="n">
        <v>0.197627302547046</v>
      </c>
      <c r="W94" s="194" t="n">
        <v>1.49067653265211</v>
      </c>
      <c r="X94" s="194" t="n">
        <v>0.0994720372243724</v>
      </c>
      <c r="Y94" s="194" t="n">
        <v>0.763335859046923</v>
      </c>
      <c r="Z94" s="194" t="n">
        <v>0.763335859046923</v>
      </c>
    </row>
    <row r="95" customFormat="false" ht="12" hidden="false" customHeight="false" outlineLevel="0" collapsed="false">
      <c r="A95" s="0" t="s">
        <v>537</v>
      </c>
      <c r="B95" s="0" t="n">
        <v>23</v>
      </c>
      <c r="C95" s="194" t="n">
        <v>0.0377486666666667</v>
      </c>
      <c r="D95" s="194" t="n">
        <v>0.282745740407058</v>
      </c>
      <c r="E95" s="194" t="n">
        <v>0.0885632727423913</v>
      </c>
      <c r="F95" s="194" t="n">
        <v>0.328585388582929</v>
      </c>
      <c r="G95" s="336" t="n">
        <v>0.267428459193341</v>
      </c>
      <c r="H95" s="336" t="n">
        <v>0.342384</v>
      </c>
      <c r="I95" s="194" t="n">
        <v>0.0414931072</v>
      </c>
      <c r="J95" s="194" t="n">
        <v>0.344960004870721</v>
      </c>
      <c r="K95" s="194" t="n">
        <v>0.0361</v>
      </c>
      <c r="L95" s="194" t="n">
        <v>0.276093682516489</v>
      </c>
      <c r="M95" s="194" t="n">
        <v>0.037612028707623</v>
      </c>
      <c r="N95" s="336" t="n">
        <v>0.368969117963142</v>
      </c>
      <c r="O95" s="336" t="n">
        <v>6.47566861492248</v>
      </c>
      <c r="P95" s="336" t="n">
        <v>15.2126287731923</v>
      </c>
      <c r="Q95" s="336" t="n">
        <v>22.5634824418829</v>
      </c>
      <c r="R95" s="336" t="n">
        <v>3.32586048810399</v>
      </c>
      <c r="S95" s="336" t="n">
        <v>137.582212804887</v>
      </c>
      <c r="T95" s="194" t="n">
        <v>0.0988867031233591</v>
      </c>
      <c r="U95" s="194" t="n">
        <v>0.346500660962504</v>
      </c>
      <c r="V95" s="194" t="n">
        <v>0.260683259838922</v>
      </c>
      <c r="W95" s="194" t="n">
        <v>1.57214363413187</v>
      </c>
      <c r="X95" s="194" t="n">
        <v>0.13627859626925</v>
      </c>
      <c r="Y95" s="194" t="n">
        <v>0.582335391848613</v>
      </c>
      <c r="Z95" s="194"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37" width="27"/>
    <col collapsed="false" customWidth="true" hidden="false" outlineLevel="0" max="3" min="2" style="338" width="10.83"/>
    <col collapsed="false" customWidth="true" hidden="false" outlineLevel="0" max="4" min="4" style="338" width="15.5"/>
    <col collapsed="false" customWidth="true" hidden="false" outlineLevel="0" max="23" min="5" style="338" width="10.83"/>
  </cols>
  <sheetData>
    <row r="1" s="340" customFormat="true" ht="57.45" hidden="false" customHeight="false" outlineLevel="0" collapsed="false">
      <c r="A1" s="339" t="s">
        <v>424</v>
      </c>
      <c r="B1" s="340" t="s">
        <v>425</v>
      </c>
      <c r="C1" s="341" t="s">
        <v>426</v>
      </c>
      <c r="D1" s="340" t="s">
        <v>427</v>
      </c>
      <c r="E1" s="341" t="s">
        <v>428</v>
      </c>
      <c r="F1" s="340" t="s">
        <v>429</v>
      </c>
      <c r="G1" s="340" t="s">
        <v>367</v>
      </c>
      <c r="H1" s="340" t="s">
        <v>430</v>
      </c>
      <c r="I1" s="340" t="s">
        <v>431</v>
      </c>
      <c r="J1" s="340" t="s">
        <v>432</v>
      </c>
      <c r="K1" s="340" t="s">
        <v>433</v>
      </c>
      <c r="L1" s="340" t="s">
        <v>434</v>
      </c>
      <c r="M1" s="340" t="s">
        <v>133</v>
      </c>
      <c r="N1" s="342" t="s">
        <v>435</v>
      </c>
      <c r="O1" s="340" t="s">
        <v>365</v>
      </c>
      <c r="P1" s="340" t="s">
        <v>436</v>
      </c>
      <c r="Q1" s="340" t="s">
        <v>437</v>
      </c>
      <c r="R1" s="340" t="s">
        <v>438</v>
      </c>
      <c r="S1" s="340" t="s">
        <v>439</v>
      </c>
      <c r="T1" s="340" t="s">
        <v>440</v>
      </c>
      <c r="U1" s="340" t="s">
        <v>441</v>
      </c>
      <c r="V1" s="340" t="s">
        <v>442</v>
      </c>
      <c r="W1" s="340" t="s">
        <v>443</v>
      </c>
      <c r="X1" s="339" t="s">
        <v>444</v>
      </c>
      <c r="Y1" s="339" t="s">
        <v>445</v>
      </c>
      <c r="Z1" s="339" t="s">
        <v>446</v>
      </c>
    </row>
    <row r="2" s="347" customFormat="true" ht="12.65" hidden="false" customHeight="false" outlineLevel="0" collapsed="false">
      <c r="A2" s="343" t="s">
        <v>369</v>
      </c>
      <c r="B2" s="344" t="n">
        <v>258</v>
      </c>
      <c r="C2" s="345" t="n">
        <v>0.068148</v>
      </c>
      <c r="D2" s="345" t="n">
        <v>0.105528377602578</v>
      </c>
      <c r="E2" s="345" t="n">
        <v>0.359064194641489</v>
      </c>
      <c r="F2" s="345" t="n">
        <v>0.266198054779797</v>
      </c>
      <c r="G2" s="346" t="n">
        <v>0.96915594002699</v>
      </c>
      <c r="H2" s="346" t="n">
        <v>1.150971005</v>
      </c>
      <c r="I2" s="345" t="n">
        <v>0.09546020231</v>
      </c>
      <c r="J2" s="345" t="n">
        <v>0.457404459</v>
      </c>
      <c r="K2" s="345" t="n">
        <v>0.0491</v>
      </c>
      <c r="L2" s="345" t="n">
        <v>0.278894071941824</v>
      </c>
      <c r="M2" s="345" t="n">
        <v>0.0791578586646812</v>
      </c>
      <c r="N2" s="346" t="n">
        <v>4.15636093779046</v>
      </c>
      <c r="O2" s="346" t="n">
        <v>1.56826182810105</v>
      </c>
      <c r="P2" s="346" t="n">
        <v>9.48166987331056</v>
      </c>
      <c r="Q2" s="346" t="n">
        <v>14.6887383835193</v>
      </c>
      <c r="R2" s="346" t="n">
        <v>2.49079965589536</v>
      </c>
      <c r="S2" s="346" t="n">
        <v>57.77850674</v>
      </c>
      <c r="T2" s="345" t="n">
        <v>-0.0355768370647514</v>
      </c>
      <c r="U2" s="345" t="n">
        <v>0.0198453630550833</v>
      </c>
      <c r="V2" s="345" t="n">
        <v>0.0171361429818451</v>
      </c>
      <c r="W2" s="345" t="n">
        <v>0.349776398867279</v>
      </c>
      <c r="X2" s="345" t="n">
        <v>0.126183729496729</v>
      </c>
      <c r="Y2" s="345" t="n">
        <v>0.545358021632279</v>
      </c>
      <c r="Z2" s="345" t="n">
        <v>0.545358021632279</v>
      </c>
    </row>
    <row r="3" s="347" customFormat="true" ht="12.65" hidden="false" customHeight="false" outlineLevel="0" collapsed="false">
      <c r="A3" s="343" t="s">
        <v>447</v>
      </c>
      <c r="B3" s="344" t="n">
        <v>229</v>
      </c>
      <c r="C3" s="345" t="n">
        <v>0.07925110345</v>
      </c>
      <c r="D3" s="345" t="n">
        <v>0.087505455164523</v>
      </c>
      <c r="E3" s="345" t="n">
        <v>0.204364550432961</v>
      </c>
      <c r="F3" s="345" t="n">
        <v>0.2741209407233</v>
      </c>
      <c r="G3" s="346" t="n">
        <v>1.05459171562391</v>
      </c>
      <c r="H3" s="346" t="n">
        <v>1.141562642</v>
      </c>
      <c r="I3" s="345" t="n">
        <v>0.094876883804</v>
      </c>
      <c r="J3" s="345" t="n">
        <v>0.422912171</v>
      </c>
      <c r="K3" s="345" t="n">
        <v>0.0491</v>
      </c>
      <c r="L3" s="345" t="n">
        <v>0.172382412800298</v>
      </c>
      <c r="M3" s="345" t="n">
        <v>0.0849010767191973</v>
      </c>
      <c r="N3" s="346" t="n">
        <v>2.66107775148212</v>
      </c>
      <c r="O3" s="346" t="n">
        <v>1.81308890494665</v>
      </c>
      <c r="P3" s="346" t="n">
        <v>14.5055055915419</v>
      </c>
      <c r="Q3" s="346" t="n">
        <v>20.224597045757</v>
      </c>
      <c r="R3" s="346" t="n">
        <v>5.00831089967833</v>
      </c>
      <c r="S3" s="346" t="n">
        <v>44.54813001</v>
      </c>
      <c r="T3" s="345" t="n">
        <v>0.257296650682132</v>
      </c>
      <c r="U3" s="345" t="n">
        <v>0.0333465483475504</v>
      </c>
      <c r="V3" s="345" t="n">
        <v>0.0172688828701585</v>
      </c>
      <c r="W3" s="345" t="n">
        <v>0.600340341523228</v>
      </c>
      <c r="X3" s="345" t="n">
        <v>0.219525620905671</v>
      </c>
      <c r="Y3" s="345" t="n">
        <v>0.422849436949253</v>
      </c>
      <c r="Z3" s="345" t="n">
        <v>0.422849436949253</v>
      </c>
    </row>
    <row r="4" s="347" customFormat="true" ht="12.65" hidden="false" customHeight="false" outlineLevel="0" collapsed="false">
      <c r="A4" s="343" t="s">
        <v>448</v>
      </c>
      <c r="B4" s="344" t="n">
        <v>155</v>
      </c>
      <c r="C4" s="345" t="n">
        <v>0.06846444444</v>
      </c>
      <c r="D4" s="345" t="n">
        <v>0.0990952388452505</v>
      </c>
      <c r="E4" s="345" t="n">
        <v>0.088686709124562</v>
      </c>
      <c r="F4" s="345" t="n">
        <v>0.260803435836673</v>
      </c>
      <c r="G4" s="346" t="n">
        <v>0.636078025995849</v>
      </c>
      <c r="H4" s="346" t="n">
        <v>0.925157557</v>
      </c>
      <c r="I4" s="345" t="n">
        <v>0.081459768534</v>
      </c>
      <c r="J4" s="345" t="n">
        <v>0.326859842</v>
      </c>
      <c r="K4" s="345" t="n">
        <v>0.0461</v>
      </c>
      <c r="L4" s="345" t="n">
        <v>0.422665880059173</v>
      </c>
      <c r="M4" s="345" t="n">
        <v>0.061715270699368</v>
      </c>
      <c r="N4" s="346" t="n">
        <v>1.07593299512657</v>
      </c>
      <c r="O4" s="346" t="n">
        <v>1.6897989139283</v>
      </c>
      <c r="P4" s="346" t="n">
        <v>7.55786137733253</v>
      </c>
      <c r="Q4" s="346" t="n">
        <v>16.9476262598609</v>
      </c>
      <c r="R4" s="346" t="n">
        <v>2.43369829162584</v>
      </c>
      <c r="S4" s="346" t="n">
        <v>37.3072957</v>
      </c>
      <c r="T4" s="345" t="n">
        <v>-0.0268159769323332</v>
      </c>
      <c r="U4" s="345" t="n">
        <v>0.122613795637211</v>
      </c>
      <c r="V4" s="345" t="n">
        <v>0.0662551412997381</v>
      </c>
      <c r="W4" s="345" t="n">
        <v>0.92538841702428</v>
      </c>
      <c r="X4" s="345" t="n">
        <v>0.172454416201157</v>
      </c>
      <c r="Y4" s="345" t="n">
        <v>0.324657992333811</v>
      </c>
      <c r="Z4" s="345" t="n">
        <v>0.324657992333811</v>
      </c>
    </row>
    <row r="5" s="347" customFormat="true" ht="12.65" hidden="false" customHeight="false" outlineLevel="0" collapsed="false">
      <c r="A5" s="343" t="s">
        <v>449</v>
      </c>
      <c r="B5" s="344" t="n">
        <v>1160</v>
      </c>
      <c r="C5" s="345" t="n">
        <v>0.02688047619</v>
      </c>
      <c r="D5" s="345" t="n">
        <v>0.11078461799866</v>
      </c>
      <c r="E5" s="345" t="n">
        <v>0.14032784805857</v>
      </c>
      <c r="F5" s="345" t="n">
        <v>0.258543204999495</v>
      </c>
      <c r="G5" s="346" t="n">
        <v>0.825988804397636</v>
      </c>
      <c r="H5" s="346" t="n">
        <v>0.900268687</v>
      </c>
      <c r="I5" s="345" t="n">
        <v>0.079916658594</v>
      </c>
      <c r="J5" s="345" t="n">
        <v>0.370644854</v>
      </c>
      <c r="K5" s="345" t="n">
        <v>0.0461</v>
      </c>
      <c r="L5" s="345" t="n">
        <v>0.179423842811149</v>
      </c>
      <c r="M5" s="345" t="n">
        <v>0.0718118882945017</v>
      </c>
      <c r="N5" s="346" t="n">
        <v>1.51261812449245</v>
      </c>
      <c r="O5" s="346" t="n">
        <v>2.04366825391222</v>
      </c>
      <c r="P5" s="346" t="n">
        <v>12.0236830783048</v>
      </c>
      <c r="Q5" s="346" t="n">
        <v>18.1011872333182</v>
      </c>
      <c r="R5" s="346" t="n">
        <v>2.99188052950722</v>
      </c>
      <c r="S5" s="346" t="n">
        <v>66.70289567</v>
      </c>
      <c r="T5" s="345" t="n">
        <v>0.229820146858011</v>
      </c>
      <c r="U5" s="345" t="n">
        <v>0.0397396004663292</v>
      </c>
      <c r="V5" s="345" t="n">
        <v>0.0253810902546639</v>
      </c>
      <c r="W5" s="345" t="n">
        <v>0.397041210198551</v>
      </c>
      <c r="X5" s="345" t="n">
        <v>0.115497429835615</v>
      </c>
      <c r="Y5" s="345" t="n">
        <v>0.502523517577576</v>
      </c>
      <c r="Z5" s="345" t="n">
        <v>0.502523517577576</v>
      </c>
    </row>
    <row r="6" s="347" customFormat="true" ht="12.65" hidden="false" customHeight="false" outlineLevel="0" collapsed="false">
      <c r="A6" s="343" t="s">
        <v>450</v>
      </c>
      <c r="B6" s="344" t="n">
        <v>133</v>
      </c>
      <c r="C6" s="345" t="n">
        <v>0.05823333333</v>
      </c>
      <c r="D6" s="345" t="n">
        <v>0.0629155993903573</v>
      </c>
      <c r="E6" s="345" t="n">
        <v>0.0651084212660525</v>
      </c>
      <c r="F6" s="345" t="n">
        <v>0.254834455658827</v>
      </c>
      <c r="G6" s="346" t="n">
        <v>1.03066513273064</v>
      </c>
      <c r="H6" s="346" t="n">
        <v>1.498561479</v>
      </c>
      <c r="I6" s="345" t="n">
        <v>0.117010811698</v>
      </c>
      <c r="J6" s="345" t="n">
        <v>0.308138561</v>
      </c>
      <c r="K6" s="345" t="n">
        <v>0.0461</v>
      </c>
      <c r="L6" s="345" t="n">
        <v>0.458426514037068</v>
      </c>
      <c r="M6" s="345" t="n">
        <v>0.079298243719969</v>
      </c>
      <c r="N6" s="346" t="n">
        <v>1.20362334884837</v>
      </c>
      <c r="O6" s="346" t="n">
        <v>0.983246076328894</v>
      </c>
      <c r="P6" s="346" t="n">
        <v>9.36763334952586</v>
      </c>
      <c r="Q6" s="346" t="n">
        <v>16.1615135762741</v>
      </c>
      <c r="R6" s="346" t="n">
        <v>1.38584321043636</v>
      </c>
      <c r="S6" s="346" t="n">
        <v>133.2644732</v>
      </c>
      <c r="T6" s="345" t="n">
        <v>0.0174019237885394</v>
      </c>
      <c r="U6" s="345" t="n">
        <v>0.0699707754503951</v>
      </c>
      <c r="V6" s="345" t="n">
        <v>0.0397347971202005</v>
      </c>
      <c r="W6" s="345" t="n">
        <v>0.999512653268358</v>
      </c>
      <c r="X6" s="345" t="n">
        <v>0.125480537083455</v>
      </c>
      <c r="Y6" s="345" t="n">
        <v>0.339285186169428</v>
      </c>
      <c r="Z6" s="345" t="n">
        <v>0.339285186169428</v>
      </c>
    </row>
    <row r="7" s="347" customFormat="true" ht="12.65" hidden="false" customHeight="false" outlineLevel="0" collapsed="false">
      <c r="A7" s="343" t="s">
        <v>451</v>
      </c>
      <c r="B7" s="344" t="n">
        <v>687</v>
      </c>
      <c r="C7" s="345" t="n">
        <v>0.06030930233</v>
      </c>
      <c r="D7" s="345" t="n">
        <v>0.0785288831032566</v>
      </c>
      <c r="E7" s="345" t="n">
        <v>0.12286933835942</v>
      </c>
      <c r="F7" s="345" t="n">
        <v>0.235158198516382</v>
      </c>
      <c r="G7" s="346" t="n">
        <v>1.19924631820779</v>
      </c>
      <c r="H7" s="346" t="n">
        <v>1.262370204</v>
      </c>
      <c r="I7" s="345" t="n">
        <v>0.102366952648</v>
      </c>
      <c r="J7" s="345" t="n">
        <v>0.34653859</v>
      </c>
      <c r="K7" s="345" t="n">
        <v>0.0461</v>
      </c>
      <c r="L7" s="345" t="n">
        <v>0.177882047029379</v>
      </c>
      <c r="M7" s="345" t="n">
        <v>0.0903383226796168</v>
      </c>
      <c r="N7" s="346" t="n">
        <v>1.89927718845575</v>
      </c>
      <c r="O7" s="346" t="n">
        <v>0.999482969797987</v>
      </c>
      <c r="P7" s="346" t="n">
        <v>8.29082288279767</v>
      </c>
      <c r="Q7" s="346" t="n">
        <v>13.0551900500328</v>
      </c>
      <c r="R7" s="346" t="n">
        <v>1.94365362943947</v>
      </c>
      <c r="S7" s="346" t="n">
        <v>33.36855059</v>
      </c>
      <c r="T7" s="345" t="n">
        <v>0.112447467415268</v>
      </c>
      <c r="U7" s="345" t="n">
        <v>0.0575612034670099</v>
      </c>
      <c r="V7" s="345" t="n">
        <v>0.0502498406720653</v>
      </c>
      <c r="W7" s="345" t="n">
        <v>1.04598287607176</v>
      </c>
      <c r="X7" s="345" t="n">
        <v>0.137007206345301</v>
      </c>
      <c r="Y7" s="345" t="n">
        <v>0.248617216771437</v>
      </c>
      <c r="Z7" s="345" t="n">
        <v>0.248617216771437</v>
      </c>
    </row>
    <row r="8" s="347" customFormat="true" ht="12.65" hidden="false" customHeight="false" outlineLevel="0" collapsed="false">
      <c r="A8" s="343" t="s">
        <v>452</v>
      </c>
      <c r="B8" s="344" t="n">
        <v>615</v>
      </c>
      <c r="C8" s="345" t="n">
        <v>0.08657977358</v>
      </c>
      <c r="D8" s="345" t="n">
        <v>0.000985889690534937</v>
      </c>
      <c r="E8" s="345" t="n">
        <v>9.52957219684468E-005</v>
      </c>
      <c r="F8" s="345" t="n">
        <v>0.224886950605419</v>
      </c>
      <c r="G8" s="346" t="n">
        <v>0.49500311089827</v>
      </c>
      <c r="H8" s="346" t="n">
        <v>1.00487834</v>
      </c>
      <c r="I8" s="345" t="n">
        <v>0.08640245708</v>
      </c>
      <c r="J8" s="345" t="n">
        <v>0.244974589</v>
      </c>
      <c r="K8" s="345" t="n">
        <v>0.0411</v>
      </c>
      <c r="L8" s="345" t="n">
        <v>0.697334955040488</v>
      </c>
      <c r="M8" s="345" t="n">
        <v>0.0477523972724666</v>
      </c>
      <c r="N8" s="346" t="n">
        <v>0.121604590579079</v>
      </c>
      <c r="O8" s="346" t="n">
        <v>8.51035499949965</v>
      </c>
      <c r="P8" s="346" t="s">
        <v>453</v>
      </c>
      <c r="Q8" s="346" t="s">
        <v>453</v>
      </c>
      <c r="R8" s="346" t="n">
        <v>1.07902368690373</v>
      </c>
      <c r="S8" s="346" t="n">
        <v>19.8827885</v>
      </c>
      <c r="T8" s="345" t="s">
        <v>453</v>
      </c>
      <c r="U8" s="345" t="n">
        <v>0.0413365051938503</v>
      </c>
      <c r="V8" s="345" t="n">
        <v>0.0268380122712611</v>
      </c>
      <c r="W8" s="345" t="n">
        <v>34.5314370837368</v>
      </c>
      <c r="X8" s="345" t="n">
        <v>0.102610467324316</v>
      </c>
      <c r="Y8" s="345" t="n">
        <v>0.357881147396549</v>
      </c>
      <c r="Z8" s="345" t="n">
        <v>0.357881147396549</v>
      </c>
    </row>
    <row r="9" s="347" customFormat="true" ht="12.65" hidden="false" customHeight="false" outlineLevel="0" collapsed="false">
      <c r="A9" s="343" t="s">
        <v>454</v>
      </c>
      <c r="B9" s="344" t="n">
        <v>853</v>
      </c>
      <c r="C9" s="345" t="n">
        <v>0.07855870048</v>
      </c>
      <c r="D9" s="345" t="n">
        <v>-0.000818186443170201</v>
      </c>
      <c r="E9" s="345" t="n">
        <v>-0.000148273743598522</v>
      </c>
      <c r="F9" s="345" t="n">
        <v>0.26440562407049</v>
      </c>
      <c r="G9" s="346" t="n">
        <v>0.451920006544041</v>
      </c>
      <c r="H9" s="346" t="n">
        <v>0.616949314</v>
      </c>
      <c r="I9" s="345" t="n">
        <v>0.062350857468</v>
      </c>
      <c r="J9" s="345" t="n">
        <v>0.309430934</v>
      </c>
      <c r="K9" s="345" t="n">
        <v>0.0461</v>
      </c>
      <c r="L9" s="345" t="n">
        <v>0.563152742703198</v>
      </c>
      <c r="M9" s="345" t="n">
        <v>0.0468048641172856</v>
      </c>
      <c r="N9" s="346" t="n">
        <v>0.240720990266255</v>
      </c>
      <c r="O9" s="346" t="n">
        <v>5.75349050604643</v>
      </c>
      <c r="P9" s="346" t="s">
        <v>453</v>
      </c>
      <c r="Q9" s="346" t="s">
        <v>453</v>
      </c>
      <c r="R9" s="346" t="n">
        <v>1.12308759918026</v>
      </c>
      <c r="S9" s="346" t="n">
        <v>22.77853682</v>
      </c>
      <c r="T9" s="345" t="s">
        <v>453</v>
      </c>
      <c r="U9" s="345" t="n">
        <v>0.0420964188337829</v>
      </c>
      <c r="V9" s="345" t="n">
        <v>0.0471083397005503</v>
      </c>
      <c r="W9" s="345" t="s">
        <v>453</v>
      </c>
      <c r="X9" s="345" t="n">
        <v>0.0846288012439765</v>
      </c>
      <c r="Y9" s="345" t="n">
        <v>0.312894415979167</v>
      </c>
      <c r="Z9" s="345" t="n">
        <v>0.312894415979167</v>
      </c>
    </row>
    <row r="10" s="347" customFormat="true" ht="12.65" hidden="false" customHeight="false" outlineLevel="0" collapsed="false">
      <c r="A10" s="343" t="s">
        <v>455</v>
      </c>
      <c r="B10" s="344" t="n">
        <v>222</v>
      </c>
      <c r="C10" s="345" t="n">
        <v>0.0312696875</v>
      </c>
      <c r="D10" s="345" t="n">
        <v>0.209222460709034</v>
      </c>
      <c r="E10" s="345" t="n">
        <v>0.141886377074254</v>
      </c>
      <c r="F10" s="345" t="n">
        <v>0.267527373075993</v>
      </c>
      <c r="G10" s="346" t="n">
        <v>0.668911667850017</v>
      </c>
      <c r="H10" s="346" t="n">
        <v>0.757301821</v>
      </c>
      <c r="I10" s="345" t="n">
        <v>0.071052712902</v>
      </c>
      <c r="J10" s="345" t="n">
        <v>0.296474244</v>
      </c>
      <c r="K10" s="345" t="n">
        <v>0.0461</v>
      </c>
      <c r="L10" s="345" t="n">
        <v>0.186287513809839</v>
      </c>
      <c r="M10" s="345" t="n">
        <v>0.0642891455172479</v>
      </c>
      <c r="N10" s="346" t="n">
        <v>0.836304553447691</v>
      </c>
      <c r="O10" s="346" t="n">
        <v>4.40015715258729</v>
      </c>
      <c r="P10" s="346" t="n">
        <v>16.5322873877736</v>
      </c>
      <c r="Q10" s="346" t="n">
        <v>20.9087796612857</v>
      </c>
      <c r="R10" s="346" t="n">
        <v>3.7049393081489</v>
      </c>
      <c r="S10" s="346" t="n">
        <v>45.65975585</v>
      </c>
      <c r="T10" s="345" t="n">
        <v>0.0924184392998402</v>
      </c>
      <c r="U10" s="345" t="n">
        <v>0.0419580456024316</v>
      </c>
      <c r="V10" s="345" t="n">
        <v>0.0515135178704963</v>
      </c>
      <c r="W10" s="345" t="n">
        <v>0.260834898255109</v>
      </c>
      <c r="X10" s="345" t="n">
        <v>0.171412440384696</v>
      </c>
      <c r="Y10" s="345" t="n">
        <v>0.625855680958251</v>
      </c>
      <c r="Z10" s="345" t="n">
        <v>0.625855680958251</v>
      </c>
    </row>
    <row r="11" s="347" customFormat="true" ht="12.65" hidden="false" customHeight="false" outlineLevel="0" collapsed="false">
      <c r="A11" s="343" t="s">
        <v>456</v>
      </c>
      <c r="B11" s="344" t="n">
        <v>101</v>
      </c>
      <c r="C11" s="345" t="n">
        <v>0.04610383333</v>
      </c>
      <c r="D11" s="345" t="n">
        <v>0.153919706933566</v>
      </c>
      <c r="E11" s="345" t="n">
        <v>0.203815695881661</v>
      </c>
      <c r="F11" s="345" t="n">
        <v>0.270531355959481</v>
      </c>
      <c r="G11" s="346" t="n">
        <v>0.571346339094084</v>
      </c>
      <c r="H11" s="346" t="n">
        <v>0.640226741</v>
      </c>
      <c r="I11" s="345" t="n">
        <v>0.063794057942</v>
      </c>
      <c r="J11" s="345" t="n">
        <v>0.32789652</v>
      </c>
      <c r="K11" s="345" t="n">
        <v>0.0461</v>
      </c>
      <c r="L11" s="345" t="n">
        <v>0.190276982948453</v>
      </c>
      <c r="M11" s="345" t="n">
        <v>0.0582667992971817</v>
      </c>
      <c r="N11" s="346" t="n">
        <v>1.53453388849194</v>
      </c>
      <c r="O11" s="346" t="n">
        <v>3.18655307197754</v>
      </c>
      <c r="P11" s="346" t="n">
        <v>16.0762273372618</v>
      </c>
      <c r="Q11" s="346" t="n">
        <v>20.69919019709</v>
      </c>
      <c r="R11" s="346" t="n">
        <v>6.23197311280195</v>
      </c>
      <c r="S11" s="346" t="n">
        <v>176.0476578</v>
      </c>
      <c r="T11" s="345" t="n">
        <v>-0.0100675589365346</v>
      </c>
      <c r="U11" s="345" t="n">
        <v>0.0455476094714704</v>
      </c>
      <c r="V11" s="345" t="n">
        <v>0.0355187526397925</v>
      </c>
      <c r="W11" s="345" t="n">
        <v>0.373869171004569</v>
      </c>
      <c r="X11" s="345" t="n">
        <v>0.218740799538294</v>
      </c>
      <c r="Y11" s="345" t="n">
        <v>0.765684541660844</v>
      </c>
      <c r="Z11" s="345" t="n">
        <v>0.765684541660844</v>
      </c>
    </row>
    <row r="12" s="347" customFormat="true" ht="12.65" hidden="false" customHeight="false" outlineLevel="0" collapsed="false">
      <c r="A12" s="343" t="s">
        <v>457</v>
      </c>
      <c r="B12" s="344" t="n">
        <v>139</v>
      </c>
      <c r="C12" s="345" t="n">
        <v>0.06497901786</v>
      </c>
      <c r="D12" s="345" t="n">
        <v>0.17029171772777</v>
      </c>
      <c r="E12" s="345" t="n">
        <v>0.154496986370621</v>
      </c>
      <c r="F12" s="345" t="n">
        <v>0.273125503482078</v>
      </c>
      <c r="G12" s="346" t="n">
        <v>0.802687302403948</v>
      </c>
      <c r="H12" s="346" t="n">
        <v>1.066725643</v>
      </c>
      <c r="I12" s="345" t="n">
        <v>0.090236989866</v>
      </c>
      <c r="J12" s="345" t="n">
        <v>0.378921696</v>
      </c>
      <c r="K12" s="345" t="n">
        <v>0.0461</v>
      </c>
      <c r="L12" s="345" t="n">
        <v>0.361834908953484</v>
      </c>
      <c r="M12" s="345" t="n">
        <v>0.0701582570110864</v>
      </c>
      <c r="N12" s="346" t="n">
        <v>1.10635990128373</v>
      </c>
      <c r="O12" s="346" t="n">
        <v>2.35948641286287</v>
      </c>
      <c r="P12" s="346" t="n">
        <v>10.0407244067546</v>
      </c>
      <c r="Q12" s="346" t="n">
        <v>13.8162379598849</v>
      </c>
      <c r="R12" s="346" t="n">
        <v>2.63802260837377</v>
      </c>
      <c r="S12" s="346" t="n">
        <v>95.78030088</v>
      </c>
      <c r="T12" s="345" t="n">
        <v>0.160433885244994</v>
      </c>
      <c r="U12" s="345" t="n">
        <v>0.0387946050311214</v>
      </c>
      <c r="V12" s="345" t="n">
        <v>0.0307789324368761</v>
      </c>
      <c r="W12" s="345" t="n">
        <v>0.346213600698103</v>
      </c>
      <c r="X12" s="345" t="n">
        <v>0.101597078909206</v>
      </c>
      <c r="Y12" s="345" t="n">
        <v>0.510112272227508</v>
      </c>
      <c r="Z12" s="345" t="n">
        <v>0.510112272227508</v>
      </c>
    </row>
    <row r="13" s="347" customFormat="true" ht="12.65" hidden="false" customHeight="false" outlineLevel="0" collapsed="false">
      <c r="A13" s="343" t="s">
        <v>458</v>
      </c>
      <c r="B13" s="344" t="n">
        <v>555</v>
      </c>
      <c r="C13" s="345" t="n">
        <v>0.1329454571</v>
      </c>
      <c r="D13" s="345" t="n">
        <v>0.00299830848132044</v>
      </c>
      <c r="E13" s="345" t="n">
        <v>0.000436804176115594</v>
      </c>
      <c r="F13" s="345" t="n">
        <v>0.253172855065301</v>
      </c>
      <c r="G13" s="346" t="n">
        <v>0.496836711093981</v>
      </c>
      <c r="H13" s="346" t="n">
        <v>1.070381193</v>
      </c>
      <c r="I13" s="345" t="n">
        <v>0.090463633966</v>
      </c>
      <c r="J13" s="345" t="n">
        <v>0.37224704</v>
      </c>
      <c r="K13" s="345" t="n">
        <v>0.0461</v>
      </c>
      <c r="L13" s="345" t="n">
        <v>0.663170807903585</v>
      </c>
      <c r="M13" s="345" t="n">
        <v>0.0535130404708442</v>
      </c>
      <c r="N13" s="346" t="n">
        <v>0.171310563526006</v>
      </c>
      <c r="O13" s="346" t="n">
        <v>7.62872909319338</v>
      </c>
      <c r="P13" s="346" t="s">
        <v>453</v>
      </c>
      <c r="Q13" s="346" t="s">
        <v>453</v>
      </c>
      <c r="R13" s="346" t="n">
        <v>1.48981524052734</v>
      </c>
      <c r="S13" s="346" t="n">
        <v>45.71682224</v>
      </c>
      <c r="T13" s="345" t="s">
        <v>453</v>
      </c>
      <c r="U13" s="345" t="n">
        <v>0.0377311319698054</v>
      </c>
      <c r="V13" s="345" t="n">
        <v>0.0324459267004982</v>
      </c>
      <c r="W13" s="345" t="n">
        <v>191.565395488633</v>
      </c>
      <c r="X13" s="345" t="n">
        <v>0.099704389960629</v>
      </c>
      <c r="Y13" s="345" t="n">
        <v>0.462023698137905</v>
      </c>
      <c r="Z13" s="345" t="n">
        <v>0.462023698137905</v>
      </c>
    </row>
    <row r="14" s="347" customFormat="true" ht="12.65" hidden="false" customHeight="false" outlineLevel="0" collapsed="false">
      <c r="A14" s="343" t="s">
        <v>459</v>
      </c>
      <c r="B14" s="344" t="n">
        <v>432</v>
      </c>
      <c r="C14" s="345" t="n">
        <v>0.05900149701</v>
      </c>
      <c r="D14" s="345" t="n">
        <v>0.093186176255441</v>
      </c>
      <c r="E14" s="345" t="n">
        <v>0.125810365239789</v>
      </c>
      <c r="F14" s="345" t="n">
        <v>0.260315050576311</v>
      </c>
      <c r="G14" s="346" t="n">
        <v>0.844044331084621</v>
      </c>
      <c r="H14" s="346" t="n">
        <v>0.95040426</v>
      </c>
      <c r="I14" s="345" t="n">
        <v>0.08302506412</v>
      </c>
      <c r="J14" s="345" t="n">
        <v>0.341679712</v>
      </c>
      <c r="K14" s="345" t="n">
        <v>0.0461</v>
      </c>
      <c r="L14" s="345" t="n">
        <v>0.20521430059146</v>
      </c>
      <c r="M14" s="345" t="n">
        <v>0.0731174215012547</v>
      </c>
      <c r="N14" s="346" t="n">
        <v>1.67160533862573</v>
      </c>
      <c r="O14" s="346" t="n">
        <v>1.50496204783947</v>
      </c>
      <c r="P14" s="346" t="n">
        <v>10.9310696077822</v>
      </c>
      <c r="Q14" s="346" t="n">
        <v>15.9807341713374</v>
      </c>
      <c r="R14" s="346" t="n">
        <v>2.35286321351054</v>
      </c>
      <c r="S14" s="346" t="n">
        <v>30.40904972</v>
      </c>
      <c r="T14" s="345" t="n">
        <v>0.176281244364873</v>
      </c>
      <c r="U14" s="345" t="n">
        <v>0.0402839108026167</v>
      </c>
      <c r="V14" s="345" t="n">
        <v>0.0330972863823411</v>
      </c>
      <c r="W14" s="345" t="n">
        <v>0.629849935451143</v>
      </c>
      <c r="X14" s="345" t="n">
        <v>0.114586415209555</v>
      </c>
      <c r="Y14" s="345" t="n">
        <v>0.316376890805105</v>
      </c>
      <c r="Z14" s="345" t="n">
        <v>0.316376890805105</v>
      </c>
    </row>
    <row r="15" s="347" customFormat="true" ht="12.65" hidden="false" customHeight="false" outlineLevel="0" collapsed="false">
      <c r="A15" s="343" t="s">
        <v>460</v>
      </c>
      <c r="B15" s="344" t="n">
        <v>834</v>
      </c>
      <c r="C15" s="345" t="n">
        <v>0.08914311983</v>
      </c>
      <c r="D15" s="345" t="n">
        <v>0.0887876780294028</v>
      </c>
      <c r="E15" s="345" t="n">
        <v>0.221453280522129</v>
      </c>
      <c r="F15" s="345" t="n">
        <v>0.277091944783472</v>
      </c>
      <c r="G15" s="346" t="n">
        <v>0.883905471748392</v>
      </c>
      <c r="H15" s="346" t="n">
        <v>0.991328378</v>
      </c>
      <c r="I15" s="345" t="n">
        <v>0.085562359436</v>
      </c>
      <c r="J15" s="345" t="n">
        <v>0.4049824</v>
      </c>
      <c r="K15" s="345" t="n">
        <v>0.0491</v>
      </c>
      <c r="L15" s="345" t="n">
        <v>0.196589727722632</v>
      </c>
      <c r="M15" s="345" t="n">
        <v>0.0760168096703921</v>
      </c>
      <c r="N15" s="346" t="n">
        <v>3.0692260932372</v>
      </c>
      <c r="O15" s="346" t="n">
        <v>1.76181763721033</v>
      </c>
      <c r="P15" s="346" t="n">
        <v>12.9759291261094</v>
      </c>
      <c r="Q15" s="346" t="n">
        <v>18.8652119907157</v>
      </c>
      <c r="R15" s="346" t="n">
        <v>4.3161518341728</v>
      </c>
      <c r="S15" s="346" t="n">
        <v>59.60036304</v>
      </c>
      <c r="T15" s="345" t="n">
        <v>0.0995520220051604</v>
      </c>
      <c r="U15" s="345" t="n">
        <v>0.024008214669962</v>
      </c>
      <c r="V15" s="345" t="n">
        <v>0.0215151458748253</v>
      </c>
      <c r="W15" s="345" t="n">
        <v>0.485852206068805</v>
      </c>
      <c r="X15" s="345" t="n">
        <v>0.166563719806598</v>
      </c>
      <c r="Y15" s="345" t="n">
        <v>0.493792071027226</v>
      </c>
      <c r="Z15" s="345" t="n">
        <v>0.493792071027225</v>
      </c>
    </row>
    <row r="16" s="347" customFormat="true" ht="12.65" hidden="false" customHeight="false" outlineLevel="0" collapsed="false">
      <c r="A16" s="343" t="s">
        <v>461</v>
      </c>
      <c r="B16" s="344" t="n">
        <v>65</v>
      </c>
      <c r="C16" s="345" t="n">
        <v>0.07898355556</v>
      </c>
      <c r="D16" s="345" t="n">
        <v>0.163344480347226</v>
      </c>
      <c r="E16" s="345" t="n">
        <v>0.120550657829805</v>
      </c>
      <c r="F16" s="345" t="n">
        <v>0.280011217281605</v>
      </c>
      <c r="G16" s="346" t="n">
        <v>0.825687565123465</v>
      </c>
      <c r="H16" s="346" t="n">
        <v>1.150085151</v>
      </c>
      <c r="I16" s="345" t="n">
        <v>0.095405279362</v>
      </c>
      <c r="J16" s="345" t="n">
        <v>0.351682829</v>
      </c>
      <c r="K16" s="345" t="n">
        <v>0.0461</v>
      </c>
      <c r="L16" s="345" t="n">
        <v>0.363876025277226</v>
      </c>
      <c r="M16" s="345" t="n">
        <v>0.0733326654248837</v>
      </c>
      <c r="N16" s="346" t="n">
        <v>0.843001186159231</v>
      </c>
      <c r="O16" s="346" t="n">
        <v>3.7082115592049</v>
      </c>
      <c r="P16" s="346" t="n">
        <v>10.7335652750455</v>
      </c>
      <c r="Q16" s="346" t="n">
        <v>22.1847234863472</v>
      </c>
      <c r="R16" s="346" t="n">
        <v>3.22234141782594</v>
      </c>
      <c r="S16" s="346" t="n">
        <v>53.35100824</v>
      </c>
      <c r="T16" s="345" t="n">
        <v>-0.0133695067255556</v>
      </c>
      <c r="U16" s="345" t="n">
        <v>0.129387718173929</v>
      </c>
      <c r="V16" s="345" t="n">
        <v>-0.025669674355453</v>
      </c>
      <c r="W16" s="345" t="n">
        <v>-0.194649824874925</v>
      </c>
      <c r="X16" s="345" t="n">
        <v>0.102618760624408</v>
      </c>
      <c r="Y16" s="345" t="n">
        <v>0.35725025847279</v>
      </c>
      <c r="Z16" s="345" t="n">
        <v>0.35725025847279</v>
      </c>
    </row>
    <row r="17" s="347" customFormat="true" ht="12.65" hidden="false" customHeight="false" outlineLevel="0" collapsed="false">
      <c r="A17" s="343" t="s">
        <v>462</v>
      </c>
      <c r="B17" s="344" t="n">
        <v>787</v>
      </c>
      <c r="C17" s="345" t="n">
        <v>0.06284144578</v>
      </c>
      <c r="D17" s="345" t="n">
        <v>0.106919705244147</v>
      </c>
      <c r="E17" s="345" t="n">
        <v>0.110667687163621</v>
      </c>
      <c r="F17" s="345" t="n">
        <v>0.186672875581143</v>
      </c>
      <c r="G17" s="346" t="n">
        <v>1.03687966014349</v>
      </c>
      <c r="H17" s="346" t="n">
        <v>1.135695814</v>
      </c>
      <c r="I17" s="345" t="n">
        <v>0.094513140468</v>
      </c>
      <c r="J17" s="345" t="n">
        <v>0.343644008</v>
      </c>
      <c r="K17" s="345" t="n">
        <v>0.0461</v>
      </c>
      <c r="L17" s="345" t="n">
        <v>0.204243190500818</v>
      </c>
      <c r="M17" s="345" t="n">
        <v>0.0823060211871332</v>
      </c>
      <c r="N17" s="346" t="n">
        <v>1.25206584784126</v>
      </c>
      <c r="O17" s="346" t="n">
        <v>1.54192455879614</v>
      </c>
      <c r="P17" s="346" t="n">
        <v>9.53046678673386</v>
      </c>
      <c r="Q17" s="346" t="n">
        <v>14.1365987762101</v>
      </c>
      <c r="R17" s="346" t="n">
        <v>1.93411911701624</v>
      </c>
      <c r="S17" s="346" t="n">
        <v>38.07523993</v>
      </c>
      <c r="T17" s="345" t="n">
        <v>0.141614922287252</v>
      </c>
      <c r="U17" s="345" t="n">
        <v>0.0579019054118215</v>
      </c>
      <c r="V17" s="345" t="n">
        <v>0.0374266497577297</v>
      </c>
      <c r="W17" s="345" t="n">
        <v>0.660241520378969</v>
      </c>
      <c r="X17" s="345" t="n">
        <v>0.143643342740262</v>
      </c>
      <c r="Y17" s="345" t="n">
        <v>0.399491139769085</v>
      </c>
      <c r="Z17" s="345" t="n">
        <v>0.399491139769085</v>
      </c>
    </row>
    <row r="18" s="347" customFormat="true" ht="12.65" hidden="false" customHeight="false" outlineLevel="0" collapsed="false">
      <c r="A18" s="343" t="s">
        <v>463</v>
      </c>
      <c r="B18" s="344" t="n">
        <v>75</v>
      </c>
      <c r="C18" s="345" t="n">
        <v>0.0412284375</v>
      </c>
      <c r="D18" s="345" t="n">
        <v>0.112042072273024</v>
      </c>
      <c r="E18" s="345" t="n">
        <v>0.119147551384112</v>
      </c>
      <c r="F18" s="345" t="n">
        <v>0.227414515643322</v>
      </c>
      <c r="G18" s="346" t="n">
        <v>1.31472699650893</v>
      </c>
      <c r="H18" s="346" t="n">
        <v>1.50266922</v>
      </c>
      <c r="I18" s="345" t="n">
        <v>0.11726549164</v>
      </c>
      <c r="J18" s="345" t="n">
        <v>0.337537158</v>
      </c>
      <c r="K18" s="345" t="n">
        <v>0.0461</v>
      </c>
      <c r="L18" s="345" t="n">
        <v>0.230177381982845</v>
      </c>
      <c r="M18" s="345" t="n">
        <v>0.0982712721154753</v>
      </c>
      <c r="N18" s="346" t="n">
        <v>1.31198434204888</v>
      </c>
      <c r="O18" s="346" t="n">
        <v>1.78629685403882</v>
      </c>
      <c r="P18" s="346" t="n">
        <v>10.2168698381822</v>
      </c>
      <c r="Q18" s="346" t="n">
        <v>16.0250978128681</v>
      </c>
      <c r="R18" s="346" t="n">
        <v>1.7731799756752</v>
      </c>
      <c r="S18" s="346" t="n">
        <v>22.34437945</v>
      </c>
      <c r="T18" s="345" t="n">
        <v>0.220569071536904</v>
      </c>
      <c r="U18" s="345" t="n">
        <v>0.0716369151494768</v>
      </c>
      <c r="V18" s="345" t="n">
        <v>0.0400196829607255</v>
      </c>
      <c r="W18" s="345" t="n">
        <v>0.585988905228412</v>
      </c>
      <c r="X18" s="345" t="n">
        <v>0.141025409294233</v>
      </c>
      <c r="Y18" s="345" t="n">
        <v>0.415245394139897</v>
      </c>
      <c r="Z18" s="345" t="n">
        <v>0.415245394139897</v>
      </c>
    </row>
    <row r="19" s="347" customFormat="true" ht="12.65" hidden="false" customHeight="false" outlineLevel="0" collapsed="false">
      <c r="A19" s="343" t="s">
        <v>464</v>
      </c>
      <c r="B19" s="344" t="n">
        <v>770</v>
      </c>
      <c r="C19" s="345" t="n">
        <v>0.0581349711</v>
      </c>
      <c r="D19" s="345" t="n">
        <v>0.113279553154266</v>
      </c>
      <c r="E19" s="345" t="n">
        <v>0.121577573313131</v>
      </c>
      <c r="F19" s="345" t="n">
        <v>0.225832264050322</v>
      </c>
      <c r="G19" s="346" t="n">
        <v>1.06435369000057</v>
      </c>
      <c r="H19" s="346" t="n">
        <v>1.174759846</v>
      </c>
      <c r="I19" s="345" t="n">
        <v>0.096935110452</v>
      </c>
      <c r="J19" s="345" t="n">
        <v>0.391574762</v>
      </c>
      <c r="K19" s="345" t="n">
        <v>0.0461</v>
      </c>
      <c r="L19" s="345" t="n">
        <v>0.184663910794288</v>
      </c>
      <c r="M19" s="345" t="n">
        <v>0.0854509467016341</v>
      </c>
      <c r="N19" s="346" t="n">
        <v>1.28363578789223</v>
      </c>
      <c r="O19" s="346" t="n">
        <v>2.18293152728195</v>
      </c>
      <c r="P19" s="346" t="n">
        <v>12.8812265955145</v>
      </c>
      <c r="Q19" s="346" t="n">
        <v>19.0926236080745</v>
      </c>
      <c r="R19" s="346" t="n">
        <v>2.95957580484892</v>
      </c>
      <c r="S19" s="346" t="n">
        <v>49.74610945</v>
      </c>
      <c r="T19" s="345" t="n">
        <v>0.156617425875132</v>
      </c>
      <c r="U19" s="345" t="n">
        <v>0.0592621892812027</v>
      </c>
      <c r="V19" s="345" t="n">
        <v>0.0581641326733085</v>
      </c>
      <c r="W19" s="345" t="n">
        <v>0.79806228129472</v>
      </c>
      <c r="X19" s="345" t="n">
        <v>0.135645206801298</v>
      </c>
      <c r="Y19" s="345" t="n">
        <v>0.418459790202973</v>
      </c>
      <c r="Z19" s="345" t="n">
        <v>0.418459790202973</v>
      </c>
    </row>
    <row r="20" s="347" customFormat="true" ht="12.65" hidden="false" customHeight="false" outlineLevel="0" collapsed="false">
      <c r="A20" s="343" t="s">
        <v>465</v>
      </c>
      <c r="B20" s="344" t="n">
        <v>254</v>
      </c>
      <c r="C20" s="345" t="n">
        <v>-0.01170099174</v>
      </c>
      <c r="D20" s="345" t="n">
        <v>0.172271486124452</v>
      </c>
      <c r="E20" s="345" t="n">
        <v>0.141557414299854</v>
      </c>
      <c r="F20" s="345" t="n">
        <v>0.218030959290378</v>
      </c>
      <c r="G20" s="346" t="n">
        <v>1.10574997995254</v>
      </c>
      <c r="H20" s="346" t="n">
        <v>1.246981573</v>
      </c>
      <c r="I20" s="345" t="n">
        <v>0.101412857526</v>
      </c>
      <c r="J20" s="345" t="n">
        <v>0.581891854</v>
      </c>
      <c r="K20" s="345" t="n">
        <v>0.0491</v>
      </c>
      <c r="L20" s="345" t="n">
        <v>0.280045805507842</v>
      </c>
      <c r="M20" s="345" t="n">
        <v>0.0833761748605922</v>
      </c>
      <c r="N20" s="346" t="n">
        <v>0.89761508285972</v>
      </c>
      <c r="O20" s="346" t="n">
        <v>1.70416852801873</v>
      </c>
      <c r="P20" s="346" t="n">
        <v>6.43332541499382</v>
      </c>
      <c r="Q20" s="346" t="n">
        <v>9.47070411049514</v>
      </c>
      <c r="R20" s="346" t="n">
        <v>1.45693180228253</v>
      </c>
      <c r="S20" s="346" t="n">
        <v>122.6718262</v>
      </c>
      <c r="T20" s="345" t="n">
        <v>0.0127627344536351</v>
      </c>
      <c r="U20" s="345" t="n">
        <v>0.0750986287097397</v>
      </c>
      <c r="V20" s="345" t="n">
        <v>0.0244908770962502</v>
      </c>
      <c r="W20" s="345" t="n">
        <v>0.118026602369006</v>
      </c>
      <c r="X20" s="345" t="n">
        <v>0.149340899051471</v>
      </c>
      <c r="Y20" s="345" t="n">
        <v>0.723554983542347</v>
      </c>
      <c r="Z20" s="345" t="n">
        <v>0.723554983542347</v>
      </c>
    </row>
    <row r="21" s="347" customFormat="true" ht="12.65" hidden="false" customHeight="false" outlineLevel="0" collapsed="false">
      <c r="A21" s="343" t="s">
        <v>371</v>
      </c>
      <c r="B21" s="344" t="n">
        <v>931</v>
      </c>
      <c r="C21" s="345" t="n">
        <v>0.08190236006</v>
      </c>
      <c r="D21" s="345" t="n">
        <v>0.0756946904095037</v>
      </c>
      <c r="E21" s="345" t="n">
        <v>0.207360792282442</v>
      </c>
      <c r="F21" s="345" t="n">
        <v>0.207702272456724</v>
      </c>
      <c r="G21" s="346" t="n">
        <v>1.01358576580353</v>
      </c>
      <c r="H21" s="346" t="n">
        <v>1.083670504</v>
      </c>
      <c r="I21" s="345" t="n">
        <v>0.091287571248</v>
      </c>
      <c r="J21" s="345" t="n">
        <v>0.392567921</v>
      </c>
      <c r="K21" s="345" t="n">
        <v>0.0461</v>
      </c>
      <c r="L21" s="345" t="n">
        <v>0.158025674557791</v>
      </c>
      <c r="M21" s="345" t="n">
        <v>0.0823524833599374</v>
      </c>
      <c r="N21" s="346" t="n">
        <v>3.30850289641805</v>
      </c>
      <c r="O21" s="346" t="n">
        <v>1.28994179094249</v>
      </c>
      <c r="P21" s="346" t="n">
        <v>12.1489740242724</v>
      </c>
      <c r="Q21" s="346" t="n">
        <v>16.8023704055541</v>
      </c>
      <c r="R21" s="346" t="n">
        <v>3.45234658309483</v>
      </c>
      <c r="S21" s="346" t="n">
        <v>49.11076263</v>
      </c>
      <c r="T21" s="345" t="n">
        <v>0.143237780174584</v>
      </c>
      <c r="U21" s="345" t="n">
        <v>0.0181557846422751</v>
      </c>
      <c r="V21" s="345" t="n">
        <v>0.0192853857296195</v>
      </c>
      <c r="W21" s="345" t="n">
        <v>0.475574087628012</v>
      </c>
      <c r="X21" s="345" t="n">
        <v>0.189591457154155</v>
      </c>
      <c r="Y21" s="345" t="n">
        <v>0.36405880132362</v>
      </c>
      <c r="Z21" s="345" t="n">
        <v>0.36405880132362</v>
      </c>
    </row>
    <row r="22" s="347" customFormat="true" ht="12.65" hidden="false" customHeight="false" outlineLevel="0" collapsed="false">
      <c r="A22" s="343" t="s">
        <v>466</v>
      </c>
      <c r="B22" s="344" t="n">
        <v>331</v>
      </c>
      <c r="C22" s="345" t="n">
        <v>0.01993373077</v>
      </c>
      <c r="D22" s="345" t="n">
        <v>0.124545206677085</v>
      </c>
      <c r="E22" s="345" t="n">
        <v>0.16607755871045</v>
      </c>
      <c r="F22" s="345" t="n">
        <v>0.239693546357944</v>
      </c>
      <c r="G22" s="346" t="n">
        <v>1.21055621365494</v>
      </c>
      <c r="H22" s="346" t="n">
        <v>1.270387258</v>
      </c>
      <c r="I22" s="345" t="n">
        <v>0.102864009996</v>
      </c>
      <c r="J22" s="345" t="n">
        <v>0.379985455</v>
      </c>
      <c r="K22" s="345" t="n">
        <v>0.0461</v>
      </c>
      <c r="L22" s="345" t="n">
        <v>0.156413087010772</v>
      </c>
      <c r="M22" s="345" t="n">
        <v>0.0922093945138676</v>
      </c>
      <c r="N22" s="346" t="n">
        <v>1.52207376894474</v>
      </c>
      <c r="O22" s="346" t="n">
        <v>1.66088673704504</v>
      </c>
      <c r="P22" s="346" t="n">
        <v>9.45332241485</v>
      </c>
      <c r="Q22" s="346" t="n">
        <v>13.297444158454</v>
      </c>
      <c r="R22" s="346" t="n">
        <v>2.88570135399258</v>
      </c>
      <c r="S22" s="346" t="n">
        <v>61.58434583</v>
      </c>
      <c r="T22" s="345" t="n">
        <v>0.0547917685952963</v>
      </c>
      <c r="U22" s="345" t="n">
        <v>0.067349109095434</v>
      </c>
      <c r="V22" s="345" t="n">
        <v>0.0671428090805246</v>
      </c>
      <c r="W22" s="345" t="n">
        <v>0.846581094635465</v>
      </c>
      <c r="X22" s="345" t="n">
        <v>0.188607707406314</v>
      </c>
      <c r="Y22" s="345" t="n">
        <v>0.281220393284896</v>
      </c>
      <c r="Z22" s="345" t="n">
        <v>0.281220393284896</v>
      </c>
    </row>
    <row r="23" s="347" customFormat="true" ht="12.65" hidden="false" customHeight="false" outlineLevel="0" collapsed="false">
      <c r="A23" s="343" t="s">
        <v>467</v>
      </c>
      <c r="B23" s="344" t="n">
        <v>763</v>
      </c>
      <c r="C23" s="345" t="n">
        <v>0.05467339559</v>
      </c>
      <c r="D23" s="345" t="n">
        <v>0.08765950344353</v>
      </c>
      <c r="E23" s="345" t="n">
        <v>0.0855136029901565</v>
      </c>
      <c r="F23" s="345" t="n">
        <v>0.237760818005197</v>
      </c>
      <c r="G23" s="346" t="n">
        <v>1.05928160323031</v>
      </c>
      <c r="H23" s="346" t="n">
        <v>1.255476603</v>
      </c>
      <c r="I23" s="345" t="n">
        <v>0.101939549386</v>
      </c>
      <c r="J23" s="345" t="n">
        <v>0.346527818</v>
      </c>
      <c r="K23" s="345" t="n">
        <v>0.0461</v>
      </c>
      <c r="L23" s="345" t="n">
        <v>0.292011567662074</v>
      </c>
      <c r="M23" s="345" t="n">
        <v>0.0823181301280411</v>
      </c>
      <c r="N23" s="346" t="n">
        <v>1.16756203018403</v>
      </c>
      <c r="O23" s="346" t="n">
        <v>1.67628256497897</v>
      </c>
      <c r="P23" s="346" t="n">
        <v>11.852786678482</v>
      </c>
      <c r="Q23" s="346" t="n">
        <v>18.8695664797345</v>
      </c>
      <c r="R23" s="346" t="n">
        <v>1.92835659310211</v>
      </c>
      <c r="S23" s="346" t="n">
        <v>45.8640652</v>
      </c>
      <c r="T23" s="345" t="n">
        <v>0.133182829146814</v>
      </c>
      <c r="U23" s="345" t="n">
        <v>0.0460176748261409</v>
      </c>
      <c r="V23" s="345" t="n">
        <v>0.0351286283001033</v>
      </c>
      <c r="W23" s="345" t="n">
        <v>0.758375162931032</v>
      </c>
      <c r="X23" s="345" t="n">
        <v>0.101656023939971</v>
      </c>
      <c r="Y23" s="345" t="n">
        <v>0.462840328755075</v>
      </c>
      <c r="Z23" s="345" t="n">
        <v>0.462840328755075</v>
      </c>
    </row>
    <row r="24" s="347" customFormat="true" ht="12.65" hidden="false" customHeight="false" outlineLevel="0" collapsed="false">
      <c r="A24" s="343" t="s">
        <v>468</v>
      </c>
      <c r="B24" s="344" t="n">
        <v>349</v>
      </c>
      <c r="C24" s="345" t="n">
        <v>0.05567748201</v>
      </c>
      <c r="D24" s="345" t="n">
        <v>0.130651753773109</v>
      </c>
      <c r="E24" s="345" t="n">
        <v>0.107959173999853</v>
      </c>
      <c r="F24" s="345" t="n">
        <v>0.215260376661073</v>
      </c>
      <c r="G24" s="346" t="n">
        <v>0.758013513042967</v>
      </c>
      <c r="H24" s="346" t="n">
        <v>1.002810088</v>
      </c>
      <c r="I24" s="345" t="n">
        <v>0.086274225456</v>
      </c>
      <c r="J24" s="345" t="n">
        <v>0.270764274</v>
      </c>
      <c r="K24" s="345" t="n">
        <v>0.0461</v>
      </c>
      <c r="L24" s="345" t="n">
        <v>0.372724392979055</v>
      </c>
      <c r="M24" s="345" t="n">
        <v>0.0670682386301355</v>
      </c>
      <c r="N24" s="346" t="n">
        <v>0.975568505478745</v>
      </c>
      <c r="O24" s="346" t="n">
        <v>1.68890899708807</v>
      </c>
      <c r="P24" s="346" t="n">
        <v>9.52092199957876</v>
      </c>
      <c r="Q24" s="346" t="n">
        <v>12.7380584491076</v>
      </c>
      <c r="R24" s="346" t="n">
        <v>1.24199280653359</v>
      </c>
      <c r="S24" s="346" t="n">
        <v>27.20915131</v>
      </c>
      <c r="T24" s="345" t="n">
        <v>-0.137024152157816</v>
      </c>
      <c r="U24" s="345" t="n">
        <v>0.0491012780208641</v>
      </c>
      <c r="V24" s="345" t="n">
        <v>0.0411819764156894</v>
      </c>
      <c r="W24" s="345" t="n">
        <v>0.469734935590261</v>
      </c>
      <c r="X24" s="345" t="n">
        <v>0.0983898279610084</v>
      </c>
      <c r="Y24" s="345" t="n">
        <v>0.309369472377506</v>
      </c>
      <c r="Z24" s="345" t="n">
        <v>0.309369472377506</v>
      </c>
    </row>
    <row r="25" s="347" customFormat="true" ht="12.65" hidden="false" customHeight="false" outlineLevel="0" collapsed="false">
      <c r="A25" s="343" t="s">
        <v>469</v>
      </c>
      <c r="B25" s="344" t="n">
        <v>952</v>
      </c>
      <c r="C25" s="345" t="n">
        <v>0.2289497654</v>
      </c>
      <c r="D25" s="345" t="n">
        <v>0.230869294418869</v>
      </c>
      <c r="E25" s="345" t="n">
        <v>0.102634142805896</v>
      </c>
      <c r="F25" s="345" t="n">
        <v>0.200605421009039</v>
      </c>
      <c r="G25" s="346" t="n">
        <v>1.31262184688562</v>
      </c>
      <c r="H25" s="346" t="n">
        <v>1.383937421</v>
      </c>
      <c r="I25" s="345" t="n">
        <v>0.109904120102</v>
      </c>
      <c r="J25" s="345" t="n">
        <v>0.731585379</v>
      </c>
      <c r="K25" s="345" t="n">
        <v>0.0566</v>
      </c>
      <c r="L25" s="345" t="n">
        <v>0.127135606787064</v>
      </c>
      <c r="M25" s="345" t="n">
        <v>0.101354924351318</v>
      </c>
      <c r="N25" s="346" t="n">
        <v>0.45463899345426</v>
      </c>
      <c r="O25" s="346" t="n">
        <v>7.9333896895021</v>
      </c>
      <c r="P25" s="346" t="n">
        <v>14.7715444959677</v>
      </c>
      <c r="Q25" s="346" t="n">
        <v>29.3568251143528</v>
      </c>
      <c r="R25" s="346" t="n">
        <v>5.52983058846589</v>
      </c>
      <c r="S25" s="346" t="n">
        <v>298.1618833</v>
      </c>
      <c r="T25" s="345" t="n">
        <v>0.19155625907919</v>
      </c>
      <c r="U25" s="345" t="n">
        <v>0.0484425591727115</v>
      </c>
      <c r="V25" s="345" t="n">
        <v>0.0422783219055494</v>
      </c>
      <c r="W25" s="345" t="n">
        <v>0.421847026657568</v>
      </c>
      <c r="X25" s="345" t="n">
        <v>0.0893257454261498</v>
      </c>
      <c r="Y25" s="345" t="n">
        <v>0.679207041340119</v>
      </c>
      <c r="Z25" s="345" t="n">
        <v>0.679207041340119</v>
      </c>
    </row>
    <row r="26" s="347" customFormat="true" ht="12.65" hidden="false" customHeight="false" outlineLevel="0" collapsed="false">
      <c r="A26" s="343" t="s">
        <v>470</v>
      </c>
      <c r="B26" s="344" t="n">
        <v>1036</v>
      </c>
      <c r="C26" s="345" t="n">
        <v>0.1252962823</v>
      </c>
      <c r="D26" s="345" t="n">
        <v>0.197990729655023</v>
      </c>
      <c r="E26" s="345" t="n">
        <v>0.127770557737126</v>
      </c>
      <c r="F26" s="345" t="n">
        <v>0.203840955724483</v>
      </c>
      <c r="G26" s="346" t="n">
        <v>1.06290076937437</v>
      </c>
      <c r="H26" s="346" t="n">
        <v>1.141712379</v>
      </c>
      <c r="I26" s="345" t="n">
        <v>0.094886167498</v>
      </c>
      <c r="J26" s="345" t="n">
        <v>0.430010981</v>
      </c>
      <c r="K26" s="345" t="n">
        <v>0.0491</v>
      </c>
      <c r="L26" s="345" t="n">
        <v>0.141304842160636</v>
      </c>
      <c r="M26" s="345" t="n">
        <v>0.0867075142397082</v>
      </c>
      <c r="N26" s="346" t="n">
        <v>0.728053709225238</v>
      </c>
      <c r="O26" s="346" t="n">
        <v>3.94172901936861</v>
      </c>
      <c r="P26" s="346" t="n">
        <v>13.9629736291174</v>
      </c>
      <c r="Q26" s="346" t="n">
        <v>20.4054435779844</v>
      </c>
      <c r="R26" s="346" t="n">
        <v>3.43548556289588</v>
      </c>
      <c r="S26" s="346" t="n">
        <v>910.9110356</v>
      </c>
      <c r="T26" s="345" t="n">
        <v>0.176309247951656</v>
      </c>
      <c r="U26" s="345" t="n">
        <v>0.0437755117744895</v>
      </c>
      <c r="V26" s="345" t="n">
        <v>0.0575390344225975</v>
      </c>
      <c r="W26" s="345" t="n">
        <v>0.444498390680602</v>
      </c>
      <c r="X26" s="345" t="n">
        <v>0.118571560673236</v>
      </c>
      <c r="Y26" s="345" t="n">
        <v>0.672687388440649</v>
      </c>
      <c r="Z26" s="345" t="n">
        <v>0.672687388440649</v>
      </c>
    </row>
    <row r="27" s="347" customFormat="true" ht="12.65" hidden="false" customHeight="false" outlineLevel="0" collapsed="false">
      <c r="A27" s="343" t="s">
        <v>471</v>
      </c>
      <c r="B27" s="344" t="n">
        <v>185</v>
      </c>
      <c r="C27" s="345" t="n">
        <v>0.03845311927</v>
      </c>
      <c r="D27" s="345" t="n">
        <v>0.110671349823917</v>
      </c>
      <c r="E27" s="345" t="n">
        <v>0.114805851621996</v>
      </c>
      <c r="F27" s="345" t="n">
        <v>0.171311850842886</v>
      </c>
      <c r="G27" s="346" t="n">
        <v>0.850540974952509</v>
      </c>
      <c r="H27" s="346" t="n">
        <v>0.928407333</v>
      </c>
      <c r="I27" s="345" t="n">
        <v>0.081661254646</v>
      </c>
      <c r="J27" s="345" t="n">
        <v>0.418947238</v>
      </c>
      <c r="K27" s="345" t="n">
        <v>0.0491</v>
      </c>
      <c r="L27" s="345" t="n">
        <v>0.195041600108256</v>
      </c>
      <c r="M27" s="345" t="n">
        <v>0.0729517530044746</v>
      </c>
      <c r="N27" s="346" t="n">
        <v>1.23009023893266</v>
      </c>
      <c r="O27" s="346" t="n">
        <v>2.3506267659123</v>
      </c>
      <c r="P27" s="346" t="n">
        <v>11.7648318689151</v>
      </c>
      <c r="Q27" s="346" t="n">
        <v>20.5859104171786</v>
      </c>
      <c r="R27" s="346" t="n">
        <v>2.48923160021827</v>
      </c>
      <c r="S27" s="346" t="n">
        <v>81.64704063</v>
      </c>
      <c r="T27" s="345" t="n">
        <v>0.0766433621569446</v>
      </c>
      <c r="U27" s="345" t="n">
        <v>0.056296870885296</v>
      </c>
      <c r="V27" s="345" t="n">
        <v>0.0461296671230299</v>
      </c>
      <c r="W27" s="345" t="n">
        <v>0.679405059080847</v>
      </c>
      <c r="X27" s="345" t="n">
        <v>0.089027564278243</v>
      </c>
      <c r="Y27" s="345" t="n">
        <v>0.411393188063026</v>
      </c>
      <c r="Z27" s="345" t="n">
        <v>0.411393188063026</v>
      </c>
    </row>
    <row r="28" s="347" customFormat="true" ht="12.65" hidden="false" customHeight="false" outlineLevel="0" collapsed="false">
      <c r="A28" s="343" t="s">
        <v>472</v>
      </c>
      <c r="B28" s="344" t="n">
        <v>909</v>
      </c>
      <c r="C28" s="345" t="n">
        <v>0.05430443522</v>
      </c>
      <c r="D28" s="345" t="n">
        <v>0.092070565572304</v>
      </c>
      <c r="E28" s="345" t="n">
        <v>0.124460513033987</v>
      </c>
      <c r="F28" s="345" t="n">
        <v>0.222333854195453</v>
      </c>
      <c r="G28" s="346" t="n">
        <v>1.12572506267241</v>
      </c>
      <c r="H28" s="346" t="n">
        <v>1.220285272</v>
      </c>
      <c r="I28" s="345" t="n">
        <v>0.099757686864</v>
      </c>
      <c r="J28" s="345" t="n">
        <v>0.398721955</v>
      </c>
      <c r="K28" s="345" t="n">
        <v>0.0461</v>
      </c>
      <c r="L28" s="345" t="n">
        <v>0.192801644526726</v>
      </c>
      <c r="M28" s="345" t="n">
        <v>0.0872232438184571</v>
      </c>
      <c r="N28" s="346" t="n">
        <v>1.55533474838464</v>
      </c>
      <c r="O28" s="346" t="n">
        <v>1.83674304026594</v>
      </c>
      <c r="P28" s="346" t="n">
        <v>12.1931312807674</v>
      </c>
      <c r="Q28" s="346" t="n">
        <v>19.5785116847866</v>
      </c>
      <c r="R28" s="346" t="n">
        <v>2.63259722959048</v>
      </c>
      <c r="S28" s="346" t="n">
        <v>59.80004517</v>
      </c>
      <c r="T28" s="345" t="n">
        <v>0.214446208584727</v>
      </c>
      <c r="U28" s="345" t="n">
        <v>0.0430503004199793</v>
      </c>
      <c r="V28" s="345" t="n">
        <v>0.0432960468425637</v>
      </c>
      <c r="W28" s="345" t="n">
        <v>0.808297978238553</v>
      </c>
      <c r="X28" s="345" t="n">
        <v>0.110918603383456</v>
      </c>
      <c r="Y28" s="345" t="n">
        <v>0.449104230499258</v>
      </c>
      <c r="Z28" s="345" t="n">
        <v>0.449104230499258</v>
      </c>
    </row>
    <row r="29" s="347" customFormat="true" ht="12.65" hidden="false" customHeight="false" outlineLevel="0" collapsed="false">
      <c r="A29" s="343" t="s">
        <v>473</v>
      </c>
      <c r="B29" s="344" t="n">
        <v>152</v>
      </c>
      <c r="C29" s="345" t="n">
        <v>-0.01741769231</v>
      </c>
      <c r="D29" s="345" t="n">
        <v>0.0510662501592869</v>
      </c>
      <c r="E29" s="345" t="n">
        <v>0.103368528129631</v>
      </c>
      <c r="F29" s="345" t="n">
        <v>0.339740791684702</v>
      </c>
      <c r="G29" s="346" t="n">
        <v>1.19596385949168</v>
      </c>
      <c r="H29" s="346" t="n">
        <v>1.26368584</v>
      </c>
      <c r="I29" s="345" t="n">
        <v>0.10244852208</v>
      </c>
      <c r="J29" s="345" t="n">
        <v>0.432333942</v>
      </c>
      <c r="K29" s="345" t="n">
        <v>0.0491</v>
      </c>
      <c r="L29" s="345" t="n">
        <v>0.235778350410566</v>
      </c>
      <c r="M29" s="345" t="n">
        <v>0.0870187501487653</v>
      </c>
      <c r="N29" s="346" t="n">
        <v>2.26966350090363</v>
      </c>
      <c r="O29" s="346" t="n">
        <v>0.755763931000187</v>
      </c>
      <c r="P29" s="346" t="n">
        <v>8.6342742210315</v>
      </c>
      <c r="Q29" s="346" t="n">
        <v>15.3269153353766</v>
      </c>
      <c r="R29" s="346" t="n">
        <v>1.92200480384939</v>
      </c>
      <c r="S29" s="346" t="n">
        <v>116.9901261</v>
      </c>
      <c r="T29" s="345" t="n">
        <v>0.0184357490905366</v>
      </c>
      <c r="U29" s="345" t="n">
        <v>0.0460063078494358</v>
      </c>
      <c r="V29" s="345" t="n">
        <v>0.0289363758133429</v>
      </c>
      <c r="W29" s="345" t="n">
        <v>1.10696159650849</v>
      </c>
      <c r="X29" s="345" t="n">
        <v>0.0693547425372723</v>
      </c>
      <c r="Y29" s="345" t="n">
        <v>0.389132148039821</v>
      </c>
      <c r="Z29" s="345" t="n">
        <v>0.38913214803982</v>
      </c>
    </row>
    <row r="30" s="347" customFormat="true" ht="12.65" hidden="false" customHeight="false" outlineLevel="0" collapsed="false">
      <c r="A30" s="343" t="s">
        <v>474</v>
      </c>
      <c r="B30" s="344" t="n">
        <v>1298</v>
      </c>
      <c r="C30" s="345" t="n">
        <v>0.06123579534</v>
      </c>
      <c r="D30" s="345" t="n">
        <v>0.0825862162541013</v>
      </c>
      <c r="E30" s="345" t="n">
        <v>0.113655925507554</v>
      </c>
      <c r="F30" s="345" t="n">
        <v>0.217114356457172</v>
      </c>
      <c r="G30" s="346" t="n">
        <v>1.28053889509968</v>
      </c>
      <c r="H30" s="346" t="n">
        <v>1.268770968</v>
      </c>
      <c r="I30" s="345" t="n">
        <v>0.102763800016</v>
      </c>
      <c r="J30" s="345" t="n">
        <v>0.395319876</v>
      </c>
      <c r="K30" s="345" t="n">
        <v>0.0461</v>
      </c>
      <c r="L30" s="345" t="n">
        <v>0.126982295870823</v>
      </c>
      <c r="M30" s="345" t="n">
        <v>0.0941266890074986</v>
      </c>
      <c r="N30" s="346" t="n">
        <v>1.59427881484241</v>
      </c>
      <c r="O30" s="346" t="n">
        <v>1.53193699622755</v>
      </c>
      <c r="P30" s="346" t="n">
        <v>11.7525083978028</v>
      </c>
      <c r="Q30" s="346" t="n">
        <v>18.6248862211395</v>
      </c>
      <c r="R30" s="346" t="n">
        <v>2.42555852723399</v>
      </c>
      <c r="S30" s="346" t="n">
        <v>67.39932171</v>
      </c>
      <c r="T30" s="345" t="n">
        <v>0.170342045308203</v>
      </c>
      <c r="U30" s="345" t="n">
        <v>0.0598907950729335</v>
      </c>
      <c r="V30" s="345" t="n">
        <v>0.055534596155835</v>
      </c>
      <c r="W30" s="345" t="n">
        <v>1.23069675823057</v>
      </c>
      <c r="X30" s="345" t="n">
        <v>0.115138531736693</v>
      </c>
      <c r="Y30" s="345" t="n">
        <v>0.354402726736396</v>
      </c>
      <c r="Z30" s="345" t="n">
        <v>0.354402726736396</v>
      </c>
    </row>
    <row r="31" s="347" customFormat="true" ht="12.65" hidden="false" customHeight="false" outlineLevel="0" collapsed="false">
      <c r="A31" s="343" t="s">
        <v>475</v>
      </c>
      <c r="B31" s="344" t="n">
        <v>1185</v>
      </c>
      <c r="C31" s="345" t="n">
        <v>0.05095203182</v>
      </c>
      <c r="D31" s="345" t="n">
        <v>0.0495698718930726</v>
      </c>
      <c r="E31" s="345" t="n">
        <v>0.0950081603571162</v>
      </c>
      <c r="F31" s="345" t="n">
        <v>0.247799685810076</v>
      </c>
      <c r="G31" s="346" t="n">
        <v>0.972173127426637</v>
      </c>
      <c r="H31" s="346" t="n">
        <v>1.182273151</v>
      </c>
      <c r="I31" s="345" t="n">
        <v>0.097400935362</v>
      </c>
      <c r="J31" s="345" t="n">
        <v>0.367916906</v>
      </c>
      <c r="K31" s="345" t="n">
        <v>0.0461</v>
      </c>
      <c r="L31" s="345" t="n">
        <v>0.393051762821902</v>
      </c>
      <c r="M31" s="345" t="n">
        <v>0.0727741335562156</v>
      </c>
      <c r="N31" s="346" t="n">
        <v>2.31935246595225</v>
      </c>
      <c r="O31" s="346" t="n">
        <v>0.71992344691706</v>
      </c>
      <c r="P31" s="346" t="n">
        <v>9.56978128112348</v>
      </c>
      <c r="Q31" s="346" t="n">
        <v>14.1744121224907</v>
      </c>
      <c r="R31" s="346" t="n">
        <v>1.52121338231348</v>
      </c>
      <c r="S31" s="346" t="n">
        <v>42.8549158</v>
      </c>
      <c r="T31" s="345" t="n">
        <v>0.109023911091258</v>
      </c>
      <c r="U31" s="345" t="n">
        <v>0.0299630265421961</v>
      </c>
      <c r="V31" s="345" t="n">
        <v>0.0206185660310224</v>
      </c>
      <c r="W31" s="345" t="n">
        <v>0.504468781969104</v>
      </c>
      <c r="X31" s="345" t="n">
        <v>0.0997810345142741</v>
      </c>
      <c r="Y31" s="345" t="n">
        <v>0.50540898099719</v>
      </c>
      <c r="Z31" s="345" t="n">
        <v>0.50540898099719</v>
      </c>
    </row>
    <row r="32" s="347" customFormat="true" ht="12.65" hidden="false" customHeight="false" outlineLevel="0" collapsed="false">
      <c r="A32" s="343" t="s">
        <v>384</v>
      </c>
      <c r="B32" s="344" t="n">
        <v>374</v>
      </c>
      <c r="C32" s="345" t="n">
        <v>0.07564589109</v>
      </c>
      <c r="D32" s="345" t="n">
        <v>0.165289049122642</v>
      </c>
      <c r="E32" s="345" t="n">
        <v>0.207462354741482</v>
      </c>
      <c r="F32" s="345" t="n">
        <v>0.284008301310511</v>
      </c>
      <c r="G32" s="346" t="n">
        <v>1.01785234431027</v>
      </c>
      <c r="H32" s="346" t="n">
        <v>1.191871865</v>
      </c>
      <c r="I32" s="345" t="n">
        <v>0.09799605563</v>
      </c>
      <c r="J32" s="345" t="n">
        <v>0.447747489</v>
      </c>
      <c r="K32" s="345" t="n">
        <v>0.0491</v>
      </c>
      <c r="L32" s="345" t="n">
        <v>0.239161650074601</v>
      </c>
      <c r="M32" s="345" t="n">
        <v>0.0834097335256931</v>
      </c>
      <c r="N32" s="346" t="n">
        <v>1.3972783463707</v>
      </c>
      <c r="O32" s="346" t="n">
        <v>2.89994157781106</v>
      </c>
      <c r="P32" s="346" t="n">
        <v>11.6979172674404</v>
      </c>
      <c r="Q32" s="346" t="n">
        <v>17.0826865307573</v>
      </c>
      <c r="R32" s="346" t="n">
        <v>2.81516133127475</v>
      </c>
      <c r="S32" s="346" t="n">
        <v>121.6625608</v>
      </c>
      <c r="T32" s="345" t="n">
        <v>0.0982239984746773</v>
      </c>
      <c r="U32" s="345" t="n">
        <v>0.0451003151252119</v>
      </c>
      <c r="V32" s="345" t="n">
        <v>0.0537031089790863</v>
      </c>
      <c r="W32" s="345" t="n">
        <v>1.01554606045396</v>
      </c>
      <c r="X32" s="345" t="n">
        <v>0.135474836381141</v>
      </c>
      <c r="Y32" s="345" t="n">
        <v>0.337025271637637</v>
      </c>
      <c r="Z32" s="345" t="n">
        <v>0.337025271637637</v>
      </c>
    </row>
    <row r="33" s="347" customFormat="true" ht="12.65" hidden="false" customHeight="false" outlineLevel="0" collapsed="false">
      <c r="A33" s="343" t="s">
        <v>476</v>
      </c>
      <c r="B33" s="344" t="n">
        <v>320</v>
      </c>
      <c r="C33" s="345" t="n">
        <v>0.1481845509</v>
      </c>
      <c r="D33" s="345" t="n">
        <v>0.117087935014527</v>
      </c>
      <c r="E33" s="345" t="n">
        <v>0.159663236688091</v>
      </c>
      <c r="F33" s="345" t="n">
        <v>0.262744798523643</v>
      </c>
      <c r="G33" s="346" t="n">
        <v>1.03422449359797</v>
      </c>
      <c r="H33" s="346" t="n">
        <v>1.204549971</v>
      </c>
      <c r="I33" s="345" t="n">
        <v>0.098782098202</v>
      </c>
      <c r="J33" s="345" t="n">
        <v>0.462897755</v>
      </c>
      <c r="K33" s="345" t="n">
        <v>0.0491</v>
      </c>
      <c r="L33" s="345" t="n">
        <v>0.223315394068262</v>
      </c>
      <c r="M33" s="345" t="n">
        <v>0.0849866941093348</v>
      </c>
      <c r="N33" s="346" t="n">
        <v>1.56499810852289</v>
      </c>
      <c r="O33" s="346" t="n">
        <v>2.5858193489786</v>
      </c>
      <c r="P33" s="346" t="n">
        <v>13.3753879441645</v>
      </c>
      <c r="Q33" s="346" t="n">
        <v>21.8230229020408</v>
      </c>
      <c r="R33" s="346" t="n">
        <v>3.28508207701241</v>
      </c>
      <c r="S33" s="346" t="n">
        <v>101.610064</v>
      </c>
      <c r="T33" s="345" t="n">
        <v>0.11541607548961</v>
      </c>
      <c r="U33" s="345" t="n">
        <v>0.0854595478498005</v>
      </c>
      <c r="V33" s="345" t="n">
        <v>0.058218153561894</v>
      </c>
      <c r="W33" s="345" t="n">
        <v>1.00357256020258</v>
      </c>
      <c r="X33" s="345" t="n">
        <v>0.114466932347572</v>
      </c>
      <c r="Y33" s="345" t="n">
        <v>0.465392662589158</v>
      </c>
      <c r="Z33" s="345" t="n">
        <v>0.465392662589158</v>
      </c>
    </row>
    <row r="34" s="347" customFormat="true" ht="12.65" hidden="false" customHeight="false" outlineLevel="0" collapsed="false">
      <c r="A34" s="343" t="s">
        <v>477</v>
      </c>
      <c r="B34" s="344" t="n">
        <v>412</v>
      </c>
      <c r="C34" s="345" t="n">
        <v>0.09867820896</v>
      </c>
      <c r="D34" s="345" t="n">
        <v>0.0565769960722027</v>
      </c>
      <c r="E34" s="345" t="n">
        <v>0.069277602284008</v>
      </c>
      <c r="F34" s="345" t="n">
        <v>0.235912602222069</v>
      </c>
      <c r="G34" s="346" t="n">
        <v>0.693778480498541</v>
      </c>
      <c r="H34" s="346" t="n">
        <v>0.892977523</v>
      </c>
      <c r="I34" s="345" t="n">
        <v>0.079464606426</v>
      </c>
      <c r="J34" s="345" t="n">
        <v>0.344788949</v>
      </c>
      <c r="K34" s="345" t="n">
        <v>0.0461</v>
      </c>
      <c r="L34" s="345" t="n">
        <v>0.333753947887979</v>
      </c>
      <c r="M34" s="345" t="n">
        <v>0.0645394514730762</v>
      </c>
      <c r="N34" s="346" t="n">
        <v>1.41334230602247</v>
      </c>
      <c r="O34" s="346" t="n">
        <v>1.19627917806183</v>
      </c>
      <c r="P34" s="346" t="n">
        <v>13.0727754183533</v>
      </c>
      <c r="Q34" s="346" t="n">
        <v>20.6763592983117</v>
      </c>
      <c r="R34" s="346" t="n">
        <v>1.92660813568078</v>
      </c>
      <c r="S34" s="346" t="n">
        <v>51.72107482</v>
      </c>
      <c r="T34" s="345" t="n">
        <v>0.149620380560823</v>
      </c>
      <c r="U34" s="345" t="n">
        <v>0.0447274437121534</v>
      </c>
      <c r="V34" s="345" t="n">
        <v>0.0262650329170846</v>
      </c>
      <c r="W34" s="345" t="n">
        <v>0.867700075923446</v>
      </c>
      <c r="X34" s="345" t="n">
        <v>0.103259775002205</v>
      </c>
      <c r="Y34" s="345" t="n">
        <v>0.375365948520517</v>
      </c>
      <c r="Z34" s="345" t="n">
        <v>0.375365948520517</v>
      </c>
    </row>
    <row r="35" s="347" customFormat="true" ht="12.65" hidden="false" customHeight="false" outlineLevel="0" collapsed="false">
      <c r="A35" s="343" t="s">
        <v>478</v>
      </c>
      <c r="B35" s="344" t="n">
        <v>1030</v>
      </c>
      <c r="C35" s="345" t="n">
        <v>0.1542272404</v>
      </c>
      <c r="D35" s="345" t="n">
        <v>0.0753198791184994</v>
      </c>
      <c r="E35" s="345" t="n">
        <v>0.0040056145918316</v>
      </c>
      <c r="F35" s="345" t="n">
        <v>0.238335392592187</v>
      </c>
      <c r="G35" s="346" t="n">
        <v>0.154516734447412</v>
      </c>
      <c r="H35" s="346" t="n">
        <v>0.821530556</v>
      </c>
      <c r="I35" s="345" t="n">
        <v>0.075034894472</v>
      </c>
      <c r="J35" s="345" t="n">
        <v>0.359757745</v>
      </c>
      <c r="K35" s="345" t="n">
        <v>0.0461</v>
      </c>
      <c r="L35" s="345" t="n">
        <v>0.864289021912077</v>
      </c>
      <c r="M35" s="345" t="n">
        <v>0.0402132736305968</v>
      </c>
      <c r="N35" s="346" t="n">
        <v>0.0648224948705276</v>
      </c>
      <c r="O35" s="346" t="n">
        <v>16.263259877769</v>
      </c>
      <c r="P35" s="346" t="n">
        <v>148.893096881739</v>
      </c>
      <c r="Q35" s="346" t="s">
        <v>453</v>
      </c>
      <c r="R35" s="346" t="n">
        <v>1.46478692944492</v>
      </c>
      <c r="S35" s="346" t="n">
        <v>125.5874652</v>
      </c>
      <c r="T35" s="345" t="s">
        <v>453</v>
      </c>
      <c r="U35" s="345" t="n">
        <v>0.072664347762493</v>
      </c>
      <c r="V35" s="345" t="n">
        <v>0.101799562292964</v>
      </c>
      <c r="W35" s="345" t="n">
        <v>2.05943561973101</v>
      </c>
      <c r="X35" s="345" t="n">
        <v>0.208060484925806</v>
      </c>
      <c r="Y35" s="345" t="n">
        <v>0.227774880838808</v>
      </c>
      <c r="Z35" s="345" t="n">
        <v>0.227774880838808</v>
      </c>
    </row>
    <row r="36" s="347" customFormat="true" ht="12.65" hidden="false" customHeight="false" outlineLevel="0" collapsed="false">
      <c r="A36" s="343" t="s">
        <v>479</v>
      </c>
      <c r="B36" s="344" t="n">
        <v>1270</v>
      </c>
      <c r="C36" s="345" t="n">
        <v>0.07048174009</v>
      </c>
      <c r="D36" s="345" t="n">
        <v>0.090820500141065</v>
      </c>
      <c r="E36" s="345" t="n">
        <v>0.139899302579219</v>
      </c>
      <c r="F36" s="345" t="n">
        <v>0.252634339084057</v>
      </c>
      <c r="G36" s="346" t="n">
        <v>0.715795353830656</v>
      </c>
      <c r="H36" s="346" t="n">
        <v>0.81145831</v>
      </c>
      <c r="I36" s="345" t="n">
        <v>0.07441041522</v>
      </c>
      <c r="J36" s="345" t="n">
        <v>0.338141432</v>
      </c>
      <c r="K36" s="345" t="n">
        <v>0.0461</v>
      </c>
      <c r="L36" s="345" t="n">
        <v>0.199026372318833</v>
      </c>
      <c r="M36" s="345" t="n">
        <v>0.0665160649672754</v>
      </c>
      <c r="N36" s="346" t="n">
        <v>1.85053492764079</v>
      </c>
      <c r="O36" s="346" t="n">
        <v>1.68935930573227</v>
      </c>
      <c r="P36" s="346" t="n">
        <v>13.0147609718588</v>
      </c>
      <c r="Q36" s="346" t="n">
        <v>18.4143492137266</v>
      </c>
      <c r="R36" s="346" t="n">
        <v>2.77462179878894</v>
      </c>
      <c r="S36" s="346" t="n">
        <v>45.32420511</v>
      </c>
      <c r="T36" s="345" t="n">
        <v>0.105164635050716</v>
      </c>
      <c r="U36" s="345" t="n">
        <v>0.0433426945690627</v>
      </c>
      <c r="V36" s="345" t="n">
        <v>0.0473970843558684</v>
      </c>
      <c r="W36" s="345" t="n">
        <v>0.73073229963597</v>
      </c>
      <c r="X36" s="345" t="n">
        <v>0.121535823160127</v>
      </c>
      <c r="Y36" s="345" t="n">
        <v>0.519488158408363</v>
      </c>
      <c r="Z36" s="345" t="n">
        <v>0.519488158408363</v>
      </c>
    </row>
    <row r="37" s="347" customFormat="true" ht="12.65" hidden="false" customHeight="false" outlineLevel="0" collapsed="false">
      <c r="A37" s="343" t="s">
        <v>480</v>
      </c>
      <c r="B37" s="344" t="n">
        <v>148</v>
      </c>
      <c r="C37" s="345" t="n">
        <v>0.1429478788</v>
      </c>
      <c r="D37" s="345" t="n">
        <v>0.0270672216257609</v>
      </c>
      <c r="E37" s="345" t="n">
        <v>0.124001159961142</v>
      </c>
      <c r="F37" s="345" t="n">
        <v>0.284186682941108</v>
      </c>
      <c r="G37" s="346" t="n">
        <v>0.622054897865603</v>
      </c>
      <c r="H37" s="346" t="n">
        <v>0.835996544</v>
      </c>
      <c r="I37" s="345" t="n">
        <v>0.075931785728</v>
      </c>
      <c r="J37" s="345" t="n">
        <v>0.334391746</v>
      </c>
      <c r="K37" s="345" t="n">
        <v>0.0461</v>
      </c>
      <c r="L37" s="345" t="n">
        <v>0.372861722552388</v>
      </c>
      <c r="M37" s="345" t="n">
        <v>0.0605750223862437</v>
      </c>
      <c r="N37" s="346" t="n">
        <v>5.60510011341878</v>
      </c>
      <c r="O37" s="346" t="n">
        <v>0.461037310622148</v>
      </c>
      <c r="P37" s="346" t="n">
        <v>10.4266274978342</v>
      </c>
      <c r="Q37" s="346" t="n">
        <v>16.9236044529343</v>
      </c>
      <c r="R37" s="346" t="n">
        <v>1.93983157024116</v>
      </c>
      <c r="S37" s="346" t="n">
        <v>62.9319471</v>
      </c>
      <c r="T37" s="345" t="n">
        <v>0.0473791436980947</v>
      </c>
      <c r="U37" s="345" t="n">
        <v>0.0147443152974005</v>
      </c>
      <c r="V37" s="345" t="n">
        <v>0.00830617336947546</v>
      </c>
      <c r="W37" s="345" t="n">
        <v>0.279802820108048</v>
      </c>
      <c r="X37" s="345" t="n">
        <v>0.105354400877777</v>
      </c>
      <c r="Y37" s="345" t="n">
        <v>0.474319480646039</v>
      </c>
      <c r="Z37" s="345" t="n">
        <v>0.474319480646039</v>
      </c>
    </row>
    <row r="38" s="347" customFormat="true" ht="12.65" hidden="false" customHeight="false" outlineLevel="0" collapsed="false">
      <c r="A38" s="343" t="s">
        <v>481</v>
      </c>
      <c r="B38" s="344" t="n">
        <v>316</v>
      </c>
      <c r="C38" s="345" t="n">
        <v>0.06943668085</v>
      </c>
      <c r="D38" s="345" t="n">
        <v>0.0820287734802446</v>
      </c>
      <c r="E38" s="345" t="n">
        <v>0.192616145639605</v>
      </c>
      <c r="F38" s="345" t="n">
        <v>0.180296519655826</v>
      </c>
      <c r="G38" s="346" t="n">
        <v>0.933785368796102</v>
      </c>
      <c r="H38" s="346" t="n">
        <v>0.962388298</v>
      </c>
      <c r="I38" s="345" t="n">
        <v>0.083768074476</v>
      </c>
      <c r="J38" s="345" t="n">
        <v>0.333988461</v>
      </c>
      <c r="K38" s="345" t="n">
        <v>0.0461</v>
      </c>
      <c r="L38" s="345" t="n">
        <v>0.176835838787062</v>
      </c>
      <c r="M38" s="345" t="n">
        <v>0.075099138777544</v>
      </c>
      <c r="N38" s="346" t="n">
        <v>2.80617405545999</v>
      </c>
      <c r="O38" s="346" t="n">
        <v>1.4083415543455</v>
      </c>
      <c r="P38" s="346" t="n">
        <v>11.9460241832138</v>
      </c>
      <c r="Q38" s="346" t="n">
        <v>17.2839523084126</v>
      </c>
      <c r="R38" s="346" t="n">
        <v>2.84030879039138</v>
      </c>
      <c r="S38" s="346" t="n">
        <v>58.12226916</v>
      </c>
      <c r="T38" s="345" t="n">
        <v>0.0804839929788457</v>
      </c>
      <c r="U38" s="345" t="n">
        <v>0.0338019531856291</v>
      </c>
      <c r="V38" s="345" t="n">
        <v>0.0603772121963313</v>
      </c>
      <c r="W38" s="345" t="n">
        <v>0.861988297587123</v>
      </c>
      <c r="X38" s="345" t="n">
        <v>0.208315332381459</v>
      </c>
      <c r="Y38" s="345" t="n">
        <v>0.405139289778324</v>
      </c>
      <c r="Z38" s="345" t="n">
        <v>0.405139289778324</v>
      </c>
    </row>
    <row r="39" s="347" customFormat="true" ht="12.65" hidden="false" customHeight="false" outlineLevel="0" collapsed="false">
      <c r="A39" s="343" t="s">
        <v>482</v>
      </c>
      <c r="B39" s="344" t="n">
        <v>181</v>
      </c>
      <c r="C39" s="345" t="n">
        <v>0.0929313253</v>
      </c>
      <c r="D39" s="345" t="n">
        <v>0.358609173552897</v>
      </c>
      <c r="E39" s="345" t="n">
        <v>0.0746015227650546</v>
      </c>
      <c r="F39" s="345" t="n">
        <v>0.174533804882187</v>
      </c>
      <c r="G39" s="346" t="n">
        <v>0.75692622224627</v>
      </c>
      <c r="H39" s="346" t="n">
        <v>1.153201883</v>
      </c>
      <c r="I39" s="345" t="n">
        <v>0.095598516746</v>
      </c>
      <c r="J39" s="345" t="n">
        <v>0.380770285</v>
      </c>
      <c r="K39" s="345" t="n">
        <v>0.0461</v>
      </c>
      <c r="L39" s="345" t="n">
        <v>0.435659340310002</v>
      </c>
      <c r="M39" s="345" t="n">
        <v>0.0690873621107179</v>
      </c>
      <c r="N39" s="346" t="n">
        <v>0.232196973167239</v>
      </c>
      <c r="O39" s="346" t="n">
        <v>7.36937947974379</v>
      </c>
      <c r="P39" s="346" t="n">
        <v>11.7146584059926</v>
      </c>
      <c r="Q39" s="346" t="n">
        <v>20.3498040337403</v>
      </c>
      <c r="R39" s="346" t="n">
        <v>1.64825340129624</v>
      </c>
      <c r="S39" s="346" t="n">
        <v>90.27241258</v>
      </c>
      <c r="T39" s="345" t="n">
        <v>-0.0657799379416834</v>
      </c>
      <c r="U39" s="345" t="n">
        <v>0.302663283664173</v>
      </c>
      <c r="V39" s="345" t="n">
        <v>0.108582883312971</v>
      </c>
      <c r="W39" s="345" t="n">
        <v>0.462684331589582</v>
      </c>
      <c r="X39" s="345" t="n">
        <v>0.101199984773105</v>
      </c>
      <c r="Y39" s="345" t="n">
        <v>0.906179779377788</v>
      </c>
      <c r="Z39" s="345" t="n">
        <v>0.906179779377788</v>
      </c>
    </row>
    <row r="40" s="347" customFormat="true" ht="12.65" hidden="false" customHeight="false" outlineLevel="0" collapsed="false">
      <c r="A40" s="343" t="s">
        <v>483</v>
      </c>
      <c r="B40" s="344" t="n">
        <v>696</v>
      </c>
      <c r="C40" s="345" t="n">
        <v>0.1155881622</v>
      </c>
      <c r="D40" s="345" t="n">
        <v>0.15379877275687</v>
      </c>
      <c r="E40" s="345" t="n">
        <v>0.152908162159906</v>
      </c>
      <c r="F40" s="345" t="n">
        <v>0.171786431939022</v>
      </c>
      <c r="G40" s="346" t="n">
        <v>1.00287599265053</v>
      </c>
      <c r="H40" s="346" t="n">
        <v>1.06541712</v>
      </c>
      <c r="I40" s="345" t="n">
        <v>0.09015586144</v>
      </c>
      <c r="J40" s="345" t="n">
        <v>0.499240525</v>
      </c>
      <c r="K40" s="345" t="n">
        <v>0.0491</v>
      </c>
      <c r="L40" s="345" t="n">
        <v>0.138786140073968</v>
      </c>
      <c r="M40" s="345" t="n">
        <v>0.08277949031199</v>
      </c>
      <c r="N40" s="346" t="n">
        <v>1.07641923239271</v>
      </c>
      <c r="O40" s="346" t="n">
        <v>4.09540840494468</v>
      </c>
      <c r="P40" s="346" t="n">
        <v>17.2053004704228</v>
      </c>
      <c r="Q40" s="346" t="n">
        <v>26.7067853431046</v>
      </c>
      <c r="R40" s="346" t="n">
        <v>3.66831009053009</v>
      </c>
      <c r="S40" s="346" t="n">
        <v>63.82263974</v>
      </c>
      <c r="T40" s="345" t="n">
        <v>0.247777789728315</v>
      </c>
      <c r="U40" s="345" t="n">
        <v>0.0469444983469426</v>
      </c>
      <c r="V40" s="345" t="n">
        <v>0.0932965078527317</v>
      </c>
      <c r="W40" s="345" t="n">
        <v>0.856582374509557</v>
      </c>
      <c r="X40" s="345" t="n">
        <v>0.106939272015358</v>
      </c>
      <c r="Y40" s="345" t="n">
        <v>0.398595014844785</v>
      </c>
      <c r="Z40" s="345" t="n">
        <v>0.398595014844785</v>
      </c>
    </row>
    <row r="41" s="347" customFormat="true" ht="12.65" hidden="false" customHeight="false" outlineLevel="0" collapsed="false">
      <c r="A41" s="343" t="s">
        <v>484</v>
      </c>
      <c r="B41" s="344" t="n">
        <v>355</v>
      </c>
      <c r="C41" s="345" t="n">
        <v>0.1554689623</v>
      </c>
      <c r="D41" s="345" t="n">
        <v>0.0484847592183046</v>
      </c>
      <c r="E41" s="345" t="n">
        <v>0.351792325937584</v>
      </c>
      <c r="F41" s="345" t="n">
        <v>0.306924022122235</v>
      </c>
      <c r="G41" s="346" t="n">
        <v>0.871299419732349</v>
      </c>
      <c r="H41" s="346" t="n">
        <v>0.961655923</v>
      </c>
      <c r="I41" s="345" t="n">
        <v>0.083722667226</v>
      </c>
      <c r="J41" s="345" t="n">
        <v>0.423862322</v>
      </c>
      <c r="K41" s="345" t="n">
        <v>0.0491</v>
      </c>
      <c r="L41" s="345" t="n">
        <v>0.209260342442078</v>
      </c>
      <c r="M41" s="345" t="n">
        <v>0.0739468616489641</v>
      </c>
      <c r="N41" s="346" t="n">
        <v>8.76972396886746</v>
      </c>
      <c r="O41" s="346" t="n">
        <v>0.690614824579281</v>
      </c>
      <c r="P41" s="346" t="n">
        <v>10.9726413689419</v>
      </c>
      <c r="Q41" s="346" t="n">
        <v>14.0795496886961</v>
      </c>
      <c r="R41" s="346" t="n">
        <v>2.8979127843491</v>
      </c>
      <c r="S41" s="346" t="n">
        <v>84.7230237</v>
      </c>
      <c r="T41" s="345" t="n">
        <v>-0.0184927687894141</v>
      </c>
      <c r="U41" s="345" t="n">
        <v>0.00981007411163198</v>
      </c>
      <c r="V41" s="345" t="n">
        <v>0.0196731144796363</v>
      </c>
      <c r="W41" s="345" t="n">
        <v>0.677291694304856</v>
      </c>
      <c r="X41" s="345" t="n">
        <v>0.147560308884508</v>
      </c>
      <c r="Y41" s="345" t="n">
        <v>0.256712074114055</v>
      </c>
      <c r="Z41" s="345" t="n">
        <v>0.256712074114055</v>
      </c>
    </row>
    <row r="42" s="347" customFormat="true" ht="12.65" hidden="false" customHeight="false" outlineLevel="0" collapsed="false">
      <c r="A42" s="343" t="s">
        <v>485</v>
      </c>
      <c r="B42" s="344" t="n">
        <v>339</v>
      </c>
      <c r="C42" s="345" t="n">
        <v>0.1074004375</v>
      </c>
      <c r="D42" s="345" t="n">
        <v>0.134435465094501</v>
      </c>
      <c r="E42" s="345" t="n">
        <v>0.151818505814781</v>
      </c>
      <c r="F42" s="345" t="n">
        <v>0.19103583157765</v>
      </c>
      <c r="G42" s="346" t="n">
        <v>0.98161343963485</v>
      </c>
      <c r="H42" s="346" t="n">
        <v>1.049431259</v>
      </c>
      <c r="I42" s="345" t="n">
        <v>0.089164738058</v>
      </c>
      <c r="J42" s="345" t="n">
        <v>0.503753357</v>
      </c>
      <c r="K42" s="345" t="n">
        <v>0.0491</v>
      </c>
      <c r="L42" s="345" t="n">
        <v>0.132548428874316</v>
      </c>
      <c r="M42" s="345" t="n">
        <v>0.0822512680837925</v>
      </c>
      <c r="N42" s="346" t="n">
        <v>1.21825139277463</v>
      </c>
      <c r="O42" s="346" t="n">
        <v>5.05050182439242</v>
      </c>
      <c r="P42" s="346" t="n">
        <v>21.646145466951</v>
      </c>
      <c r="Q42" s="346" t="n">
        <v>37.4226651622594</v>
      </c>
      <c r="R42" s="346" t="n">
        <v>4.42531870109821</v>
      </c>
      <c r="S42" s="346" t="n">
        <v>124.8769532</v>
      </c>
      <c r="T42" s="345" t="n">
        <v>0.196119990255472</v>
      </c>
      <c r="U42" s="345" t="n">
        <v>0.051486475438465</v>
      </c>
      <c r="V42" s="345" t="n">
        <v>0.106762364444316</v>
      </c>
      <c r="W42" s="345" t="n">
        <v>1.21748252722252</v>
      </c>
      <c r="X42" s="345" t="n">
        <v>0.100681926689583</v>
      </c>
      <c r="Y42" s="345" t="n">
        <v>0.169811291155347</v>
      </c>
      <c r="Z42" s="345" t="n">
        <v>0.169811291155347</v>
      </c>
    </row>
    <row r="43" s="347" customFormat="true" ht="12.65" hidden="false" customHeight="false" outlineLevel="0" collapsed="false">
      <c r="A43" s="343" t="s">
        <v>486</v>
      </c>
      <c r="B43" s="344" t="n">
        <v>171</v>
      </c>
      <c r="C43" s="345" t="n">
        <v>0.0877303252</v>
      </c>
      <c r="D43" s="345" t="n">
        <v>0.0951265708738476</v>
      </c>
      <c r="E43" s="345" t="n">
        <v>0.0954298487530236</v>
      </c>
      <c r="F43" s="345" t="n">
        <v>0.282824893494238</v>
      </c>
      <c r="G43" s="346" t="n">
        <v>0.929999193959878</v>
      </c>
      <c r="H43" s="346" t="n">
        <v>1.101658185</v>
      </c>
      <c r="I43" s="345" t="n">
        <v>0.09240280747</v>
      </c>
      <c r="J43" s="345" t="n">
        <v>0.386600094</v>
      </c>
      <c r="K43" s="345" t="n">
        <v>0.0461</v>
      </c>
      <c r="L43" s="345" t="n">
        <v>0.282104074200044</v>
      </c>
      <c r="M43" s="345" t="n">
        <v>0.0761374658725936</v>
      </c>
      <c r="N43" s="346" t="n">
        <v>1.28164795231776</v>
      </c>
      <c r="O43" s="346" t="n">
        <v>1.33875586830281</v>
      </c>
      <c r="P43" s="346" t="n">
        <v>10.2851063830552</v>
      </c>
      <c r="Q43" s="346" t="n">
        <v>13.4878335808145</v>
      </c>
      <c r="R43" s="346" t="n">
        <v>1.86056813523881</v>
      </c>
      <c r="S43" s="346" t="n">
        <v>17.63384964</v>
      </c>
      <c r="T43" s="345" t="n">
        <v>0.619773435662938</v>
      </c>
      <c r="U43" s="345" t="n">
        <v>0.00939825760258227</v>
      </c>
      <c r="V43" s="345" t="n">
        <v>0.0132382442228229</v>
      </c>
      <c r="W43" s="345" t="n">
        <v>0.519276004954524</v>
      </c>
      <c r="X43" s="345" t="n">
        <v>0.12447959500336</v>
      </c>
      <c r="Y43" s="345" t="n">
        <v>0.230356557378196</v>
      </c>
      <c r="Z43" s="345" t="n">
        <v>0.230356557378196</v>
      </c>
    </row>
    <row r="44" s="347" customFormat="true" ht="12.65" hidden="false" customHeight="false" outlineLevel="0" collapsed="false">
      <c r="A44" s="343" t="s">
        <v>487</v>
      </c>
      <c r="B44" s="344" t="n">
        <v>198</v>
      </c>
      <c r="C44" s="345" t="n">
        <v>0.08466098361</v>
      </c>
      <c r="D44" s="345" t="n">
        <v>0.0824821705805241</v>
      </c>
      <c r="E44" s="345" t="n">
        <v>0.0837702173340618</v>
      </c>
      <c r="F44" s="345" t="n">
        <v>0.252535687852196</v>
      </c>
      <c r="G44" s="346" t="n">
        <v>0.577423478147815</v>
      </c>
      <c r="H44" s="346" t="n">
        <v>0.903467662</v>
      </c>
      <c r="I44" s="345" t="n">
        <v>0.080114995044</v>
      </c>
      <c r="J44" s="345" t="n">
        <v>0.377226684</v>
      </c>
      <c r="K44" s="345" t="n">
        <v>0.0461</v>
      </c>
      <c r="L44" s="345" t="n">
        <v>0.446940436519021</v>
      </c>
      <c r="M44" s="345" t="n">
        <v>0.0598375644102176</v>
      </c>
      <c r="N44" s="346" t="n">
        <v>1.21245752046314</v>
      </c>
      <c r="O44" s="346" t="n">
        <v>1.90527547040327</v>
      </c>
      <c r="P44" s="346" t="n">
        <v>11.2548089694309</v>
      </c>
      <c r="Q44" s="346" t="n">
        <v>22.9846531594768</v>
      </c>
      <c r="R44" s="346" t="n">
        <v>3.10730302331224</v>
      </c>
      <c r="S44" s="346" t="n">
        <v>45.74741849</v>
      </c>
      <c r="T44" s="345" t="n">
        <v>0.0779663659488539</v>
      </c>
      <c r="U44" s="345" t="n">
        <v>0.0618378486019124</v>
      </c>
      <c r="V44" s="345" t="n">
        <v>0.0442467796094593</v>
      </c>
      <c r="W44" s="345" t="n">
        <v>1.27877024274674</v>
      </c>
      <c r="X44" s="345" t="n">
        <v>0.10176820879725</v>
      </c>
      <c r="Y44" s="345" t="n">
        <v>0.464464845652554</v>
      </c>
      <c r="Z44" s="345" t="n">
        <v>0.464464845652554</v>
      </c>
    </row>
    <row r="45" s="347" customFormat="true" ht="12.65" hidden="false" customHeight="false" outlineLevel="0" collapsed="false">
      <c r="A45" s="343" t="s">
        <v>488</v>
      </c>
      <c r="B45" s="344" t="n">
        <v>658</v>
      </c>
      <c r="C45" s="345" t="n">
        <v>0.1418157667</v>
      </c>
      <c r="D45" s="345" t="n">
        <v>0.136353863607197</v>
      </c>
      <c r="E45" s="345" t="n">
        <v>0.0915369472796905</v>
      </c>
      <c r="F45" s="345" t="n">
        <v>0.173323193882142</v>
      </c>
      <c r="G45" s="346" t="n">
        <v>0.827429046063065</v>
      </c>
      <c r="H45" s="346" t="n">
        <v>0.983557879</v>
      </c>
      <c r="I45" s="345" t="n">
        <v>0.085080588498</v>
      </c>
      <c r="J45" s="345" t="n">
        <v>0.352588386</v>
      </c>
      <c r="K45" s="345" t="n">
        <v>0.0461</v>
      </c>
      <c r="L45" s="345" t="n">
        <v>0.261985344745158</v>
      </c>
      <c r="M45" s="345" t="n">
        <v>0.0718935513240476</v>
      </c>
      <c r="N45" s="346" t="n">
        <v>0.778974685256353</v>
      </c>
      <c r="O45" s="346" t="n">
        <v>3.14095877677919</v>
      </c>
      <c r="P45" s="346" t="n">
        <v>13.2287449219066</v>
      </c>
      <c r="Q45" s="346" t="n">
        <v>22.7510601793896</v>
      </c>
      <c r="R45" s="346" t="n">
        <v>2.68072346888661</v>
      </c>
      <c r="S45" s="346" t="n">
        <v>152.9703312</v>
      </c>
      <c r="T45" s="345" t="n">
        <v>-0.0244897975831524</v>
      </c>
      <c r="U45" s="345" t="n">
        <v>0.0890401787762752</v>
      </c>
      <c r="V45" s="345" t="n">
        <v>0.0325246718339237</v>
      </c>
      <c r="W45" s="345" t="n">
        <v>0.282510329967458</v>
      </c>
      <c r="X45" s="345" t="n">
        <v>0.0952404911461126</v>
      </c>
      <c r="Y45" s="345" t="n">
        <v>0.558618982414048</v>
      </c>
      <c r="Z45" s="345" t="n">
        <v>0.558618982414048</v>
      </c>
    </row>
    <row r="46" s="347" customFormat="true" ht="12.65" hidden="false" customHeight="false" outlineLevel="0" collapsed="false">
      <c r="A46" s="343" t="s">
        <v>489</v>
      </c>
      <c r="B46" s="344" t="n">
        <v>531</v>
      </c>
      <c r="C46" s="345" t="n">
        <v>0.08987979381</v>
      </c>
      <c r="D46" s="345" t="n">
        <v>0.157415452012302</v>
      </c>
      <c r="E46" s="345" t="n">
        <v>0.285253412575371</v>
      </c>
      <c r="F46" s="345" t="n">
        <v>0.27032516118863</v>
      </c>
      <c r="G46" s="346" t="n">
        <v>0.911659243081562</v>
      </c>
      <c r="H46" s="346" t="n">
        <v>0.980041454</v>
      </c>
      <c r="I46" s="345" t="n">
        <v>0.084862570148</v>
      </c>
      <c r="J46" s="345" t="n">
        <v>0.39931656</v>
      </c>
      <c r="K46" s="345" t="n">
        <v>0.0461</v>
      </c>
      <c r="L46" s="345" t="n">
        <v>0.129903147052728</v>
      </c>
      <c r="M46" s="345" t="n">
        <v>0.0783522141079328</v>
      </c>
      <c r="N46" s="346" t="n">
        <v>2.12589591481436</v>
      </c>
      <c r="O46" s="346" t="n">
        <v>3.07071190277385</v>
      </c>
      <c r="P46" s="346" t="n">
        <v>16.2354485659632</v>
      </c>
      <c r="Q46" s="346" t="n">
        <v>19.5006875458767</v>
      </c>
      <c r="R46" s="346" t="n">
        <v>5.40826419203174</v>
      </c>
      <c r="S46" s="346" t="n">
        <v>61.99894649</v>
      </c>
      <c r="T46" s="345" t="n">
        <v>0.0701559163599905</v>
      </c>
      <c r="U46" s="345" t="n">
        <v>0.0394360696996088</v>
      </c>
      <c r="V46" s="345" t="n">
        <v>0.0854485319565555</v>
      </c>
      <c r="W46" s="345" t="n">
        <v>0.773518823928698</v>
      </c>
      <c r="X46" s="345" t="n">
        <v>0.252540190351824</v>
      </c>
      <c r="Y46" s="345" t="n">
        <v>0.487120374672725</v>
      </c>
      <c r="Z46" s="345" t="n">
        <v>0.487120374672725</v>
      </c>
    </row>
    <row r="47" s="347" customFormat="true" ht="12.65" hidden="false" customHeight="false" outlineLevel="0" collapsed="false">
      <c r="A47" s="343" t="s">
        <v>490</v>
      </c>
      <c r="B47" s="344" t="n">
        <v>193</v>
      </c>
      <c r="C47" s="345" t="n">
        <v>0.1253055372</v>
      </c>
      <c r="D47" s="345" t="n">
        <v>0.240797064606392</v>
      </c>
      <c r="E47" s="345" t="n">
        <v>0.314751020639487</v>
      </c>
      <c r="F47" s="345" t="n">
        <v>0.313554006286527</v>
      </c>
      <c r="G47" s="346" t="n">
        <v>1.23396279231575</v>
      </c>
      <c r="H47" s="346" t="n">
        <v>1.316351916</v>
      </c>
      <c r="I47" s="345" t="n">
        <v>0.105713818792</v>
      </c>
      <c r="J47" s="345" t="n">
        <v>0.406628451</v>
      </c>
      <c r="K47" s="345" t="n">
        <v>0.0491</v>
      </c>
      <c r="L47" s="345" t="n">
        <v>0.133539342903682</v>
      </c>
      <c r="M47" s="345" t="n">
        <v>0.0965387112895308</v>
      </c>
      <c r="N47" s="346" t="n">
        <v>1.57545646624708</v>
      </c>
      <c r="O47" s="346" t="n">
        <v>5.64412586083096</v>
      </c>
      <c r="P47" s="346" t="n">
        <v>18.3438221914545</v>
      </c>
      <c r="Q47" s="346" t="n">
        <v>23.2002773241926</v>
      </c>
      <c r="R47" s="346" t="n">
        <v>7.13861657953808</v>
      </c>
      <c r="S47" s="346" t="n">
        <v>43.91017891</v>
      </c>
      <c r="T47" s="345" t="n">
        <v>-0.0273754447928504</v>
      </c>
      <c r="U47" s="345" t="n">
        <v>0.032072163965335</v>
      </c>
      <c r="V47" s="345" t="n">
        <v>0.0138269224013195</v>
      </c>
      <c r="W47" s="345" t="n">
        <v>0.143772690075739</v>
      </c>
      <c r="X47" s="345" t="n">
        <v>0.209734281426073</v>
      </c>
      <c r="Y47" s="345" t="n">
        <v>0.280526863114179</v>
      </c>
      <c r="Z47" s="345" t="n">
        <v>0.280526863114179</v>
      </c>
    </row>
    <row r="48" s="347" customFormat="true" ht="12.65" hidden="false" customHeight="false" outlineLevel="0" collapsed="false">
      <c r="A48" s="343" t="s">
        <v>491</v>
      </c>
      <c r="B48" s="344" t="n">
        <v>220</v>
      </c>
      <c r="C48" s="345" t="n">
        <v>0.0892204908</v>
      </c>
      <c r="D48" s="345" t="n">
        <v>0.079220747150233</v>
      </c>
      <c r="E48" s="345" t="n">
        <v>0.0996339557641006</v>
      </c>
      <c r="F48" s="345" t="n">
        <v>0.247135591698227</v>
      </c>
      <c r="G48" s="346" t="n">
        <v>0.716514231258314</v>
      </c>
      <c r="H48" s="346" t="n">
        <v>0.782227912</v>
      </c>
      <c r="I48" s="345" t="n">
        <v>0.072598130544</v>
      </c>
      <c r="J48" s="345" t="n">
        <v>0.27384119</v>
      </c>
      <c r="K48" s="345" t="n">
        <v>0.0461</v>
      </c>
      <c r="L48" s="345" t="n">
        <v>0.292169965075888</v>
      </c>
      <c r="M48" s="345" t="n">
        <v>0.0615387492518266</v>
      </c>
      <c r="N48" s="346" t="n">
        <v>1.49277876685537</v>
      </c>
      <c r="O48" s="346" t="n">
        <v>0.971296327132373</v>
      </c>
      <c r="P48" s="346" t="n">
        <v>9.90656158599252</v>
      </c>
      <c r="Q48" s="346" t="n">
        <v>11.9649720067189</v>
      </c>
      <c r="R48" s="346" t="n">
        <v>1.25780816254272</v>
      </c>
      <c r="S48" s="346" t="n">
        <v>24.69944165</v>
      </c>
      <c r="T48" s="345" t="n">
        <v>-0.0465158491620636</v>
      </c>
      <c r="U48" s="345" t="n">
        <v>0.00835580931762469</v>
      </c>
      <c r="V48" s="345" t="n">
        <v>0.00622445092608666</v>
      </c>
      <c r="W48" s="345" t="n">
        <v>0.23105808934851</v>
      </c>
      <c r="X48" s="345" t="n">
        <v>0.0774597375969771</v>
      </c>
      <c r="Y48" s="345" t="n">
        <v>0.505742216256488</v>
      </c>
      <c r="Z48" s="345" t="n">
        <v>0.505742216256488</v>
      </c>
    </row>
    <row r="49" s="347" customFormat="true" ht="12.65" hidden="false" customHeight="false" outlineLevel="0" collapsed="false">
      <c r="A49" s="343" t="s">
        <v>492</v>
      </c>
      <c r="B49" s="344" t="n">
        <v>128</v>
      </c>
      <c r="C49" s="345" t="n">
        <v>0.06911369565</v>
      </c>
      <c r="D49" s="345" t="n">
        <v>0.0828644714022838</v>
      </c>
      <c r="E49" s="345" t="n">
        <v>0.109678352389128</v>
      </c>
      <c r="F49" s="345" t="n">
        <v>0.240234938766305</v>
      </c>
      <c r="G49" s="346" t="n">
        <v>0.996012350040895</v>
      </c>
      <c r="H49" s="346" t="n">
        <v>0.996172986</v>
      </c>
      <c r="I49" s="345" t="n">
        <v>0.085862725132</v>
      </c>
      <c r="J49" s="345" t="n">
        <v>0.27745576</v>
      </c>
      <c r="K49" s="345" t="n">
        <v>0.0461</v>
      </c>
      <c r="L49" s="345" t="n">
        <v>0.410918984202397</v>
      </c>
      <c r="M49" s="345" t="n">
        <v>0.0648577156698422</v>
      </c>
      <c r="N49" s="346" t="n">
        <v>1.57647038570354</v>
      </c>
      <c r="O49" s="346" t="n">
        <v>0.951932795721204</v>
      </c>
      <c r="P49" s="346" t="n">
        <v>9.42627607687481</v>
      </c>
      <c r="Q49" s="346" t="n">
        <v>10.4886669638152</v>
      </c>
      <c r="R49" s="346" t="n">
        <v>1.25944452737388</v>
      </c>
      <c r="S49" s="346" t="n">
        <v>53.33906877</v>
      </c>
      <c r="T49" s="345" t="n">
        <v>-0.965287796441697</v>
      </c>
      <c r="U49" s="345" t="n">
        <v>0.00641331846541002</v>
      </c>
      <c r="V49" s="345" t="n">
        <v>0.00452479808132141</v>
      </c>
      <c r="W49" s="345" t="n">
        <v>0.128653805201617</v>
      </c>
      <c r="X49" s="345" t="n">
        <v>0.0781752886519238</v>
      </c>
      <c r="Y49" s="345" t="n">
        <v>0.410851603250988</v>
      </c>
      <c r="Z49" s="345" t="n">
        <v>0.410851603250988</v>
      </c>
    </row>
    <row r="50" s="347" customFormat="true" ht="12.65" hidden="false" customHeight="false" outlineLevel="0" collapsed="false">
      <c r="A50" s="343" t="s">
        <v>493</v>
      </c>
      <c r="B50" s="344" t="n">
        <v>225</v>
      </c>
      <c r="C50" s="345" t="n">
        <v>0.06975105882</v>
      </c>
      <c r="D50" s="345" t="n">
        <v>0.0819851993486694</v>
      </c>
      <c r="E50" s="345" t="n">
        <v>0.0923945951362261</v>
      </c>
      <c r="F50" s="345" t="n">
        <v>0.232276370998804</v>
      </c>
      <c r="G50" s="346" t="n">
        <v>0.63943550187756</v>
      </c>
      <c r="H50" s="346" t="n">
        <v>0.696061388</v>
      </c>
      <c r="I50" s="345" t="n">
        <v>0.067255806056</v>
      </c>
      <c r="J50" s="345" t="n">
        <v>0.306472967</v>
      </c>
      <c r="K50" s="345" t="n">
        <v>0.0461</v>
      </c>
      <c r="L50" s="345" t="n">
        <v>0.209871450793522</v>
      </c>
      <c r="M50" s="345" t="n">
        <v>0.0604328356492874</v>
      </c>
      <c r="N50" s="346" t="n">
        <v>1.35809858358544</v>
      </c>
      <c r="O50" s="346" t="n">
        <v>1.12797299695093</v>
      </c>
      <c r="P50" s="346" t="n">
        <v>11.1096530482866</v>
      </c>
      <c r="Q50" s="346" t="n">
        <v>13.263332585089</v>
      </c>
      <c r="R50" s="346" t="n">
        <v>1.38907504778563</v>
      </c>
      <c r="S50" s="346" t="n">
        <v>27.50766842</v>
      </c>
      <c r="T50" s="345" t="n">
        <v>-0.361983922160625</v>
      </c>
      <c r="U50" s="345" t="n">
        <v>0.00585119623994779</v>
      </c>
      <c r="V50" s="345" t="n">
        <v>0.00538000392943791</v>
      </c>
      <c r="W50" s="345" t="n">
        <v>0.295323312299272</v>
      </c>
      <c r="X50" s="345" t="n">
        <v>0.0833383695073235</v>
      </c>
      <c r="Y50" s="345" t="n">
        <v>0.403584020452465</v>
      </c>
      <c r="Z50" s="345" t="n">
        <v>0.403584020452465</v>
      </c>
    </row>
    <row r="51" s="347" customFormat="true" ht="12.65" hidden="false" customHeight="false" outlineLevel="0" collapsed="false">
      <c r="A51" s="343" t="s">
        <v>494</v>
      </c>
      <c r="B51" s="344" t="n">
        <v>1065</v>
      </c>
      <c r="C51" s="345" t="n">
        <v>0.12686074</v>
      </c>
      <c r="D51" s="345" t="n">
        <v>0.192679363140389</v>
      </c>
      <c r="E51" s="345" t="n">
        <v>0.0704692848080172</v>
      </c>
      <c r="F51" s="345" t="n">
        <v>0.206283354675527</v>
      </c>
      <c r="G51" s="346" t="n">
        <v>0.656824597647316</v>
      </c>
      <c r="H51" s="346" t="n">
        <v>0.882462941</v>
      </c>
      <c r="I51" s="345" t="n">
        <v>0.078812702342</v>
      </c>
      <c r="J51" s="345" t="n">
        <v>0.383670171</v>
      </c>
      <c r="K51" s="345" t="n">
        <v>0.0461</v>
      </c>
      <c r="L51" s="345" t="n">
        <v>0.417462593657979</v>
      </c>
      <c r="M51" s="345" t="n">
        <v>0.0604163229794393</v>
      </c>
      <c r="N51" s="346" t="n">
        <v>0.397714460368136</v>
      </c>
      <c r="O51" s="346" t="n">
        <v>5.01368030989798</v>
      </c>
      <c r="P51" s="346" t="n">
        <v>21.3545030657455</v>
      </c>
      <c r="Q51" s="346" t="n">
        <v>23.8581913380916</v>
      </c>
      <c r="R51" s="346" t="n">
        <v>1.60627337023092</v>
      </c>
      <c r="S51" s="346" t="n">
        <v>158.4211404</v>
      </c>
      <c r="T51" s="345" t="s">
        <v>453</v>
      </c>
      <c r="U51" s="345" t="n">
        <v>0.0218983411719872</v>
      </c>
      <c r="V51" s="345" t="n">
        <v>0.0684333386527627</v>
      </c>
      <c r="W51" s="345" t="n">
        <v>0.527304964090905</v>
      </c>
      <c r="X51" s="345" t="n">
        <v>0.122359520340843</v>
      </c>
      <c r="Y51" s="345" t="n">
        <v>0.377341177445772</v>
      </c>
      <c r="Z51" s="345" t="n">
        <v>0.377341177445772</v>
      </c>
    </row>
    <row r="52" s="347" customFormat="true" ht="12.65" hidden="false" customHeight="false" outlineLevel="0" collapsed="false">
      <c r="A52" s="343" t="s">
        <v>495</v>
      </c>
      <c r="B52" s="344" t="n">
        <v>1309</v>
      </c>
      <c r="C52" s="345" t="n">
        <v>0.03835241026</v>
      </c>
      <c r="D52" s="345" t="n">
        <v>0.0994515925922722</v>
      </c>
      <c r="E52" s="345" t="n">
        <v>0.130323433091051</v>
      </c>
      <c r="F52" s="345" t="n">
        <v>0.256109204495603</v>
      </c>
      <c r="G52" s="346" t="n">
        <v>1.12665320251321</v>
      </c>
      <c r="H52" s="346" t="n">
        <v>1.17000631</v>
      </c>
      <c r="I52" s="345" t="n">
        <v>0.09664039122</v>
      </c>
      <c r="J52" s="345" t="n">
        <v>0.354393534</v>
      </c>
      <c r="K52" s="345" t="n">
        <v>0.0461</v>
      </c>
      <c r="L52" s="345" t="n">
        <v>0.140324904725619</v>
      </c>
      <c r="M52" s="345" t="n">
        <v>0.0879550063292943</v>
      </c>
      <c r="N52" s="346" t="n">
        <v>1.60363189402044</v>
      </c>
      <c r="O52" s="346" t="n">
        <v>2.01539236471131</v>
      </c>
      <c r="P52" s="346" t="n">
        <v>14.2346702703598</v>
      </c>
      <c r="Q52" s="346" t="n">
        <v>20.0651070721481</v>
      </c>
      <c r="R52" s="346" t="n">
        <v>3.01334806365444</v>
      </c>
      <c r="S52" s="346" t="n">
        <v>43.76052846</v>
      </c>
      <c r="T52" s="345" t="n">
        <v>0.24753404945952</v>
      </c>
      <c r="U52" s="345" t="n">
        <v>0.0365878721663218</v>
      </c>
      <c r="V52" s="345" t="n">
        <v>0.0453694653449425</v>
      </c>
      <c r="W52" s="345" t="n">
        <v>0.842452953786031</v>
      </c>
      <c r="X52" s="345" t="n">
        <v>0.122157788291479</v>
      </c>
      <c r="Y52" s="345" t="n">
        <v>0.389355725436866</v>
      </c>
      <c r="Z52" s="345" t="n">
        <v>0.389355725436866</v>
      </c>
    </row>
    <row r="53" s="347" customFormat="true" ht="12.65" hidden="false" customHeight="false" outlineLevel="0" collapsed="false">
      <c r="A53" s="343" t="s">
        <v>496</v>
      </c>
      <c r="B53" s="344" t="n">
        <v>1594</v>
      </c>
      <c r="C53" s="345" t="n">
        <v>0.0250229375</v>
      </c>
      <c r="D53" s="345" t="n">
        <v>0.124645848807789</v>
      </c>
      <c r="E53" s="345" t="n">
        <v>0.118560691059755</v>
      </c>
      <c r="F53" s="345" t="n">
        <v>0.326233205284941</v>
      </c>
      <c r="G53" s="346" t="n">
        <v>1.33384293276949</v>
      </c>
      <c r="H53" s="346" t="n">
        <v>1.551812996</v>
      </c>
      <c r="I53" s="345" t="n">
        <v>0.120312405752</v>
      </c>
      <c r="J53" s="345" t="n">
        <v>0.732494556</v>
      </c>
      <c r="K53" s="345" t="n">
        <v>0.0566</v>
      </c>
      <c r="L53" s="345" t="n">
        <v>0.255973211608195</v>
      </c>
      <c r="M53" s="345" t="n">
        <v>0.100435321598095</v>
      </c>
      <c r="N53" s="346" t="n">
        <v>0.996543852050364</v>
      </c>
      <c r="O53" s="346" t="n">
        <v>1.82001440166464</v>
      </c>
      <c r="P53" s="346" t="n">
        <v>8.6170265624866</v>
      </c>
      <c r="Q53" s="346" t="n">
        <v>14.089197969238</v>
      </c>
      <c r="R53" s="346" t="n">
        <v>1.89371442624883</v>
      </c>
      <c r="S53" s="346" t="n">
        <v>57.41613832</v>
      </c>
      <c r="T53" s="345" t="n">
        <v>0.0912528027192523</v>
      </c>
      <c r="U53" s="345" t="n">
        <v>0.0706042235992312</v>
      </c>
      <c r="V53" s="345" t="n">
        <v>0.0217645756906018</v>
      </c>
      <c r="W53" s="345" t="n">
        <v>0.476818732481527</v>
      </c>
      <c r="X53" s="345" t="n">
        <v>0.0993485857658018</v>
      </c>
      <c r="Y53" s="345" t="n">
        <v>0.441232512903391</v>
      </c>
      <c r="Z53" s="345" t="n">
        <v>0.441232512903391</v>
      </c>
    </row>
    <row r="54" s="347" customFormat="true" ht="12.65" hidden="false" customHeight="false" outlineLevel="0" collapsed="false">
      <c r="A54" s="343" t="s">
        <v>497</v>
      </c>
      <c r="B54" s="344" t="n">
        <v>157</v>
      </c>
      <c r="C54" s="345" t="n">
        <v>0.02570470085</v>
      </c>
      <c r="D54" s="345" t="n">
        <v>0.085545189449465</v>
      </c>
      <c r="E54" s="345" t="n">
        <v>0.138544697159077</v>
      </c>
      <c r="F54" s="345" t="n">
        <v>0.295969501095135</v>
      </c>
      <c r="G54" s="346" t="n">
        <v>0.853767027369861</v>
      </c>
      <c r="H54" s="346" t="n">
        <v>0.95412823</v>
      </c>
      <c r="I54" s="345" t="n">
        <v>0.08325595026</v>
      </c>
      <c r="J54" s="345" t="n">
        <v>0.381713836</v>
      </c>
      <c r="K54" s="345" t="n">
        <v>0.0461</v>
      </c>
      <c r="L54" s="345" t="n">
        <v>0.24152536747016</v>
      </c>
      <c r="M54" s="345" t="n">
        <v>0.0715394628415863</v>
      </c>
      <c r="N54" s="346" t="n">
        <v>1.97833914888528</v>
      </c>
      <c r="O54" s="346" t="n">
        <v>1.24626703398679</v>
      </c>
      <c r="P54" s="346" t="n">
        <v>9.1225350488144</v>
      </c>
      <c r="Q54" s="346" t="n">
        <v>14.4863417514773</v>
      </c>
      <c r="R54" s="346" t="n">
        <v>2.56572931460357</v>
      </c>
      <c r="S54" s="346" t="n">
        <v>49.87105646</v>
      </c>
      <c r="T54" s="345" t="n">
        <v>0.12308547333902</v>
      </c>
      <c r="U54" s="345" t="n">
        <v>0.0365147788874015</v>
      </c>
      <c r="V54" s="345" t="n">
        <v>0.0288631962015654</v>
      </c>
      <c r="W54" s="345" t="n">
        <v>0.468999603626007</v>
      </c>
      <c r="X54" s="345" t="n">
        <v>0.081089501666339</v>
      </c>
      <c r="Y54" s="345" t="n">
        <v>0.559029514044083</v>
      </c>
      <c r="Z54" s="345" t="n">
        <v>0.559029514044083</v>
      </c>
    </row>
    <row r="55" s="347" customFormat="true" ht="12.65" hidden="false" customHeight="false" outlineLevel="0" collapsed="false">
      <c r="A55" s="343" t="s">
        <v>498</v>
      </c>
      <c r="B55" s="344" t="n">
        <v>48</v>
      </c>
      <c r="C55" s="345" t="n">
        <v>-0.02829342105</v>
      </c>
      <c r="D55" s="345" t="n">
        <v>0.0567709042085676</v>
      </c>
      <c r="E55" s="345" t="n">
        <v>0.0462632274222119</v>
      </c>
      <c r="F55" s="345" t="n">
        <v>0.287084112852857</v>
      </c>
      <c r="G55" s="346" t="n">
        <v>1.22034178765044</v>
      </c>
      <c r="H55" s="346" t="n">
        <v>1.464006211</v>
      </c>
      <c r="I55" s="345" t="n">
        <v>0.114868385082</v>
      </c>
      <c r="J55" s="345" t="n">
        <v>0.278698676</v>
      </c>
      <c r="K55" s="345" t="n">
        <v>0.0461</v>
      </c>
      <c r="L55" s="345" t="n">
        <v>0.274177894649177</v>
      </c>
      <c r="M55" s="345" t="n">
        <v>0.0929004803294519</v>
      </c>
      <c r="N55" s="346" t="n">
        <v>1.04740584042487</v>
      </c>
      <c r="O55" s="346" t="n">
        <v>1.15653698372722</v>
      </c>
      <c r="P55" s="346" t="n">
        <v>7.16239052852866</v>
      </c>
      <c r="Q55" s="346" t="n">
        <v>20.3115581365168</v>
      </c>
      <c r="R55" s="346" t="n">
        <v>1.16898386975334</v>
      </c>
      <c r="S55" s="346" t="n">
        <v>42.68400548</v>
      </c>
      <c r="T55" s="345" t="n">
        <v>0.0255437002797969</v>
      </c>
      <c r="U55" s="345" t="n">
        <v>0.0928475152455954</v>
      </c>
      <c r="V55" s="345" t="n">
        <v>0.00916673760688733</v>
      </c>
      <c r="W55" s="345" t="n">
        <v>0.324398130323859</v>
      </c>
      <c r="X55" s="345" t="n">
        <v>0.0621698862053397</v>
      </c>
      <c r="Y55" s="345" t="n">
        <v>0.674524012923655</v>
      </c>
      <c r="Z55" s="345" t="n">
        <v>0.674524012923655</v>
      </c>
    </row>
    <row r="56" s="347" customFormat="true" ht="12.65" hidden="false" customHeight="false" outlineLevel="0" collapsed="false">
      <c r="A56" s="343" t="s">
        <v>499</v>
      </c>
      <c r="B56" s="344" t="n">
        <v>928</v>
      </c>
      <c r="C56" s="345" t="n">
        <v>-0.00111018561</v>
      </c>
      <c r="D56" s="345" t="n">
        <v>0.0809641453740432</v>
      </c>
      <c r="E56" s="345" t="n">
        <v>0.028733407277218</v>
      </c>
      <c r="F56" s="345" t="n">
        <v>0.181246799951683</v>
      </c>
      <c r="G56" s="346" t="n">
        <v>1.32698180955851</v>
      </c>
      <c r="H56" s="346" t="n">
        <v>1.66673184</v>
      </c>
      <c r="I56" s="345" t="n">
        <v>0.12743737408</v>
      </c>
      <c r="J56" s="345" t="n">
        <v>0.708286719</v>
      </c>
      <c r="K56" s="345" t="n">
        <v>0.0566</v>
      </c>
      <c r="L56" s="345" t="n">
        <v>0.30376279785448</v>
      </c>
      <c r="M56" s="345" t="n">
        <v>0.101684985552281</v>
      </c>
      <c r="N56" s="346" t="n">
        <v>0.367648120692891</v>
      </c>
      <c r="O56" s="346" t="n">
        <v>3.86966333436916</v>
      </c>
      <c r="P56" s="346" t="n">
        <v>8.47392469461758</v>
      </c>
      <c r="Q56" s="346" t="n">
        <v>46.4050168951952</v>
      </c>
      <c r="R56" s="346" t="n">
        <v>1.52486319017378</v>
      </c>
      <c r="S56" s="346" t="n">
        <v>84.75785969</v>
      </c>
      <c r="T56" s="345" t="n">
        <v>0.0110057099380004</v>
      </c>
      <c r="U56" s="345" t="n">
        <v>0.422984298866976</v>
      </c>
      <c r="V56" s="345" t="n">
        <v>0.156081317834721</v>
      </c>
      <c r="W56" s="345" t="n">
        <v>3.27984998316339</v>
      </c>
      <c r="X56" s="345" t="n">
        <v>-0.00678466671134353</v>
      </c>
      <c r="Y56" s="345" t="n">
        <v>0.00557046938</v>
      </c>
      <c r="Z56" s="345" t="n">
        <v>0.00557046938000005</v>
      </c>
    </row>
    <row r="57" s="347" customFormat="true" ht="12.65" hidden="false" customHeight="false" outlineLevel="0" collapsed="false">
      <c r="A57" s="343" t="s">
        <v>500</v>
      </c>
      <c r="B57" s="344" t="n">
        <v>143</v>
      </c>
      <c r="C57" s="345" t="n">
        <v>0.1020587255</v>
      </c>
      <c r="D57" s="345" t="n">
        <v>0.129142708928335</v>
      </c>
      <c r="E57" s="345" t="n">
        <v>0.0641453694881353</v>
      </c>
      <c r="F57" s="345" t="n">
        <v>0.243721019895582</v>
      </c>
      <c r="G57" s="346" t="n">
        <v>1.08051472661212</v>
      </c>
      <c r="H57" s="346" t="n">
        <v>1.681048168</v>
      </c>
      <c r="I57" s="345" t="n">
        <v>0.128324986416</v>
      </c>
      <c r="J57" s="345" t="n">
        <v>0.398624978</v>
      </c>
      <c r="K57" s="345" t="n">
        <v>0.0461</v>
      </c>
      <c r="L57" s="345" t="n">
        <v>0.444141034705609</v>
      </c>
      <c r="M57" s="345" t="n">
        <v>0.0867625275818507</v>
      </c>
      <c r="N57" s="346" t="n">
        <v>0.569852955477555</v>
      </c>
      <c r="O57" s="346" t="n">
        <v>2.96567195894202</v>
      </c>
      <c r="P57" s="346" t="n">
        <v>13.4480693506748</v>
      </c>
      <c r="Q57" s="346" t="n">
        <v>22.5340978592952</v>
      </c>
      <c r="R57" s="346" t="n">
        <v>1.56278694805687</v>
      </c>
      <c r="S57" s="346" t="n">
        <v>29.93418334</v>
      </c>
      <c r="T57" s="345" t="n">
        <v>0.022887865481055</v>
      </c>
      <c r="U57" s="345" t="n">
        <v>0.16416176605243</v>
      </c>
      <c r="V57" s="345" t="n">
        <v>0.0948525333357953</v>
      </c>
      <c r="W57" s="345" t="n">
        <v>1.05351733866844</v>
      </c>
      <c r="X57" s="345" t="n">
        <v>0.0697863323693671</v>
      </c>
      <c r="Y57" s="345" t="n">
        <v>1.12118552228466</v>
      </c>
      <c r="Z57" s="345" t="n">
        <v>1.12118552228466</v>
      </c>
    </row>
    <row r="58" s="347" customFormat="true" ht="12.65" hidden="false" customHeight="false" outlineLevel="0" collapsed="false">
      <c r="A58" s="343" t="s">
        <v>501</v>
      </c>
      <c r="B58" s="344" t="n">
        <v>524</v>
      </c>
      <c r="C58" s="345" t="n">
        <v>-0.03458433702</v>
      </c>
      <c r="D58" s="345" t="n">
        <v>0.0529324962112506</v>
      </c>
      <c r="E58" s="345" t="n">
        <v>0.0914551535493161</v>
      </c>
      <c r="F58" s="345" t="n">
        <v>0.261308447365414</v>
      </c>
      <c r="G58" s="346" t="n">
        <v>1.1721959609656</v>
      </c>
      <c r="H58" s="346" t="n">
        <v>1.418245619</v>
      </c>
      <c r="I58" s="345" t="n">
        <v>0.112031228378</v>
      </c>
      <c r="J58" s="345" t="n">
        <v>0.474180005</v>
      </c>
      <c r="K58" s="345" t="n">
        <v>0.0491</v>
      </c>
      <c r="L58" s="345" t="n">
        <v>0.280011672071367</v>
      </c>
      <c r="M58" s="345" t="n">
        <v>0.0910234763401604</v>
      </c>
      <c r="N58" s="346" t="n">
        <v>1.92767911497646</v>
      </c>
      <c r="O58" s="346" t="n">
        <v>0.949300381128723</v>
      </c>
      <c r="P58" s="346" t="n">
        <v>9.51673790586148</v>
      </c>
      <c r="Q58" s="346" t="n">
        <v>17.1585207013439</v>
      </c>
      <c r="R58" s="346" t="n">
        <v>1.73551926819143</v>
      </c>
      <c r="S58" s="346" t="n">
        <v>51.70649875</v>
      </c>
      <c r="T58" s="345" t="n">
        <v>0.0646124278580089</v>
      </c>
      <c r="U58" s="345" t="n">
        <v>0.0354467797673481</v>
      </c>
      <c r="V58" s="345" t="n">
        <v>0.0119311964647817</v>
      </c>
      <c r="W58" s="345" t="n">
        <v>0.643295395226524</v>
      </c>
      <c r="X58" s="345" t="n">
        <v>0.0700890247317128</v>
      </c>
      <c r="Y58" s="345" t="n">
        <v>0.745332291713315</v>
      </c>
      <c r="Z58" s="345" t="n">
        <v>0.745332291713315</v>
      </c>
    </row>
    <row r="59" s="347" customFormat="true" ht="12.65" hidden="false" customHeight="false" outlineLevel="0" collapsed="false">
      <c r="A59" s="343" t="s">
        <v>502</v>
      </c>
      <c r="B59" s="344" t="n">
        <v>390</v>
      </c>
      <c r="C59" s="345" t="n">
        <v>0.05759707483</v>
      </c>
      <c r="D59" s="345" t="n">
        <v>0.0905498759093579</v>
      </c>
      <c r="E59" s="345" t="n">
        <v>0.120430917453602</v>
      </c>
      <c r="F59" s="345" t="n">
        <v>0.252696828461761</v>
      </c>
      <c r="G59" s="346" t="n">
        <v>0.619838037286531</v>
      </c>
      <c r="H59" s="346" t="n">
        <v>0.78632057</v>
      </c>
      <c r="I59" s="345" t="n">
        <v>0.07285187534</v>
      </c>
      <c r="J59" s="345" t="n">
        <v>0.322641371</v>
      </c>
      <c r="K59" s="345" t="n">
        <v>0.0461</v>
      </c>
      <c r="L59" s="345" t="n">
        <v>0.304865819603084</v>
      </c>
      <c r="M59" s="345" t="n">
        <v>0.0612345653304755</v>
      </c>
      <c r="N59" s="346" t="n">
        <v>1.63797186043071</v>
      </c>
      <c r="O59" s="346" t="n">
        <v>1.52552532589941</v>
      </c>
      <c r="P59" s="346" t="n">
        <v>10.2476970710008</v>
      </c>
      <c r="Q59" s="346" t="n">
        <v>16.7548190985548</v>
      </c>
      <c r="R59" s="346" t="n">
        <v>2.74544831024312</v>
      </c>
      <c r="S59" s="346" t="n">
        <v>27.28227983</v>
      </c>
      <c r="T59" s="345" t="n">
        <v>0.131479463795848</v>
      </c>
      <c r="U59" s="345" t="n">
        <v>0.0577915988310161</v>
      </c>
      <c r="V59" s="345" t="n">
        <v>0.0650040365848426</v>
      </c>
      <c r="W59" s="345" t="n">
        <v>1.06972229060599</v>
      </c>
      <c r="X59" s="345" t="n">
        <v>0.145946792687838</v>
      </c>
      <c r="Y59" s="345" t="n">
        <v>0.416305415097154</v>
      </c>
      <c r="Z59" s="345" t="n">
        <v>0.416305415097154</v>
      </c>
    </row>
    <row r="60" s="347" customFormat="true" ht="12.65" hidden="false" customHeight="false" outlineLevel="0" collapsed="false">
      <c r="A60" s="343" t="s">
        <v>503</v>
      </c>
      <c r="B60" s="344" t="n">
        <v>295</v>
      </c>
      <c r="C60" s="345" t="n">
        <v>0.0332739749</v>
      </c>
      <c r="D60" s="345" t="n">
        <v>0.0885478911754805</v>
      </c>
      <c r="E60" s="345" t="n">
        <v>0.0774327146927871</v>
      </c>
      <c r="F60" s="345" t="n">
        <v>0.221240683152542</v>
      </c>
      <c r="G60" s="346" t="n">
        <v>0.804934351007082</v>
      </c>
      <c r="H60" s="346" t="n">
        <v>1.037892376</v>
      </c>
      <c r="I60" s="345" t="n">
        <v>0.088449327312</v>
      </c>
      <c r="J60" s="345" t="n">
        <v>0.360061065</v>
      </c>
      <c r="K60" s="345" t="n">
        <v>0.0461</v>
      </c>
      <c r="L60" s="345" t="n">
        <v>0.329102407537598</v>
      </c>
      <c r="M60" s="345" t="n">
        <v>0.0707752914868059</v>
      </c>
      <c r="N60" s="346" t="n">
        <v>1.03214837498813</v>
      </c>
      <c r="O60" s="346" t="n">
        <v>1.42481947134304</v>
      </c>
      <c r="P60" s="346" t="n">
        <v>9.25325786825064</v>
      </c>
      <c r="Q60" s="346" t="n">
        <v>15.8628091166349</v>
      </c>
      <c r="R60" s="346" t="n">
        <v>1.61432181248899</v>
      </c>
      <c r="S60" s="346" t="n">
        <v>297.1126241</v>
      </c>
      <c r="T60" s="345" t="n">
        <v>0.180394795303023</v>
      </c>
      <c r="U60" s="345" t="n">
        <v>0.0706199453428995</v>
      </c>
      <c r="V60" s="345" t="n">
        <v>0.0396346901989906</v>
      </c>
      <c r="W60" s="345" t="n">
        <v>0.6212444921432</v>
      </c>
      <c r="X60" s="345" t="n">
        <v>0.0931934856199912</v>
      </c>
      <c r="Y60" s="345" t="n">
        <v>0.419704833661943</v>
      </c>
      <c r="Z60" s="345" t="n">
        <v>0.419704833661943</v>
      </c>
    </row>
    <row r="61" s="347" customFormat="true" ht="12.65" hidden="false" customHeight="false" outlineLevel="0" collapsed="false">
      <c r="A61" s="343" t="s">
        <v>504</v>
      </c>
      <c r="B61" s="344" t="n">
        <v>563</v>
      </c>
      <c r="C61" s="345" t="n">
        <v>0.06127903153</v>
      </c>
      <c r="D61" s="345" t="n">
        <v>0.12101678415489</v>
      </c>
      <c r="E61" s="345" t="n">
        <v>0.0635443582735123</v>
      </c>
      <c r="F61" s="345" t="n">
        <v>0.202615048481883</v>
      </c>
      <c r="G61" s="346" t="n">
        <v>0.577135744190697</v>
      </c>
      <c r="H61" s="346" t="n">
        <v>0.928569302</v>
      </c>
      <c r="I61" s="345" t="n">
        <v>0.081671296724</v>
      </c>
      <c r="J61" s="345" t="n">
        <v>0.283703835</v>
      </c>
      <c r="K61" s="345" t="n">
        <v>0.0461</v>
      </c>
      <c r="L61" s="345" t="n">
        <v>0.473690037664145</v>
      </c>
      <c r="M61" s="345" t="n">
        <v>0.0594430474646911</v>
      </c>
      <c r="N61" s="346" t="n">
        <v>0.645270351203794</v>
      </c>
      <c r="O61" s="346" t="n">
        <v>2.14345330904575</v>
      </c>
      <c r="P61" s="346" t="n">
        <v>9.37341079661887</v>
      </c>
      <c r="Q61" s="346" t="n">
        <v>17.6502775595928</v>
      </c>
      <c r="R61" s="346" t="n">
        <v>1.3504946524212</v>
      </c>
      <c r="S61" s="346" t="n">
        <v>31.32070916</v>
      </c>
      <c r="T61" s="345" t="n">
        <v>0.0122254484477903</v>
      </c>
      <c r="U61" s="345" t="n">
        <v>0.155962599737522</v>
      </c>
      <c r="V61" s="345" t="n">
        <v>0.0874332250321315</v>
      </c>
      <c r="W61" s="345" t="n">
        <v>1.00714662477875</v>
      </c>
      <c r="X61" s="345" t="n">
        <v>0.105653445774763</v>
      </c>
      <c r="Y61" s="345" t="n">
        <v>0.545912214592869</v>
      </c>
      <c r="Z61" s="345" t="n">
        <v>0.545912214592869</v>
      </c>
    </row>
    <row r="62" s="347" customFormat="true" ht="12.65" hidden="false" customHeight="false" outlineLevel="0" collapsed="false">
      <c r="A62" s="343" t="s">
        <v>505</v>
      </c>
      <c r="B62" s="344" t="n">
        <v>961</v>
      </c>
      <c r="C62" s="345" t="n">
        <v>0.05786497835</v>
      </c>
      <c r="D62" s="345" t="n">
        <v>0.122438689510329</v>
      </c>
      <c r="E62" s="345" t="n">
        <v>0.0783033188665307</v>
      </c>
      <c r="F62" s="345" t="n">
        <v>0.275504478474213</v>
      </c>
      <c r="G62" s="346" t="n">
        <v>1.22355152568058</v>
      </c>
      <c r="H62" s="346" t="n">
        <v>1.332910134</v>
      </c>
      <c r="I62" s="345" t="n">
        <v>0.106740428308</v>
      </c>
      <c r="J62" s="345" t="n">
        <v>0.869648963</v>
      </c>
      <c r="K62" s="345" t="n">
        <v>0.0791</v>
      </c>
      <c r="L62" s="345" t="n">
        <v>0.183953749424992</v>
      </c>
      <c r="M62" s="345" t="n">
        <v>0.0980720202339957</v>
      </c>
      <c r="N62" s="346" t="n">
        <v>0.663203718358124</v>
      </c>
      <c r="O62" s="346" t="n">
        <v>2.70386706758968</v>
      </c>
      <c r="P62" s="346" t="n">
        <v>8.52155756115163</v>
      </c>
      <c r="Q62" s="346" t="n">
        <v>20.4712991302339</v>
      </c>
      <c r="R62" s="346" t="n">
        <v>1.70452411449191</v>
      </c>
      <c r="S62" s="346" t="n">
        <v>39.29704561</v>
      </c>
      <c r="T62" s="345" t="n">
        <v>0.13055827694098</v>
      </c>
      <c r="U62" s="345" t="n">
        <v>0.189642639079456</v>
      </c>
      <c r="V62" s="345" t="n">
        <v>0.0968719344124547</v>
      </c>
      <c r="W62" s="345" t="n">
        <v>1.2958906010568</v>
      </c>
      <c r="X62" s="345" t="n">
        <v>0.0429363730342291</v>
      </c>
      <c r="Y62" s="345" t="n">
        <v>0.714669981522087</v>
      </c>
      <c r="Z62" s="345" t="n">
        <v>0.714669981522087</v>
      </c>
    </row>
    <row r="63" s="347" customFormat="true" ht="12.65" hidden="false" customHeight="false" outlineLevel="0" collapsed="false">
      <c r="A63" s="343" t="s">
        <v>506</v>
      </c>
      <c r="B63" s="344" t="n">
        <v>371</v>
      </c>
      <c r="C63" s="345" t="n">
        <v>-0.00295736434</v>
      </c>
      <c r="D63" s="345" t="n">
        <v>0.0716710584390606</v>
      </c>
      <c r="E63" s="345" t="n">
        <v>0.100546008132895</v>
      </c>
      <c r="F63" s="345" t="n">
        <v>0.241212905508924</v>
      </c>
      <c r="G63" s="346" t="n">
        <v>0.896278826660799</v>
      </c>
      <c r="H63" s="346" t="n">
        <v>0.97585724</v>
      </c>
      <c r="I63" s="345" t="n">
        <v>0.08460314888</v>
      </c>
      <c r="J63" s="345" t="n">
        <v>0.394374863</v>
      </c>
      <c r="K63" s="345" t="n">
        <v>0.0461</v>
      </c>
      <c r="L63" s="345" t="n">
        <v>0.221256587127935</v>
      </c>
      <c r="M63" s="345" t="n">
        <v>0.0735718311345494</v>
      </c>
      <c r="N63" s="346" t="n">
        <v>1.64985843761606</v>
      </c>
      <c r="O63" s="346" t="n">
        <v>1.293248409594</v>
      </c>
      <c r="P63" s="346" t="n">
        <v>9.93875876074406</v>
      </c>
      <c r="Q63" s="346" t="n">
        <v>17.3457553713987</v>
      </c>
      <c r="R63" s="346" t="n">
        <v>1.70514462186562</v>
      </c>
      <c r="S63" s="346" t="n">
        <v>79.45068946</v>
      </c>
      <c r="T63" s="345" t="n">
        <v>0.110704950591254</v>
      </c>
      <c r="U63" s="345" t="n">
        <v>0.0301933885725689</v>
      </c>
      <c r="V63" s="345" t="n">
        <v>0.0200681480014649</v>
      </c>
      <c r="W63" s="345" t="n">
        <v>0.381037273695692</v>
      </c>
      <c r="X63" s="345" t="n">
        <v>0.00859355332685439</v>
      </c>
      <c r="Y63" s="345" t="n">
        <v>4.71404962993474</v>
      </c>
      <c r="Z63" s="345" t="n">
        <v>4.71404962993474</v>
      </c>
    </row>
    <row r="64" s="347" customFormat="true" ht="12.65" hidden="false" customHeight="false" outlineLevel="0" collapsed="false">
      <c r="A64" s="343" t="s">
        <v>507</v>
      </c>
      <c r="B64" s="344" t="n">
        <v>714</v>
      </c>
      <c r="C64" s="345" t="n">
        <v>0.1168769565</v>
      </c>
      <c r="D64" s="345" t="n">
        <v>0.317620946803964</v>
      </c>
      <c r="E64" s="345" t="n">
        <v>0.0369929920199898</v>
      </c>
      <c r="F64" s="345" t="n">
        <v>0.0306426160716592</v>
      </c>
      <c r="G64" s="346" t="n">
        <v>0.446295556878768</v>
      </c>
      <c r="H64" s="346" t="n">
        <v>0.675857778</v>
      </c>
      <c r="I64" s="345" t="n">
        <v>0.066003182236</v>
      </c>
      <c r="J64" s="345" t="n">
        <v>0.237168378</v>
      </c>
      <c r="K64" s="345" t="n">
        <v>0.0411</v>
      </c>
      <c r="L64" s="345" t="n">
        <v>0.421901472860394</v>
      </c>
      <c r="M64" s="345" t="n">
        <v>0.0512256138950581</v>
      </c>
      <c r="N64" s="346" t="n">
        <v>0.119716961632131</v>
      </c>
      <c r="O64" s="346" t="n">
        <v>12.1962348395535</v>
      </c>
      <c r="P64" s="346" t="n">
        <v>21.4148861014231</v>
      </c>
      <c r="Q64" s="346" t="n">
        <v>34.3175806112975</v>
      </c>
      <c r="R64" s="346" t="n">
        <v>1.58458821685566</v>
      </c>
      <c r="S64" s="346" t="n">
        <v>112.516243</v>
      </c>
      <c r="T64" s="345" t="n">
        <v>0.386942033212792</v>
      </c>
      <c r="U64" s="345" t="n">
        <v>0.0646305638909743</v>
      </c>
      <c r="V64" s="345" t="n">
        <v>0.0210252056074184</v>
      </c>
      <c r="W64" s="345" t="n">
        <v>0.112768630824991</v>
      </c>
      <c r="X64" s="345" t="n">
        <v>0.100920002823921</v>
      </c>
      <c r="Y64" s="345" t="n">
        <v>0.747825228427528</v>
      </c>
      <c r="Z64" s="345" t="n">
        <v>0.747825228427528</v>
      </c>
    </row>
    <row r="65" s="347" customFormat="true" ht="12.65" hidden="false" customHeight="false" outlineLevel="0" collapsed="false">
      <c r="A65" s="343" t="s">
        <v>508</v>
      </c>
      <c r="B65" s="344" t="n">
        <v>784</v>
      </c>
      <c r="C65" s="345" t="n">
        <v>0.1422046403</v>
      </c>
      <c r="D65" s="345" t="n">
        <v>0.180592023929902</v>
      </c>
      <c r="E65" s="345" t="n">
        <v>0.0795043144092488</v>
      </c>
      <c r="F65" s="345" t="n">
        <v>0.33681678113182</v>
      </c>
      <c r="G65" s="346" t="n">
        <v>0.762652823538069</v>
      </c>
      <c r="H65" s="346" t="n">
        <v>1.147271237</v>
      </c>
      <c r="I65" s="345" t="n">
        <v>0.095230816694</v>
      </c>
      <c r="J65" s="345" t="n">
        <v>0.325100929</v>
      </c>
      <c r="K65" s="345" t="n">
        <v>0.0461</v>
      </c>
      <c r="L65" s="345" t="n">
        <v>0.521764693836076</v>
      </c>
      <c r="M65" s="345" t="n">
        <v>0.0636717504711056</v>
      </c>
      <c r="N65" s="346" t="n">
        <v>0.543580990787564</v>
      </c>
      <c r="O65" s="346" t="n">
        <v>2.67687401932223</v>
      </c>
      <c r="P65" s="346" t="n">
        <v>13.196505600812</v>
      </c>
      <c r="Q65" s="346" t="n">
        <v>14.2147051212433</v>
      </c>
      <c r="R65" s="346" t="n">
        <v>1.16174432801345</v>
      </c>
      <c r="S65" s="346" t="n">
        <v>203.7720123</v>
      </c>
      <c r="T65" s="345" t="n">
        <v>1.56916310225721</v>
      </c>
      <c r="U65" s="345" t="n">
        <v>0.0283014129372795</v>
      </c>
      <c r="V65" s="345" t="n">
        <v>0.0785029195132279</v>
      </c>
      <c r="W65" s="345" t="n">
        <v>0.781503221909125</v>
      </c>
      <c r="X65" s="345" t="n">
        <v>0.118935749182483</v>
      </c>
      <c r="Y65" s="345" t="n">
        <v>0.5377364644935</v>
      </c>
      <c r="Z65" s="345" t="n">
        <v>0.5377364644935</v>
      </c>
    </row>
    <row r="66" s="347" customFormat="true" ht="12.65" hidden="false" customHeight="false" outlineLevel="0" collapsed="false">
      <c r="A66" s="343" t="s">
        <v>509</v>
      </c>
      <c r="B66" s="344" t="n">
        <v>415</v>
      </c>
      <c r="C66" s="345" t="n">
        <v>0.1357896667</v>
      </c>
      <c r="D66" s="345" t="n">
        <v>0.20966264455579</v>
      </c>
      <c r="E66" s="345" t="n">
        <v>0.0542904623518784</v>
      </c>
      <c r="F66" s="345" t="n">
        <v>0.201715718746325</v>
      </c>
      <c r="G66" s="346" t="n">
        <v>0.775600492976924</v>
      </c>
      <c r="H66" s="346" t="n">
        <v>1.091719893</v>
      </c>
      <c r="I66" s="345" t="n">
        <v>0.091786633366</v>
      </c>
      <c r="J66" s="345" t="n">
        <v>0.326585049</v>
      </c>
      <c r="K66" s="345" t="n">
        <v>0.0461</v>
      </c>
      <c r="L66" s="345" t="n">
        <v>0.426998116518996</v>
      </c>
      <c r="M66" s="345" t="n">
        <v>0.0674302067444773</v>
      </c>
      <c r="N66" s="346" t="n">
        <v>0.30408948498413</v>
      </c>
      <c r="O66" s="346" t="n">
        <v>3.49455663670879</v>
      </c>
      <c r="P66" s="346" t="n">
        <v>13.0823422174894</v>
      </c>
      <c r="Q66" s="346" t="n">
        <v>16.1823534321945</v>
      </c>
      <c r="R66" s="346" t="n">
        <v>0.876985059029505</v>
      </c>
      <c r="S66" s="346" t="n">
        <v>49.92906374</v>
      </c>
      <c r="T66" s="345" t="n">
        <v>0.71215750375105</v>
      </c>
      <c r="U66" s="345" t="n">
        <v>0.0825012428217418</v>
      </c>
      <c r="V66" s="345" t="n">
        <v>0.104906231126613</v>
      </c>
      <c r="W66" s="345" t="n">
        <v>0.47525644636855</v>
      </c>
      <c r="X66" s="345" t="n">
        <v>0.0901086581106066</v>
      </c>
      <c r="Y66" s="345" t="n">
        <v>0.302770044037646</v>
      </c>
      <c r="Z66" s="345" t="n">
        <v>0.302770044037646</v>
      </c>
    </row>
    <row r="67" s="347" customFormat="true" ht="12.65" hidden="false" customHeight="false" outlineLevel="0" collapsed="false">
      <c r="A67" s="343" t="s">
        <v>510</v>
      </c>
      <c r="B67" s="344" t="n">
        <v>628</v>
      </c>
      <c r="C67" s="345" t="n">
        <v>0.08784066998</v>
      </c>
      <c r="D67" s="345" t="n">
        <v>0.278564888409285</v>
      </c>
      <c r="E67" s="345" t="n">
        <v>0.0543420163362871</v>
      </c>
      <c r="F67" s="345" t="n">
        <v>0.199773600110068</v>
      </c>
      <c r="G67" s="346" t="n">
        <v>0.643106906757464</v>
      </c>
      <c r="H67" s="346" t="n">
        <v>0.900449123</v>
      </c>
      <c r="I67" s="345" t="n">
        <v>0.079927845626</v>
      </c>
      <c r="J67" s="345" t="n">
        <v>0.328324756</v>
      </c>
      <c r="K67" s="345" t="n">
        <v>0.0461</v>
      </c>
      <c r="L67" s="345" t="n">
        <v>0.384420541348026</v>
      </c>
      <c r="M67" s="345" t="n">
        <v>0.0625588507705174</v>
      </c>
      <c r="N67" s="346" t="n">
        <v>0.225929669775413</v>
      </c>
      <c r="O67" s="346" t="n">
        <v>6.39301560854824</v>
      </c>
      <c r="P67" s="346" t="n">
        <v>18.226062685405</v>
      </c>
      <c r="Q67" s="346" t="n">
        <v>21.5089631009709</v>
      </c>
      <c r="R67" s="346" t="n">
        <v>1.1715087785697</v>
      </c>
      <c r="S67" s="346" t="n">
        <v>56.33280663</v>
      </c>
      <c r="T67" s="345" t="n">
        <v>0.197281599431032</v>
      </c>
      <c r="U67" s="345" t="n">
        <v>0.0534701256658475</v>
      </c>
      <c r="V67" s="345" t="n">
        <v>0.0921652426053077</v>
      </c>
      <c r="W67" s="345" t="n">
        <v>0.508754105004007</v>
      </c>
      <c r="X67" s="345" t="n">
        <v>0.148838667128844</v>
      </c>
      <c r="Y67" s="345" t="n">
        <v>0.242127238622112</v>
      </c>
      <c r="Z67" s="345" t="n">
        <v>0.242127238622112</v>
      </c>
    </row>
    <row r="68" s="347" customFormat="true" ht="12.65" hidden="false" customHeight="false" outlineLevel="0" collapsed="false">
      <c r="A68" s="343" t="s">
        <v>511</v>
      </c>
      <c r="B68" s="344" t="n">
        <v>321</v>
      </c>
      <c r="C68" s="345" t="n">
        <v>0.02943923445</v>
      </c>
      <c r="D68" s="345" t="n">
        <v>0.107894859478798</v>
      </c>
      <c r="E68" s="345" t="n">
        <v>0.100805324861061</v>
      </c>
      <c r="F68" s="345" t="n">
        <v>0.304836533465125</v>
      </c>
      <c r="G68" s="346" t="n">
        <v>0.815331835883788</v>
      </c>
      <c r="H68" s="346" t="n">
        <v>0.877523173</v>
      </c>
      <c r="I68" s="345" t="n">
        <v>0.078506436726</v>
      </c>
      <c r="J68" s="345" t="n">
        <v>0.367556426</v>
      </c>
      <c r="K68" s="345" t="n">
        <v>0.0461</v>
      </c>
      <c r="L68" s="345" t="n">
        <v>0.19869376139536</v>
      </c>
      <c r="M68" s="345" t="n">
        <v>0.06981142551429</v>
      </c>
      <c r="N68" s="346" t="n">
        <v>1.11323252555444</v>
      </c>
      <c r="O68" s="346" t="n">
        <v>2.27778246838502</v>
      </c>
      <c r="P68" s="346" t="n">
        <v>12.9096624240299</v>
      </c>
      <c r="Q68" s="346" t="n">
        <v>20.7062452761201</v>
      </c>
      <c r="R68" s="346" t="n">
        <v>2.72419574074267</v>
      </c>
      <c r="S68" s="346" t="n">
        <v>40.13277435</v>
      </c>
      <c r="T68" s="345" t="n">
        <v>0.182706880761555</v>
      </c>
      <c r="U68" s="345" t="n">
        <v>0.0731539385777431</v>
      </c>
      <c r="V68" s="345" t="n">
        <v>0.0532068179471891</v>
      </c>
      <c r="W68" s="345" t="n">
        <v>0.761990645990817</v>
      </c>
      <c r="X68" s="345" t="n">
        <v>0.0855461918755156</v>
      </c>
      <c r="Y68" s="345" t="n">
        <v>0.560163441484226</v>
      </c>
      <c r="Z68" s="345" t="n">
        <v>0.560163441484226</v>
      </c>
    </row>
    <row r="69" s="347" customFormat="true" ht="12.65" hidden="false" customHeight="false" outlineLevel="0" collapsed="false">
      <c r="A69" s="343" t="s">
        <v>512</v>
      </c>
      <c r="B69" s="344" t="n">
        <v>38</v>
      </c>
      <c r="C69" s="345" t="n">
        <v>0.08595896552</v>
      </c>
      <c r="D69" s="345" t="n">
        <v>0.0542498741496184</v>
      </c>
      <c r="E69" s="345" t="n">
        <v>0.0653119873716519</v>
      </c>
      <c r="F69" s="345" t="n">
        <v>0.186659282915224</v>
      </c>
      <c r="G69" s="346" t="n">
        <v>1.1587108099822</v>
      </c>
      <c r="H69" s="346" t="n">
        <v>1.183170037</v>
      </c>
      <c r="I69" s="345" t="n">
        <v>0.097456542294</v>
      </c>
      <c r="J69" s="345" t="n">
        <v>0.281887047</v>
      </c>
      <c r="K69" s="345" t="n">
        <v>0.0461</v>
      </c>
      <c r="L69" s="345" t="n">
        <v>0.184703948394386</v>
      </c>
      <c r="M69" s="345" t="n">
        <v>0.0858735781036473</v>
      </c>
      <c r="N69" s="346" t="n">
        <v>1.39501152632307</v>
      </c>
      <c r="O69" s="346" t="n">
        <v>0.792631077768404</v>
      </c>
      <c r="P69" s="346" t="n">
        <v>12.0564877790462</v>
      </c>
      <c r="Q69" s="346" t="n">
        <v>13.6325558601369</v>
      </c>
      <c r="R69" s="346" t="n">
        <v>1.02096287142361</v>
      </c>
      <c r="S69" s="346" t="n">
        <v>63.33179696</v>
      </c>
      <c r="T69" s="345" t="n">
        <v>-0.385590645629288</v>
      </c>
      <c r="U69" s="345" t="n">
        <v>0.001185961834227</v>
      </c>
      <c r="V69" s="345" t="n">
        <v>0.00148460845007458</v>
      </c>
      <c r="W69" s="345" t="n">
        <v>0.185105070535854</v>
      </c>
      <c r="X69" s="345" t="n">
        <v>0.0555237511357078</v>
      </c>
      <c r="Y69" s="345" t="n">
        <v>0.648224703006369</v>
      </c>
      <c r="Z69" s="345" t="n">
        <v>0.648224703006369</v>
      </c>
    </row>
    <row r="70" s="347" customFormat="true" ht="12.65" hidden="false" customHeight="false" outlineLevel="0" collapsed="false">
      <c r="A70" s="343" t="s">
        <v>513</v>
      </c>
      <c r="B70" s="344" t="n">
        <v>364</v>
      </c>
      <c r="C70" s="345" t="n">
        <v>0.07333770213</v>
      </c>
      <c r="D70" s="345" t="n">
        <v>0.110223313447431</v>
      </c>
      <c r="E70" s="345" t="n">
        <v>0.14493213531059</v>
      </c>
      <c r="F70" s="345" t="n">
        <v>0.285441930390531</v>
      </c>
      <c r="G70" s="346" t="n">
        <v>0.703560871530147</v>
      </c>
      <c r="H70" s="346" t="n">
        <v>0.8507846</v>
      </c>
      <c r="I70" s="345" t="n">
        <v>0.0768486452</v>
      </c>
      <c r="J70" s="345" t="n">
        <v>0.344749588</v>
      </c>
      <c r="K70" s="345" t="n">
        <v>0.0461</v>
      </c>
      <c r="L70" s="345" t="n">
        <v>0.256380291455433</v>
      </c>
      <c r="M70" s="345" t="n">
        <v>0.066054246509054</v>
      </c>
      <c r="N70" s="346" t="n">
        <v>1.64128284537899</v>
      </c>
      <c r="O70" s="346" t="n">
        <v>2.45313501084544</v>
      </c>
      <c r="P70" s="346" t="n">
        <v>12.6920707829552</v>
      </c>
      <c r="Q70" s="346" t="n">
        <v>22.1216307164152</v>
      </c>
      <c r="R70" s="346" t="n">
        <v>7.56325801623403</v>
      </c>
      <c r="S70" s="346" t="n">
        <v>55.74414817</v>
      </c>
      <c r="T70" s="345" t="n">
        <v>-0.0109471220432339</v>
      </c>
      <c r="U70" s="345" t="n">
        <v>0.0493948277441361</v>
      </c>
      <c r="V70" s="345" t="n">
        <v>0.0320413786544551</v>
      </c>
      <c r="W70" s="345" t="n">
        <v>0.429835610329038</v>
      </c>
      <c r="X70" s="345" t="n">
        <v>0.308682045259778</v>
      </c>
      <c r="Y70" s="345" t="n">
        <v>0.557006174773611</v>
      </c>
      <c r="Z70" s="345" t="n">
        <v>0.557006174773611</v>
      </c>
    </row>
    <row r="71" s="347" customFormat="true" ht="12.65" hidden="false" customHeight="false" outlineLevel="0" collapsed="false">
      <c r="A71" s="343" t="s">
        <v>514</v>
      </c>
      <c r="B71" s="344" t="n">
        <v>169</v>
      </c>
      <c r="C71" s="345" t="n">
        <v>0.05435537815</v>
      </c>
      <c r="D71" s="345" t="n">
        <v>0.0439734202490883</v>
      </c>
      <c r="E71" s="345" t="n">
        <v>0.102209333843068</v>
      </c>
      <c r="F71" s="345" t="n">
        <v>0.299833907776407</v>
      </c>
      <c r="G71" s="346" t="n">
        <v>0.677750423290878</v>
      </c>
      <c r="H71" s="346" t="n">
        <v>0.959653111</v>
      </c>
      <c r="I71" s="345" t="n">
        <v>0.083598492882</v>
      </c>
      <c r="J71" s="345" t="n">
        <v>0.33451371</v>
      </c>
      <c r="K71" s="345" t="n">
        <v>0.0461</v>
      </c>
      <c r="L71" s="345" t="n">
        <v>0.393994062564469</v>
      </c>
      <c r="M71" s="345" t="n">
        <v>0.0643507313275721</v>
      </c>
      <c r="N71" s="346" t="n">
        <v>2.90401866362535</v>
      </c>
      <c r="O71" s="346" t="n">
        <v>0.755206843592747</v>
      </c>
      <c r="P71" s="346" t="n">
        <v>10.3977354736015</v>
      </c>
      <c r="Q71" s="346" t="n">
        <v>16.4219161830997</v>
      </c>
      <c r="R71" s="346" t="n">
        <v>2.89447278775757</v>
      </c>
      <c r="S71" s="346" t="n">
        <v>36.4832786</v>
      </c>
      <c r="T71" s="345" t="n">
        <v>0.107521602361697</v>
      </c>
      <c r="U71" s="345" t="n">
        <v>0.0226524780577677</v>
      </c>
      <c r="V71" s="345" t="n">
        <v>0.0210203008788872</v>
      </c>
      <c r="W71" s="345" t="n">
        <v>1.03146505387368</v>
      </c>
      <c r="X71" s="345" t="n">
        <v>0.192601117791152</v>
      </c>
      <c r="Y71" s="345" t="n">
        <v>0.286256613613437</v>
      </c>
      <c r="Z71" s="345" t="n">
        <v>0.286256613613437</v>
      </c>
    </row>
    <row r="72" s="347" customFormat="true" ht="12.65" hidden="false" customHeight="false" outlineLevel="0" collapsed="false">
      <c r="A72" s="343" t="s">
        <v>515</v>
      </c>
      <c r="B72" s="344" t="n">
        <v>53</v>
      </c>
      <c r="C72" s="345" t="n">
        <v>0.04130974359</v>
      </c>
      <c r="D72" s="345" t="n">
        <v>0.0976456285596962</v>
      </c>
      <c r="E72" s="345" t="n">
        <v>0.197213117571302</v>
      </c>
      <c r="F72" s="345" t="n">
        <v>0.348410792040016</v>
      </c>
      <c r="G72" s="346" t="n">
        <v>0.660452218266912</v>
      </c>
      <c r="H72" s="346" t="n">
        <v>0.75116196</v>
      </c>
      <c r="I72" s="345" t="n">
        <v>0.07067204152</v>
      </c>
      <c r="J72" s="345" t="n">
        <v>0.309848511</v>
      </c>
      <c r="K72" s="345" t="n">
        <v>0.0461</v>
      </c>
      <c r="L72" s="345" t="n">
        <v>0.174447431714571</v>
      </c>
      <c r="M72" s="345" t="n">
        <v>0.0644047608327693</v>
      </c>
      <c r="N72" s="346" t="n">
        <v>2.60725989117699</v>
      </c>
      <c r="O72" s="346" t="n">
        <v>1.73448734651079</v>
      </c>
      <c r="P72" s="346" t="n">
        <v>12.6364245339675</v>
      </c>
      <c r="Q72" s="346" t="n">
        <v>17.7451095905131</v>
      </c>
      <c r="R72" s="346" t="n">
        <v>9.54779493680506</v>
      </c>
      <c r="S72" s="346" t="n">
        <v>28.0440534</v>
      </c>
      <c r="T72" s="345" t="n">
        <v>0.0639874834731775</v>
      </c>
      <c r="U72" s="345" t="n">
        <v>0.0204230024747512</v>
      </c>
      <c r="V72" s="345" t="n">
        <v>0.00440287094035326</v>
      </c>
      <c r="W72" s="345" t="n">
        <v>0.109204134611029</v>
      </c>
      <c r="X72" s="345" t="n">
        <v>0.361814491329458</v>
      </c>
      <c r="Y72" s="345" t="n">
        <v>0.428269595483592</v>
      </c>
      <c r="Z72" s="345" t="n">
        <v>0.428269595483592</v>
      </c>
    </row>
    <row r="73" s="347" customFormat="true" ht="12.65" hidden="false" customHeight="false" outlineLevel="0" collapsed="false">
      <c r="A73" s="343" t="s">
        <v>516</v>
      </c>
      <c r="B73" s="344" t="n">
        <v>976</v>
      </c>
      <c r="C73" s="345" t="n">
        <v>0.07751012766</v>
      </c>
      <c r="D73" s="345" t="n">
        <v>0.0418734695943858</v>
      </c>
      <c r="E73" s="345" t="n">
        <v>0.0626005368998772</v>
      </c>
      <c r="F73" s="345" t="n">
        <v>0.249142596774085</v>
      </c>
      <c r="G73" s="346" t="n">
        <v>0.635311150116416</v>
      </c>
      <c r="H73" s="346" t="n">
        <v>0.899610548</v>
      </c>
      <c r="I73" s="345" t="n">
        <v>0.079875853976</v>
      </c>
      <c r="J73" s="345" t="n">
        <v>0.374045595</v>
      </c>
      <c r="K73" s="345" t="n">
        <v>0.0461</v>
      </c>
      <c r="L73" s="345" t="n">
        <v>0.424282731459945</v>
      </c>
      <c r="M73" s="345" t="n">
        <v>0.0607278538190997</v>
      </c>
      <c r="N73" s="346" t="n">
        <v>1.82303799729953</v>
      </c>
      <c r="O73" s="346" t="n">
        <v>0.803017343997906</v>
      </c>
      <c r="P73" s="346" t="n">
        <v>12.1627799531486</v>
      </c>
      <c r="Q73" s="346" t="n">
        <v>18.5967991963998</v>
      </c>
      <c r="R73" s="346" t="n">
        <v>1.49695919762431</v>
      </c>
      <c r="S73" s="346" t="n">
        <v>66.26370468</v>
      </c>
      <c r="T73" s="345" t="n">
        <v>0.152090451737402</v>
      </c>
      <c r="U73" s="345" t="n">
        <v>0.0273198018144744</v>
      </c>
      <c r="V73" s="345" t="n">
        <v>0.0232056447081107</v>
      </c>
      <c r="W73" s="345" t="n">
        <v>1.10134739382981</v>
      </c>
      <c r="X73" s="345" t="n">
        <v>0.101909455012716</v>
      </c>
      <c r="Y73" s="345" t="n">
        <v>0.37648674522096</v>
      </c>
      <c r="Z73" s="345" t="n">
        <v>0.37648674522096</v>
      </c>
    </row>
    <row r="74" s="347" customFormat="true" ht="12.65" hidden="false" customHeight="false" outlineLevel="0" collapsed="false">
      <c r="A74" s="343" t="s">
        <v>34</v>
      </c>
      <c r="B74" s="344" t="n">
        <v>217</v>
      </c>
      <c r="C74" s="345" t="n">
        <v>0.03694784946</v>
      </c>
      <c r="D74" s="345" t="n">
        <v>0.0411818943269006</v>
      </c>
      <c r="E74" s="345" t="n">
        <v>0.0833519291038559</v>
      </c>
      <c r="F74" s="345" t="n">
        <v>0.312149329255959</v>
      </c>
      <c r="G74" s="346" t="n">
        <v>0.923355503995771</v>
      </c>
      <c r="H74" s="346" t="n">
        <v>1.177052937</v>
      </c>
      <c r="I74" s="345" t="n">
        <v>0.097077282094</v>
      </c>
      <c r="J74" s="345" t="n">
        <v>0.306129225</v>
      </c>
      <c r="K74" s="345" t="n">
        <v>0.0461</v>
      </c>
      <c r="L74" s="345" t="n">
        <v>0.31215391928606</v>
      </c>
      <c r="M74" s="345" t="n">
        <v>0.0776201938680476</v>
      </c>
      <c r="N74" s="346" t="n">
        <v>2.62304509580232</v>
      </c>
      <c r="O74" s="346" t="n">
        <v>0.818531004554023</v>
      </c>
      <c r="P74" s="346" t="n">
        <v>9.71818658197686</v>
      </c>
      <c r="Q74" s="346" t="n">
        <v>19.7011740497687</v>
      </c>
      <c r="R74" s="346" t="n">
        <v>2.54069415970394</v>
      </c>
      <c r="S74" s="346" t="n">
        <v>35.1571743</v>
      </c>
      <c r="T74" s="345" t="n">
        <v>0.00396291264214662</v>
      </c>
      <c r="U74" s="345" t="n">
        <v>0.0298348247110886</v>
      </c>
      <c r="V74" s="345" t="n">
        <v>0.00878521392952242</v>
      </c>
      <c r="W74" s="345" t="n">
        <v>0.286789645890951</v>
      </c>
      <c r="X74" s="345" t="n">
        <v>0.116406984668509</v>
      </c>
      <c r="Y74" s="345" t="n">
        <v>0.49678929989867</v>
      </c>
      <c r="Z74" s="345" t="n">
        <v>0.49678929989867</v>
      </c>
    </row>
    <row r="75" s="347" customFormat="true" ht="12.65" hidden="false" customHeight="false" outlineLevel="0" collapsed="false">
      <c r="A75" s="343" t="s">
        <v>517</v>
      </c>
      <c r="B75" s="344" t="n">
        <v>168</v>
      </c>
      <c r="C75" s="345" t="n">
        <v>0.1068180451</v>
      </c>
      <c r="D75" s="345" t="n">
        <v>0.034391036496399</v>
      </c>
      <c r="E75" s="345" t="n">
        <v>0.0888595507861805</v>
      </c>
      <c r="F75" s="345" t="n">
        <v>0.266392244517009</v>
      </c>
      <c r="G75" s="346" t="n">
        <v>0.681553770635821</v>
      </c>
      <c r="H75" s="346" t="n">
        <v>0.891991358</v>
      </c>
      <c r="I75" s="345" t="n">
        <v>0.079403464196</v>
      </c>
      <c r="J75" s="345" t="n">
        <v>0.289715264</v>
      </c>
      <c r="K75" s="345" t="n">
        <v>0.0461</v>
      </c>
      <c r="L75" s="345" t="n">
        <v>0.354789220279314</v>
      </c>
      <c r="M75" s="345" t="n">
        <v>0.0635593247348851</v>
      </c>
      <c r="N75" s="346" t="n">
        <v>3.38698980347669</v>
      </c>
      <c r="O75" s="346" t="n">
        <v>0.642020172808008</v>
      </c>
      <c r="P75" s="346" t="n">
        <v>8.39817653555679</v>
      </c>
      <c r="Q75" s="346" t="n">
        <v>18.4943362848195</v>
      </c>
      <c r="R75" s="346" t="n">
        <v>2.07229586250218</v>
      </c>
      <c r="S75" s="346" t="n">
        <v>36.17867031</v>
      </c>
      <c r="T75" s="345" t="n">
        <v>-0.0307199053149381</v>
      </c>
      <c r="U75" s="345" t="n">
        <v>0.0293480270701148</v>
      </c>
      <c r="V75" s="345" t="n">
        <v>0.0132610970157547</v>
      </c>
      <c r="W75" s="345" t="n">
        <v>0.374448280472301</v>
      </c>
      <c r="X75" s="345" t="n">
        <v>0.119763165198052</v>
      </c>
      <c r="Y75" s="345" t="n">
        <v>0.42654283170464</v>
      </c>
      <c r="Z75" s="345" t="n">
        <v>0.42654283170464</v>
      </c>
    </row>
    <row r="76" s="347" customFormat="true" ht="12.65" hidden="false" customHeight="false" outlineLevel="0" collapsed="false">
      <c r="A76" s="343" t="s">
        <v>518</v>
      </c>
      <c r="B76" s="344" t="n">
        <v>200</v>
      </c>
      <c r="C76" s="345" t="n">
        <v>0.1329456383</v>
      </c>
      <c r="D76" s="345" t="n">
        <v>0.0446853778181553</v>
      </c>
      <c r="E76" s="345" t="n">
        <v>0.127536924149957</v>
      </c>
      <c r="F76" s="345" t="n">
        <v>0.25427985682436</v>
      </c>
      <c r="G76" s="346" t="n">
        <v>1.18101963081705</v>
      </c>
      <c r="H76" s="346" t="n">
        <v>1.236099867</v>
      </c>
      <c r="I76" s="345" t="n">
        <v>0.100738191754</v>
      </c>
      <c r="J76" s="345" t="n">
        <v>0.499550877</v>
      </c>
      <c r="K76" s="345" t="n">
        <v>0.0491</v>
      </c>
      <c r="L76" s="345" t="n">
        <v>0.108743877816432</v>
      </c>
      <c r="M76" s="345" t="n">
        <v>0.0938077789393278</v>
      </c>
      <c r="N76" s="346" t="n">
        <v>3.2724633411976</v>
      </c>
      <c r="O76" s="346" t="n">
        <v>3.16026122126489</v>
      </c>
      <c r="P76" s="346" t="n">
        <v>29.7189552207733</v>
      </c>
      <c r="Q76" s="346" t="n">
        <v>74.5933426330693</v>
      </c>
      <c r="R76" s="346" t="n">
        <v>7.83707725869682</v>
      </c>
      <c r="S76" s="346" t="n">
        <v>65.24705635</v>
      </c>
      <c r="T76" s="345" t="n">
        <v>0.0094563955565773</v>
      </c>
      <c r="U76" s="345" t="n">
        <v>0.043386563284431</v>
      </c>
      <c r="V76" s="345" t="n">
        <v>0.0413875578459267</v>
      </c>
      <c r="W76" s="345" t="n">
        <v>1.55781183569536</v>
      </c>
      <c r="X76" s="345" t="n">
        <v>0.140983543474703</v>
      </c>
      <c r="Y76" s="345" t="n">
        <v>0.115065856363559</v>
      </c>
      <c r="Z76" s="345" t="n">
        <v>0.115065856363559</v>
      </c>
    </row>
    <row r="77" s="347" customFormat="true" ht="12.65" hidden="false" customHeight="false" outlineLevel="0" collapsed="false">
      <c r="A77" s="343" t="s">
        <v>519</v>
      </c>
      <c r="B77" s="344" t="n">
        <v>503</v>
      </c>
      <c r="C77" s="345" t="n">
        <v>0.03374327824</v>
      </c>
      <c r="D77" s="345" t="n">
        <v>0.0622290593213219</v>
      </c>
      <c r="E77" s="345" t="n">
        <v>0.119524832064455</v>
      </c>
      <c r="F77" s="345" t="n">
        <v>0.301225110545647</v>
      </c>
      <c r="G77" s="346" t="n">
        <v>0.81861504122222</v>
      </c>
      <c r="H77" s="346" t="n">
        <v>0.982198576</v>
      </c>
      <c r="I77" s="345" t="n">
        <v>0.084996311712</v>
      </c>
      <c r="J77" s="345" t="n">
        <v>0.393998923</v>
      </c>
      <c r="K77" s="345" t="n">
        <v>0.0461</v>
      </c>
      <c r="L77" s="345" t="n">
        <v>0.264735736625164</v>
      </c>
      <c r="M77" s="345" t="n">
        <v>0.0716931445889128</v>
      </c>
      <c r="N77" s="346" t="n">
        <v>2.44371081161363</v>
      </c>
      <c r="O77" s="346" t="n">
        <v>1.05123046780319</v>
      </c>
      <c r="P77" s="346" t="n">
        <v>9.01466361856816</v>
      </c>
      <c r="Q77" s="346" t="n">
        <v>16.7885923694252</v>
      </c>
      <c r="R77" s="346" t="n">
        <v>3.18753736508036</v>
      </c>
      <c r="S77" s="346" t="n">
        <v>41.90819517</v>
      </c>
      <c r="T77" s="345" t="n">
        <v>0.068094323982941</v>
      </c>
      <c r="U77" s="345" t="n">
        <v>0.0202224159580072</v>
      </c>
      <c r="V77" s="345" t="n">
        <v>0.00617198369680525</v>
      </c>
      <c r="W77" s="345" t="n">
        <v>0.124577570854409</v>
      </c>
      <c r="X77" s="345" t="n">
        <v>0.1460596491542</v>
      </c>
      <c r="Y77" s="345" t="n">
        <v>0.412052133918605</v>
      </c>
      <c r="Z77" s="345" t="n">
        <v>0.412052133918605</v>
      </c>
    </row>
    <row r="78" s="347" customFormat="true" ht="12.65" hidden="false" customHeight="false" outlineLevel="0" collapsed="false">
      <c r="A78" s="343" t="s">
        <v>520</v>
      </c>
      <c r="B78" s="344" t="n">
        <v>94</v>
      </c>
      <c r="C78" s="345" t="n">
        <v>-0.00933271429</v>
      </c>
      <c r="D78" s="345" t="n">
        <v>0.100054211441712</v>
      </c>
      <c r="E78" s="345" t="n">
        <v>0.11116731442991</v>
      </c>
      <c r="F78" s="345" t="n">
        <v>0.262107532157733</v>
      </c>
      <c r="G78" s="346" t="n">
        <v>0.822962045653891</v>
      </c>
      <c r="H78" s="346" t="n">
        <v>0.966575657</v>
      </c>
      <c r="I78" s="345" t="n">
        <v>0.084027690734</v>
      </c>
      <c r="J78" s="345" t="n">
        <v>0.292550197</v>
      </c>
      <c r="K78" s="345" t="n">
        <v>0.0461</v>
      </c>
      <c r="L78" s="345" t="n">
        <v>0.252924109202745</v>
      </c>
      <c r="M78" s="345" t="n">
        <v>0.0715630542477309</v>
      </c>
      <c r="N78" s="346" t="n">
        <v>1.34699199165192</v>
      </c>
      <c r="O78" s="346" t="n">
        <v>1.25373039355793</v>
      </c>
      <c r="P78" s="346" t="n">
        <v>7.76833726393748</v>
      </c>
      <c r="Q78" s="346" t="n">
        <v>12.4750383779011</v>
      </c>
      <c r="R78" s="346" t="n">
        <v>1.82799117333925</v>
      </c>
      <c r="S78" s="346" t="n">
        <v>29.83560923</v>
      </c>
      <c r="T78" s="345" t="n">
        <v>0.206137949550012</v>
      </c>
      <c r="U78" s="345" t="n">
        <v>0.0490966727420987</v>
      </c>
      <c r="V78" s="345" t="n">
        <v>0.0210493784215994</v>
      </c>
      <c r="W78" s="345" t="n">
        <v>0.482730186256916</v>
      </c>
      <c r="X78" s="345" t="n">
        <v>0.1207881722632</v>
      </c>
      <c r="Y78" s="345" t="n">
        <v>0.357836527514137</v>
      </c>
      <c r="Z78" s="345" t="n">
        <v>0.357836527514137</v>
      </c>
    </row>
    <row r="79" s="347" customFormat="true" ht="12.65" hidden="false" customHeight="false" outlineLevel="0" collapsed="false">
      <c r="A79" s="343" t="s">
        <v>521</v>
      </c>
      <c r="B79" s="344" t="n">
        <v>542</v>
      </c>
      <c r="C79" s="345" t="n">
        <v>0.06035064439</v>
      </c>
      <c r="D79" s="345" t="n">
        <v>0.207796617795478</v>
      </c>
      <c r="E79" s="345" t="n">
        <v>0.147135026076448</v>
      </c>
      <c r="F79" s="345" t="n">
        <v>0.164430228195497</v>
      </c>
      <c r="G79" s="346" t="n">
        <v>1.45738382272873</v>
      </c>
      <c r="H79" s="346" t="n">
        <v>1.493767061</v>
      </c>
      <c r="I79" s="345" t="n">
        <v>0.116713557782</v>
      </c>
      <c r="J79" s="345" t="n">
        <v>0.379360197</v>
      </c>
      <c r="K79" s="345" t="n">
        <v>0.0461</v>
      </c>
      <c r="L79" s="345" t="n">
        <v>0.135277501622876</v>
      </c>
      <c r="M79" s="345" t="n">
        <v>0.105625133181797</v>
      </c>
      <c r="N79" s="346" t="n">
        <v>0.787885308747212</v>
      </c>
      <c r="O79" s="346" t="n">
        <v>3.86628934226708</v>
      </c>
      <c r="P79" s="346" t="n">
        <v>11.1835952941391</v>
      </c>
      <c r="Q79" s="346" t="n">
        <v>18.4643443380879</v>
      </c>
      <c r="R79" s="346" t="n">
        <v>3.075168164235</v>
      </c>
      <c r="S79" s="346" t="n">
        <v>54.90621113</v>
      </c>
      <c r="T79" s="345" t="n">
        <v>0.197909648912746</v>
      </c>
      <c r="U79" s="345" t="n">
        <v>0.153164174803303</v>
      </c>
      <c r="V79" s="345" t="n">
        <v>0.148141440735432</v>
      </c>
      <c r="W79" s="345" t="n">
        <v>1.08910040393621</v>
      </c>
      <c r="X79" s="345" t="n">
        <v>0.174234833092958</v>
      </c>
      <c r="Y79" s="345" t="n">
        <v>0.384637922854495</v>
      </c>
      <c r="Z79" s="345" t="n">
        <v>0.384637922854495</v>
      </c>
    </row>
    <row r="80" s="347" customFormat="true" ht="12.65" hidden="false" customHeight="false" outlineLevel="0" collapsed="false">
      <c r="A80" s="343" t="s">
        <v>522</v>
      </c>
      <c r="B80" s="344" t="n">
        <v>284</v>
      </c>
      <c r="C80" s="345" t="n">
        <v>0.07921815534</v>
      </c>
      <c r="D80" s="345" t="n">
        <v>0.193102066616896</v>
      </c>
      <c r="E80" s="345" t="n">
        <v>0.202269502252067</v>
      </c>
      <c r="F80" s="345" t="n">
        <v>0.154964334452324</v>
      </c>
      <c r="G80" s="346" t="n">
        <v>1.28684650783119</v>
      </c>
      <c r="H80" s="346" t="n">
        <v>1.283290379</v>
      </c>
      <c r="I80" s="345" t="n">
        <v>0.103664003498</v>
      </c>
      <c r="J80" s="345" t="n">
        <v>0.438838163</v>
      </c>
      <c r="K80" s="345" t="n">
        <v>0.0491</v>
      </c>
      <c r="L80" s="345" t="n">
        <v>0.0949857873062972</v>
      </c>
      <c r="M80" s="345" t="n">
        <v>0.0973325041959541</v>
      </c>
      <c r="N80" s="346" t="n">
        <v>1.1889353133534</v>
      </c>
      <c r="O80" s="346" t="n">
        <v>3.19850288440965</v>
      </c>
      <c r="P80" s="346" t="n">
        <v>13.3198665061399</v>
      </c>
      <c r="Q80" s="346" t="n">
        <v>17.0953765154985</v>
      </c>
      <c r="R80" s="346" t="n">
        <v>3.92384653538684</v>
      </c>
      <c r="S80" s="346" t="n">
        <v>39.93052676</v>
      </c>
      <c r="T80" s="345" t="n">
        <v>0.259911351356749</v>
      </c>
      <c r="U80" s="345" t="n">
        <v>0.0551958940326579</v>
      </c>
      <c r="V80" s="345" t="n">
        <v>0.0772021575957027</v>
      </c>
      <c r="W80" s="345" t="n">
        <v>0.680606747984115</v>
      </c>
      <c r="X80" s="345" t="n">
        <v>0.235758810024624</v>
      </c>
      <c r="Y80" s="345" t="n">
        <v>0.214853021212937</v>
      </c>
      <c r="Z80" s="345" t="n">
        <v>0.214853021212937</v>
      </c>
    </row>
    <row r="81" s="347" customFormat="true" ht="12.65" hidden="false" customHeight="false" outlineLevel="0" collapsed="false">
      <c r="A81" s="343" t="s">
        <v>523</v>
      </c>
      <c r="B81" s="344" t="n">
        <v>342</v>
      </c>
      <c r="C81" s="345" t="n">
        <v>0.02042768939</v>
      </c>
      <c r="D81" s="345" t="n">
        <v>0.0692924328846796</v>
      </c>
      <c r="E81" s="345" t="n">
        <v>0.0451505056827051</v>
      </c>
      <c r="F81" s="345" t="n">
        <v>0.179802595558644</v>
      </c>
      <c r="G81" s="346" t="n">
        <v>0.969068473769024</v>
      </c>
      <c r="H81" s="346" t="n">
        <v>1.353015795</v>
      </c>
      <c r="I81" s="345" t="n">
        <v>0.10798697929</v>
      </c>
      <c r="J81" s="345" t="n">
        <v>0.35848375</v>
      </c>
      <c r="K81" s="345" t="n">
        <v>0.0461</v>
      </c>
      <c r="L81" s="345" t="n">
        <v>0.414838851053011</v>
      </c>
      <c r="M81" s="345" t="n">
        <v>0.0776035972106331</v>
      </c>
      <c r="N81" s="346" t="n">
        <v>0.749343035117404</v>
      </c>
      <c r="O81" s="346" t="n">
        <v>1.81866593629809</v>
      </c>
      <c r="P81" s="346" t="n">
        <v>10.8506831895009</v>
      </c>
      <c r="Q81" s="346" t="n">
        <v>25.6893863507688</v>
      </c>
      <c r="R81" s="346" t="n">
        <v>1.34336174939754</v>
      </c>
      <c r="S81" s="346" t="n">
        <v>36.15553683</v>
      </c>
      <c r="T81" s="345" t="n">
        <v>0.0525908008915007</v>
      </c>
      <c r="U81" s="345" t="n">
        <v>0.10387636654806</v>
      </c>
      <c r="V81" s="345" t="n">
        <v>0.0725566254348957</v>
      </c>
      <c r="W81" s="345" t="n">
        <v>1.35256465686721</v>
      </c>
      <c r="X81" s="345" t="n">
        <v>0.011863485782008</v>
      </c>
      <c r="Y81" s="345" t="n">
        <v>4.68404726239641</v>
      </c>
      <c r="Z81" s="345" t="n">
        <v>4.68404726239641</v>
      </c>
    </row>
    <row r="82" s="347" customFormat="true" ht="12.65" hidden="false" customHeight="false" outlineLevel="0" collapsed="false">
      <c r="A82" s="343" t="s">
        <v>524</v>
      </c>
      <c r="B82" s="344" t="n">
        <v>85</v>
      </c>
      <c r="C82" s="345" t="n">
        <v>0.01318476923</v>
      </c>
      <c r="D82" s="345" t="n">
        <v>0.0961276053230112</v>
      </c>
      <c r="E82" s="345" t="n">
        <v>0.146741785132137</v>
      </c>
      <c r="F82" s="345" t="n">
        <v>0.163587342248855</v>
      </c>
      <c r="G82" s="346" t="n">
        <v>1.07941141819896</v>
      </c>
      <c r="H82" s="346" t="n">
        <v>1.107486093</v>
      </c>
      <c r="I82" s="345" t="n">
        <v>0.092764137766</v>
      </c>
      <c r="J82" s="345" t="n">
        <v>0.379340221</v>
      </c>
      <c r="K82" s="345" t="n">
        <v>0.0461</v>
      </c>
      <c r="L82" s="345" t="n">
        <v>0.111679260858719</v>
      </c>
      <c r="M82" s="345" t="n">
        <v>0.0862846670018116</v>
      </c>
      <c r="N82" s="346" t="n">
        <v>1.86630192791962</v>
      </c>
      <c r="O82" s="346" t="n">
        <v>2.04220216723993</v>
      </c>
      <c r="P82" s="346" t="n">
        <v>14.6665172243312</v>
      </c>
      <c r="Q82" s="346" t="n">
        <v>21.1693058592693</v>
      </c>
      <c r="R82" s="346" t="n">
        <v>4.05294590721067</v>
      </c>
      <c r="S82" s="346" t="n">
        <v>36.44947283</v>
      </c>
      <c r="T82" s="345" t="n">
        <v>0.196305320787202</v>
      </c>
      <c r="U82" s="345" t="n">
        <v>0.0172850646825162</v>
      </c>
      <c r="V82" s="345" t="n">
        <v>-0.0037442164354181</v>
      </c>
      <c r="W82" s="345" t="n">
        <v>0.0339630378925584</v>
      </c>
      <c r="X82" s="345" t="n">
        <v>0.176986458152534</v>
      </c>
      <c r="Y82" s="345" t="n">
        <v>0.35851545522913</v>
      </c>
      <c r="Z82" s="345" t="n">
        <v>0.35851545522913</v>
      </c>
    </row>
    <row r="83" s="347" customFormat="true" ht="12.65" hidden="false" customHeight="false" outlineLevel="0" collapsed="false">
      <c r="A83" s="343" t="s">
        <v>525</v>
      </c>
      <c r="B83" s="344" t="n">
        <v>128</v>
      </c>
      <c r="C83" s="345" t="n">
        <v>0.1000020588</v>
      </c>
      <c r="D83" s="345" t="n">
        <v>0.204156932795626</v>
      </c>
      <c r="E83" s="345" t="n">
        <v>0.192640757374296</v>
      </c>
      <c r="F83" s="345" t="n">
        <v>0.204795878798859</v>
      </c>
      <c r="G83" s="346" t="n">
        <v>1.35543554055225</v>
      </c>
      <c r="H83" s="346" t="n">
        <v>1.266291958</v>
      </c>
      <c r="I83" s="345" t="n">
        <v>0.102610101396</v>
      </c>
      <c r="J83" s="345" t="n">
        <v>0.514927263</v>
      </c>
      <c r="K83" s="345" t="n">
        <v>0.0491</v>
      </c>
      <c r="L83" s="345" t="n">
        <v>0.0418227004825596</v>
      </c>
      <c r="M83" s="345" t="n">
        <v>0.099866388734097</v>
      </c>
      <c r="N83" s="346" t="n">
        <v>1.04870059526137</v>
      </c>
      <c r="O83" s="346" t="n">
        <v>5.28316829505915</v>
      </c>
      <c r="P83" s="346" t="n">
        <v>21.1063010928245</v>
      </c>
      <c r="Q83" s="346" t="n">
        <v>26.2478725555229</v>
      </c>
      <c r="R83" s="346" t="n">
        <v>4.32691816781289</v>
      </c>
      <c r="S83" s="346" t="n">
        <v>55.13649558</v>
      </c>
      <c r="T83" s="345" t="n">
        <v>0.133999860879793</v>
      </c>
      <c r="U83" s="345" t="n">
        <v>0.0283092128790418</v>
      </c>
      <c r="V83" s="345" t="n">
        <v>0.0245906687779135</v>
      </c>
      <c r="W83" s="345" t="n">
        <v>0.314430895057393</v>
      </c>
      <c r="X83" s="345" t="n">
        <v>0.13822256936721</v>
      </c>
      <c r="Y83" s="345" t="n">
        <v>0.234328653484179</v>
      </c>
      <c r="Z83" s="345" t="n">
        <v>0.234328653484179</v>
      </c>
    </row>
    <row r="84" s="347" customFormat="true" ht="12.65" hidden="false" customHeight="false" outlineLevel="0" collapsed="false">
      <c r="A84" s="343" t="s">
        <v>526</v>
      </c>
      <c r="B84" s="344" t="n">
        <v>880</v>
      </c>
      <c r="C84" s="345" t="n">
        <v>0.1385314917</v>
      </c>
      <c r="D84" s="345" t="n">
        <v>0.235280479894786</v>
      </c>
      <c r="E84" s="345" t="n">
        <v>0.17405113184461</v>
      </c>
      <c r="F84" s="345" t="n">
        <v>0.179766872627253</v>
      </c>
      <c r="G84" s="346" t="n">
        <v>1.24791311832158</v>
      </c>
      <c r="H84" s="346" t="n">
        <v>1.24456798</v>
      </c>
      <c r="I84" s="345" t="n">
        <v>0.10126321476</v>
      </c>
      <c r="J84" s="345" t="n">
        <v>0.572889751</v>
      </c>
      <c r="K84" s="345" t="n">
        <v>0.0491</v>
      </c>
      <c r="L84" s="345" t="n">
        <v>0.0373092985323065</v>
      </c>
      <c r="M84" s="345" t="n">
        <v>0.0988658481488946</v>
      </c>
      <c r="N84" s="346" t="n">
        <v>0.800671164502643</v>
      </c>
      <c r="O84" s="346" t="n">
        <v>7.81521301850613</v>
      </c>
      <c r="P84" s="346" t="n">
        <v>24.2438875089501</v>
      </c>
      <c r="Q84" s="346" t="n">
        <v>33.9455128579436</v>
      </c>
      <c r="R84" s="346" t="n">
        <v>5.58161667488869</v>
      </c>
      <c r="S84" s="346" t="n">
        <v>95.10775605</v>
      </c>
      <c r="T84" s="345" t="n">
        <v>0.0509717670297774</v>
      </c>
      <c r="U84" s="345" t="n">
        <v>0.080128640050435</v>
      </c>
      <c r="V84" s="345" t="n">
        <v>0.0608031610727836</v>
      </c>
      <c r="W84" s="345" t="n">
        <v>0.452576421771503</v>
      </c>
      <c r="X84" s="345" t="n">
        <v>0.185696555883414</v>
      </c>
      <c r="Y84" s="345" t="n">
        <v>0.0547002998037835</v>
      </c>
      <c r="Z84" s="345" t="n">
        <v>0.0547002998037836</v>
      </c>
    </row>
    <row r="85" s="347" customFormat="true" ht="12.65" hidden="false" customHeight="false" outlineLevel="0" collapsed="false">
      <c r="A85" s="343" t="s">
        <v>527</v>
      </c>
      <c r="B85" s="344" t="n">
        <v>1075</v>
      </c>
      <c r="C85" s="345" t="n">
        <v>0.1388290345</v>
      </c>
      <c r="D85" s="345" t="n">
        <v>0.192766610488926</v>
      </c>
      <c r="E85" s="345" t="n">
        <v>0.15448735537838</v>
      </c>
      <c r="F85" s="345" t="n">
        <v>0.168980754882603</v>
      </c>
      <c r="G85" s="346" t="n">
        <v>1.11141443830483</v>
      </c>
      <c r="H85" s="346" t="n">
        <v>1.158174271</v>
      </c>
      <c r="I85" s="345" t="n">
        <v>0.095906804802</v>
      </c>
      <c r="J85" s="345" t="n">
        <v>0.485876565</v>
      </c>
      <c r="K85" s="345" t="n">
        <v>0.0491</v>
      </c>
      <c r="L85" s="345" t="n">
        <v>0.106037114957203</v>
      </c>
      <c r="M85" s="345" t="n">
        <v>0.0896612044370056</v>
      </c>
      <c r="N85" s="346" t="n">
        <v>0.881255811962402</v>
      </c>
      <c r="O85" s="346" t="n">
        <v>6.36402612879864</v>
      </c>
      <c r="P85" s="346" t="n">
        <v>22.5375482077879</v>
      </c>
      <c r="Q85" s="346" t="n">
        <v>33.4982671600926</v>
      </c>
      <c r="R85" s="346" t="n">
        <v>5.89679490712845</v>
      </c>
      <c r="S85" s="346" t="n">
        <v>97.06852841</v>
      </c>
      <c r="T85" s="345" t="n">
        <v>0.139573367747498</v>
      </c>
      <c r="U85" s="345" t="n">
        <v>0.0514273544347848</v>
      </c>
      <c r="V85" s="345" t="n">
        <v>0.14178445874142</v>
      </c>
      <c r="W85" s="345" t="n">
        <v>1.04767789181548</v>
      </c>
      <c r="X85" s="345" t="n">
        <v>0.150694552934931</v>
      </c>
      <c r="Y85" s="345" t="n">
        <v>0.47517957927414</v>
      </c>
      <c r="Z85" s="345" t="n">
        <v>0.47517957927414</v>
      </c>
    </row>
    <row r="86" s="347" customFormat="true" ht="12.65" hidden="false" customHeight="false" outlineLevel="0" collapsed="false">
      <c r="A86" s="343" t="s">
        <v>528</v>
      </c>
      <c r="B86" s="344" t="n">
        <v>735</v>
      </c>
      <c r="C86" s="345" t="n">
        <v>-0.01326323689</v>
      </c>
      <c r="D86" s="345" t="n">
        <v>0.081142647516137</v>
      </c>
      <c r="E86" s="345" t="n">
        <v>0.088940439519547</v>
      </c>
      <c r="F86" s="345" t="n">
        <v>0.217709273151065</v>
      </c>
      <c r="G86" s="346" t="n">
        <v>1.00123416648352</v>
      </c>
      <c r="H86" s="346" t="n">
        <v>1.309974071</v>
      </c>
      <c r="I86" s="345" t="n">
        <v>0.105318392402</v>
      </c>
      <c r="J86" s="345" t="n">
        <v>0.430885622</v>
      </c>
      <c r="K86" s="345" t="n">
        <v>0.0491</v>
      </c>
      <c r="L86" s="345" t="n">
        <v>0.356056219037815</v>
      </c>
      <c r="M86" s="345" t="n">
        <v>0.0809955788075831</v>
      </c>
      <c r="N86" s="346" t="n">
        <v>1.27722977764882</v>
      </c>
      <c r="O86" s="346" t="n">
        <v>1.02315580747727</v>
      </c>
      <c r="P86" s="346" t="n">
        <v>7.42079500040346</v>
      </c>
      <c r="Q86" s="346" t="n">
        <v>12.2321503910203</v>
      </c>
      <c r="R86" s="346" t="n">
        <v>1.28667210992052</v>
      </c>
      <c r="S86" s="346" t="n">
        <v>39.94378849</v>
      </c>
      <c r="T86" s="345" t="n">
        <v>0.14267866886641</v>
      </c>
      <c r="U86" s="345" t="n">
        <v>0.04705788932353</v>
      </c>
      <c r="V86" s="345" t="n">
        <v>0.022093115353907</v>
      </c>
      <c r="W86" s="345" t="n">
        <v>0.717728184162529</v>
      </c>
      <c r="X86" s="345" t="n">
        <v>0.0962271362377476</v>
      </c>
      <c r="Y86" s="345" t="n">
        <v>0.348883013326072</v>
      </c>
      <c r="Z86" s="345" t="n">
        <v>0.348883013326073</v>
      </c>
    </row>
    <row r="87" s="347" customFormat="true" ht="12.65" hidden="false" customHeight="false" outlineLevel="0" collapsed="false">
      <c r="A87" s="343" t="s">
        <v>529</v>
      </c>
      <c r="B87" s="344" t="n">
        <v>106</v>
      </c>
      <c r="C87" s="345" t="n">
        <v>0.01630283951</v>
      </c>
      <c r="D87" s="345" t="n">
        <v>0.135169811215132</v>
      </c>
      <c r="E87" s="345" t="n">
        <v>0.0840757622241759</v>
      </c>
      <c r="F87" s="345" t="n">
        <v>0.329481591156958</v>
      </c>
      <c r="G87" s="346" t="n">
        <v>0.873390351107834</v>
      </c>
      <c r="H87" s="346" t="n">
        <v>1.195693217</v>
      </c>
      <c r="I87" s="345" t="n">
        <v>0.098232979454</v>
      </c>
      <c r="J87" s="345" t="n">
        <v>0.308768673</v>
      </c>
      <c r="K87" s="345" t="n">
        <v>0.0461</v>
      </c>
      <c r="L87" s="345" t="n">
        <v>0.367646994618959</v>
      </c>
      <c r="M87" s="345" t="n">
        <v>0.0748920241720936</v>
      </c>
      <c r="N87" s="346" t="n">
        <v>0.738959972641388</v>
      </c>
      <c r="O87" s="346" t="n">
        <v>2.26614335560622</v>
      </c>
      <c r="P87" s="346" t="n">
        <v>6.61874778248799</v>
      </c>
      <c r="Q87" s="346" t="n">
        <v>16.8443334644397</v>
      </c>
      <c r="R87" s="346" t="n">
        <v>1.73899318145298</v>
      </c>
      <c r="S87" s="346" t="n">
        <v>37.84901457</v>
      </c>
      <c r="T87" s="345" t="n">
        <v>-0.015144578125923</v>
      </c>
      <c r="U87" s="345" t="n">
        <v>0.121325142599333</v>
      </c>
      <c r="V87" s="345" t="n">
        <v>-0.0256020221876562</v>
      </c>
      <c r="W87" s="345" t="n">
        <v>-0.0993352024574096</v>
      </c>
      <c r="X87" s="345" t="n">
        <v>0.0906732412119586</v>
      </c>
      <c r="Y87" s="345" t="n">
        <v>0.618557804198728</v>
      </c>
      <c r="Z87" s="345" t="n">
        <v>0.618557804198728</v>
      </c>
    </row>
    <row r="88" s="347" customFormat="true" ht="12.65" hidden="false" customHeight="false" outlineLevel="0" collapsed="false">
      <c r="A88" s="343" t="s">
        <v>530</v>
      </c>
      <c r="B88" s="344" t="n">
        <v>505</v>
      </c>
      <c r="C88" s="345" t="n">
        <v>0.04985705202</v>
      </c>
      <c r="D88" s="345" t="n">
        <v>0.101937521050718</v>
      </c>
      <c r="E88" s="345" t="n">
        <v>0.0948954184555066</v>
      </c>
      <c r="F88" s="345" t="n">
        <v>0.206697021138811</v>
      </c>
      <c r="G88" s="346" t="n">
        <v>1.21908937082217</v>
      </c>
      <c r="H88" s="346" t="n">
        <v>1.266202791</v>
      </c>
      <c r="I88" s="345" t="n">
        <v>0.102604573042</v>
      </c>
      <c r="J88" s="345" t="n">
        <v>0.436468437</v>
      </c>
      <c r="K88" s="345" t="n">
        <v>0.0491</v>
      </c>
      <c r="L88" s="345" t="n">
        <v>0.151057383082967</v>
      </c>
      <c r="M88" s="345" t="n">
        <v>0.0926955254727453</v>
      </c>
      <c r="N88" s="346" t="n">
        <v>1.02914093341126</v>
      </c>
      <c r="O88" s="346" t="n">
        <v>2.36744787507575</v>
      </c>
      <c r="P88" s="346" t="n">
        <v>15.2519372730262</v>
      </c>
      <c r="Q88" s="346" t="n">
        <v>23.7952044063878</v>
      </c>
      <c r="R88" s="346" t="n">
        <v>2.87566587304859</v>
      </c>
      <c r="S88" s="346" t="n">
        <v>69.66263894</v>
      </c>
      <c r="T88" s="345" t="n">
        <v>0.189141274442702</v>
      </c>
      <c r="U88" s="345" t="n">
        <v>0.0352364416086415</v>
      </c>
      <c r="V88" s="345" t="n">
        <v>0.0415312146979492</v>
      </c>
      <c r="W88" s="345" t="n">
        <v>0.744182255912321</v>
      </c>
      <c r="X88" s="345" t="n">
        <v>0.0769967265504154</v>
      </c>
      <c r="Y88" s="345" t="n">
        <v>0.704122123700208</v>
      </c>
      <c r="Z88" s="345" t="n">
        <v>0.704122123700208</v>
      </c>
    </row>
    <row r="89" s="347" customFormat="true" ht="12.65" hidden="false" customHeight="false" outlineLevel="0" collapsed="false">
      <c r="A89" s="343" t="s">
        <v>531</v>
      </c>
      <c r="B89" s="344" t="n">
        <v>289</v>
      </c>
      <c r="C89" s="345" t="n">
        <v>0.08085865591</v>
      </c>
      <c r="D89" s="345" t="n">
        <v>0.152240249086886</v>
      </c>
      <c r="E89" s="345" t="n">
        <v>0.126897983299074</v>
      </c>
      <c r="F89" s="345" t="n">
        <v>0.291874155739931</v>
      </c>
      <c r="G89" s="346" t="n">
        <v>0.70311816207051</v>
      </c>
      <c r="H89" s="346" t="n">
        <v>0.997523746</v>
      </c>
      <c r="I89" s="345" t="n">
        <v>0.085946472252</v>
      </c>
      <c r="J89" s="345" t="n">
        <v>0.355319176</v>
      </c>
      <c r="K89" s="345" t="n">
        <v>0.0461</v>
      </c>
      <c r="L89" s="345" t="n">
        <v>0.395632537346735</v>
      </c>
      <c r="M89" s="345" t="n">
        <v>0.0656897293795991</v>
      </c>
      <c r="N89" s="346" t="n">
        <v>0.963881703226925</v>
      </c>
      <c r="O89" s="346" t="n">
        <v>2.14554529147427</v>
      </c>
      <c r="P89" s="346" t="n">
        <v>6.54778550137434</v>
      </c>
      <c r="Q89" s="346" t="n">
        <v>14.0818026872265</v>
      </c>
      <c r="R89" s="346" t="n">
        <v>1.95614323060729</v>
      </c>
      <c r="S89" s="346" t="n">
        <v>118.7973905</v>
      </c>
      <c r="T89" s="345" t="n">
        <v>-0.0276890311978215</v>
      </c>
      <c r="U89" s="345" t="n">
        <v>0.131638785345961</v>
      </c>
      <c r="V89" s="345" t="n">
        <v>-0.0153531728800876</v>
      </c>
      <c r="W89" s="345" t="n">
        <v>-0.0333167168873549</v>
      </c>
      <c r="X89" s="345" t="n">
        <v>0.125077982804774</v>
      </c>
      <c r="Y89" s="345" t="n">
        <v>0.788803605446146</v>
      </c>
      <c r="Z89" s="345" t="n">
        <v>0.788803605446146</v>
      </c>
    </row>
    <row r="90" s="347" customFormat="true" ht="12.65" hidden="false" customHeight="false" outlineLevel="0" collapsed="false">
      <c r="A90" s="343" t="s">
        <v>532</v>
      </c>
      <c r="B90" s="344" t="n">
        <v>62</v>
      </c>
      <c r="C90" s="345" t="n">
        <v>0.2261091667</v>
      </c>
      <c r="D90" s="345" t="n">
        <v>0.311913976366718</v>
      </c>
      <c r="E90" s="345" t="n">
        <v>0.410837500512853</v>
      </c>
      <c r="F90" s="345" t="n">
        <v>0.291243937954034</v>
      </c>
      <c r="G90" s="346" t="n">
        <v>0.627317495503461</v>
      </c>
      <c r="H90" s="346" t="n">
        <v>0.679943545</v>
      </c>
      <c r="I90" s="345" t="n">
        <v>0.06625649979</v>
      </c>
      <c r="J90" s="345" t="n">
        <v>0.279628288</v>
      </c>
      <c r="K90" s="345" t="n">
        <v>0.0461</v>
      </c>
      <c r="L90" s="345" t="n">
        <v>0.129100289600478</v>
      </c>
      <c r="M90" s="345" t="n">
        <v>0.0621884296285307</v>
      </c>
      <c r="N90" s="346" t="n">
        <v>1.54714307286296</v>
      </c>
      <c r="O90" s="346" t="n">
        <v>5.62473915177146</v>
      </c>
      <c r="P90" s="346" t="n">
        <v>15.7904364545512</v>
      </c>
      <c r="Q90" s="346" t="n">
        <v>17.9796021225353</v>
      </c>
      <c r="R90" s="346" t="n">
        <v>11.354578735581</v>
      </c>
      <c r="S90" s="346" t="n">
        <v>23.68251982</v>
      </c>
      <c r="T90" s="345" t="n">
        <v>0.210165831330699</v>
      </c>
      <c r="U90" s="345" t="n">
        <v>0.0372534490146309</v>
      </c>
      <c r="V90" s="345" t="n">
        <v>-0.0177688189934276</v>
      </c>
      <c r="W90" s="345" t="n">
        <v>-0.0951710141723481</v>
      </c>
      <c r="X90" s="345" t="n">
        <v>0.885823511316679</v>
      </c>
      <c r="Y90" s="345" t="n">
        <v>0.598754534030186</v>
      </c>
      <c r="Z90" s="345" t="n">
        <v>0.598754534030186</v>
      </c>
    </row>
    <row r="91" s="347" customFormat="true" ht="12.65" hidden="false" customHeight="false" outlineLevel="0" collapsed="false">
      <c r="A91" s="343" t="s">
        <v>533</v>
      </c>
      <c r="B91" s="344" t="n">
        <v>235</v>
      </c>
      <c r="C91" s="345" t="n">
        <v>0.1027642938</v>
      </c>
      <c r="D91" s="345" t="n">
        <v>0.0872231511710752</v>
      </c>
      <c r="E91" s="345" t="n">
        <v>0.125802700478153</v>
      </c>
      <c r="F91" s="345" t="n">
        <v>0.260917129083026</v>
      </c>
      <c r="G91" s="346" t="n">
        <v>1.00332264511948</v>
      </c>
      <c r="H91" s="346" t="n">
        <v>1.208361207</v>
      </c>
      <c r="I91" s="345" t="n">
        <v>0.099018394834</v>
      </c>
      <c r="J91" s="345" t="n">
        <v>0.321415873</v>
      </c>
      <c r="K91" s="345" t="n">
        <v>0.0461</v>
      </c>
      <c r="L91" s="345" t="n">
        <v>0.286378847949848</v>
      </c>
      <c r="M91" s="345" t="n">
        <v>0.0806120173035567</v>
      </c>
      <c r="N91" s="346" t="n">
        <v>1.78776851782408</v>
      </c>
      <c r="O91" s="346" t="n">
        <v>1.51539794523663</v>
      </c>
      <c r="P91" s="346" t="n">
        <v>10.6271434147185</v>
      </c>
      <c r="Q91" s="346" t="n">
        <v>17.0197359537178</v>
      </c>
      <c r="R91" s="346" t="n">
        <v>2.38357133756738</v>
      </c>
      <c r="S91" s="346" t="n">
        <v>80.25203118</v>
      </c>
      <c r="T91" s="345" t="n">
        <v>0.0321584008096825</v>
      </c>
      <c r="U91" s="345" t="n">
        <v>0.0484421032086284</v>
      </c>
      <c r="V91" s="345" t="n">
        <v>0.00939145206214656</v>
      </c>
      <c r="W91" s="345" t="n">
        <v>0.308417418408008</v>
      </c>
      <c r="X91" s="345" t="n">
        <v>0.157046634076228</v>
      </c>
      <c r="Y91" s="345" t="n">
        <v>0.466896442660173</v>
      </c>
      <c r="Z91" s="345" t="n">
        <v>0.466896442660173</v>
      </c>
    </row>
    <row r="92" s="347" customFormat="true" ht="12.65" hidden="false" customHeight="false" outlineLevel="0" collapsed="false">
      <c r="A92" s="343" t="s">
        <v>534</v>
      </c>
      <c r="B92" s="344" t="n">
        <v>51</v>
      </c>
      <c r="C92" s="345" t="n">
        <v>0.04887232558</v>
      </c>
      <c r="D92" s="345" t="n">
        <v>0.233310650382095</v>
      </c>
      <c r="E92" s="345" t="n">
        <v>0.0957282937238528</v>
      </c>
      <c r="F92" s="345" t="n">
        <v>0.303203699125397</v>
      </c>
      <c r="G92" s="346" t="n">
        <v>0.774485334535994</v>
      </c>
      <c r="H92" s="346" t="n">
        <v>0.974557096</v>
      </c>
      <c r="I92" s="345" t="n">
        <v>0.084522539952</v>
      </c>
      <c r="J92" s="345" t="n">
        <v>0.240251722</v>
      </c>
      <c r="K92" s="345" t="n">
        <v>0.0411</v>
      </c>
      <c r="L92" s="345" t="n">
        <v>0.27720930394542</v>
      </c>
      <c r="M92" s="345" t="n">
        <v>0.0696792374971757</v>
      </c>
      <c r="N92" s="346" t="n">
        <v>0.534543934248822</v>
      </c>
      <c r="O92" s="346" t="n">
        <v>3.713102948899</v>
      </c>
      <c r="P92" s="346" t="n">
        <v>10.8132303718689</v>
      </c>
      <c r="Q92" s="346" t="n">
        <v>15.893062322044</v>
      </c>
      <c r="R92" s="346" t="n">
        <v>2.61468162955652</v>
      </c>
      <c r="S92" s="346" t="n">
        <v>26.54444847</v>
      </c>
      <c r="T92" s="345" t="n">
        <v>0.117658760795908</v>
      </c>
      <c r="U92" s="345" t="n">
        <v>0.157304193910339</v>
      </c>
      <c r="V92" s="345" t="n">
        <v>0.11639202893723</v>
      </c>
      <c r="W92" s="345" t="n">
        <v>0.747584729968327</v>
      </c>
      <c r="X92" s="345" t="n">
        <v>0.139276475897556</v>
      </c>
      <c r="Y92" s="345" t="n">
        <v>0.29851938505191</v>
      </c>
      <c r="Z92" s="345" t="n">
        <v>0.29851938505191</v>
      </c>
    </row>
    <row r="93" s="347" customFormat="true" ht="12.65" hidden="false" customHeight="false" outlineLevel="0" collapsed="false">
      <c r="A93" s="343" t="s">
        <v>535</v>
      </c>
      <c r="B93" s="344" t="n">
        <v>199</v>
      </c>
      <c r="C93" s="345" t="n">
        <v>0.06039527397</v>
      </c>
      <c r="D93" s="345" t="n">
        <v>0.0676097921253755</v>
      </c>
      <c r="E93" s="345" t="n">
        <v>0.0768933075180387</v>
      </c>
      <c r="F93" s="345" t="n">
        <v>0.293788514692948</v>
      </c>
      <c r="G93" s="346" t="n">
        <v>0.621942285698874</v>
      </c>
      <c r="H93" s="346" t="n">
        <v>0.902339788</v>
      </c>
      <c r="I93" s="345" t="n">
        <v>0.080045066856</v>
      </c>
      <c r="J93" s="345" t="n">
        <v>0.317465242</v>
      </c>
      <c r="K93" s="345" t="n">
        <v>0.0461</v>
      </c>
      <c r="L93" s="345" t="n">
        <v>0.412890982002229</v>
      </c>
      <c r="M93" s="345" t="n">
        <v>0.0613413131149193</v>
      </c>
      <c r="N93" s="346" t="n">
        <v>1.45005675322941</v>
      </c>
      <c r="O93" s="346" t="n">
        <v>1.34539992697103</v>
      </c>
      <c r="P93" s="346" t="n">
        <v>10.0924104313634</v>
      </c>
      <c r="Q93" s="346" t="n">
        <v>19.8306598779778</v>
      </c>
      <c r="R93" s="346" t="n">
        <v>2.08756982472875</v>
      </c>
      <c r="S93" s="346" t="n">
        <v>34.27196883</v>
      </c>
      <c r="T93" s="345" t="n">
        <v>0.0792897765634751</v>
      </c>
      <c r="U93" s="345" t="n">
        <v>0.0861481567271051</v>
      </c>
      <c r="V93" s="345" t="n">
        <v>0.0575335149443624</v>
      </c>
      <c r="W93" s="345" t="n">
        <v>1.31185476312706</v>
      </c>
      <c r="X93" s="345" t="n">
        <v>0.0955859228554753</v>
      </c>
      <c r="Y93" s="345" t="n">
        <v>0.322413834796353</v>
      </c>
      <c r="Z93" s="345" t="n">
        <v>0.322413834796353</v>
      </c>
    </row>
    <row r="94" s="347" customFormat="true" ht="12.65" hidden="false" customHeight="false" outlineLevel="0" collapsed="false">
      <c r="A94" s="343" t="s">
        <v>536</v>
      </c>
      <c r="B94" s="344" t="n">
        <v>55</v>
      </c>
      <c r="C94" s="345" t="n">
        <v>0.01261215686</v>
      </c>
      <c r="D94" s="345" t="n">
        <v>0.0973713367417663</v>
      </c>
      <c r="E94" s="345" t="n">
        <v>0.0635353365100695</v>
      </c>
      <c r="F94" s="345" t="n">
        <v>0.293478295611617</v>
      </c>
      <c r="G94" s="346" t="n">
        <v>0.503833576298558</v>
      </c>
      <c r="H94" s="346" t="n">
        <v>0.78939999</v>
      </c>
      <c r="I94" s="345" t="n">
        <v>0.07304279938</v>
      </c>
      <c r="J94" s="345" t="n">
        <v>0.231413246</v>
      </c>
      <c r="K94" s="345" t="n">
        <v>0.0411</v>
      </c>
      <c r="L94" s="345" t="n">
        <v>0.464463801436594</v>
      </c>
      <c r="M94" s="345" t="n">
        <v>0.0535047908019622</v>
      </c>
      <c r="N94" s="346" t="n">
        <v>0.893557372338288</v>
      </c>
      <c r="O94" s="346" t="n">
        <v>1.78245845216128</v>
      </c>
      <c r="P94" s="346" t="n">
        <v>9.80895682715813</v>
      </c>
      <c r="Q94" s="346" t="n">
        <v>18.3004135065936</v>
      </c>
      <c r="R94" s="346" t="n">
        <v>1.67802093221973</v>
      </c>
      <c r="S94" s="346" t="n">
        <v>29.69892446</v>
      </c>
      <c r="T94" s="345" t="n">
        <v>-0.0150549992349411</v>
      </c>
      <c r="U94" s="345" t="n">
        <v>0.126675202246387</v>
      </c>
      <c r="V94" s="345" t="n">
        <v>0.0634235168433551</v>
      </c>
      <c r="W94" s="345" t="n">
        <v>0.914420464423891</v>
      </c>
      <c r="X94" s="345" t="n">
        <v>0.0743850896585213</v>
      </c>
      <c r="Y94" s="345" t="n">
        <v>1.15071702247854</v>
      </c>
      <c r="Z94" s="345" t="n">
        <v>1.15071702247854</v>
      </c>
    </row>
    <row r="95" s="347" customFormat="true" ht="12.65" hidden="false" customHeight="false" outlineLevel="0" collapsed="false">
      <c r="A95" s="343" t="s">
        <v>537</v>
      </c>
      <c r="B95" s="344" t="n">
        <v>103</v>
      </c>
      <c r="C95" s="345" t="n">
        <v>0.1027774627</v>
      </c>
      <c r="D95" s="345" t="n">
        <v>0.266497825892858</v>
      </c>
      <c r="E95" s="345" t="n">
        <v>0.0826224403413489</v>
      </c>
      <c r="F95" s="345" t="n">
        <v>0.231325713614854</v>
      </c>
      <c r="G95" s="346" t="n">
        <v>0.80811061505372</v>
      </c>
      <c r="H95" s="346" t="n">
        <v>1.093724118</v>
      </c>
      <c r="I95" s="345" t="n">
        <v>0.091910895316</v>
      </c>
      <c r="J95" s="345" t="n">
        <v>0.318726552</v>
      </c>
      <c r="K95" s="345" t="n">
        <v>0.0461</v>
      </c>
      <c r="L95" s="345" t="n">
        <v>0.363210027913637</v>
      </c>
      <c r="M95" s="345" t="n">
        <v>0.0711478759122835</v>
      </c>
      <c r="N95" s="346" t="n">
        <v>0.373024660008713</v>
      </c>
      <c r="O95" s="346" t="n">
        <v>4.98350889343648</v>
      </c>
      <c r="P95" s="346" t="n">
        <v>12.6984474296389</v>
      </c>
      <c r="Q95" s="346" t="n">
        <v>18.5628658255543</v>
      </c>
      <c r="R95" s="346" t="n">
        <v>1.94068491498624</v>
      </c>
      <c r="S95" s="346" t="n">
        <v>42.01821905</v>
      </c>
      <c r="T95" s="345" t="n">
        <v>0.0490340986259068</v>
      </c>
      <c r="U95" s="345" t="n">
        <v>0.206983753557313</v>
      </c>
      <c r="V95" s="345" t="n">
        <v>0.120390380539902</v>
      </c>
      <c r="W95" s="345" t="n">
        <v>0.95649968577124</v>
      </c>
      <c r="X95" s="345" t="n">
        <v>0.112312409825613</v>
      </c>
      <c r="Y95" s="345" t="n">
        <v>0.549314201293212</v>
      </c>
      <c r="Z95" s="345"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 hidden="false" customHeight="false" outlineLevel="0" collapsed="false">
      <c r="A1" s="348" t="s">
        <v>321</v>
      </c>
      <c r="B1" s="129" t="s">
        <v>538</v>
      </c>
      <c r="C1" s="348" t="s">
        <v>539</v>
      </c>
      <c r="D1" s="348" t="s">
        <v>540</v>
      </c>
      <c r="E1" s="349" t="s">
        <v>541</v>
      </c>
      <c r="F1" s="349" t="s">
        <v>542</v>
      </c>
      <c r="G1" s="350" t="s">
        <v>349</v>
      </c>
    </row>
    <row r="2" customFormat="false" ht="15" hidden="false" customHeight="false" outlineLevel="0" collapsed="false">
      <c r="A2" s="351" t="s">
        <v>543</v>
      </c>
      <c r="B2" s="129" t="s">
        <v>544</v>
      </c>
      <c r="C2" s="159" t="n">
        <v>0.00508763167183897</v>
      </c>
      <c r="D2" s="352" t="n">
        <v>0.0565201482060169</v>
      </c>
      <c r="E2" s="132" t="n">
        <v>0.0057201482060169</v>
      </c>
      <c r="F2" s="132" t="n">
        <v>0</v>
      </c>
      <c r="G2" s="351" t="s">
        <v>545</v>
      </c>
    </row>
    <row r="3" customFormat="false" ht="15" hidden="false" customHeight="false" outlineLevel="0" collapsed="false">
      <c r="A3" s="351" t="s">
        <v>546</v>
      </c>
      <c r="B3" s="129" t="s">
        <v>547</v>
      </c>
      <c r="C3" s="159" t="n">
        <v>0.0461586946226845</v>
      </c>
      <c r="D3" s="352" t="n">
        <v>0.102697344632772</v>
      </c>
      <c r="E3" s="132" t="n">
        <v>0.0518973446327716</v>
      </c>
      <c r="F3" s="132" t="n">
        <v>0.15</v>
      </c>
      <c r="G3" s="351" t="s">
        <v>548</v>
      </c>
    </row>
    <row r="4" customFormat="false" ht="15" hidden="false" customHeight="false" outlineLevel="0" collapsed="false">
      <c r="A4" s="351" t="s">
        <v>549</v>
      </c>
      <c r="B4" s="353" t="s">
        <v>453</v>
      </c>
      <c r="C4" s="159" t="n">
        <v>0.0667</v>
      </c>
      <c r="D4" s="354" t="n">
        <v>0.125792434584679</v>
      </c>
      <c r="E4" s="132" t="n">
        <v>0.0749924345846795</v>
      </c>
      <c r="F4" s="355" t="n">
        <v>0.26</v>
      </c>
      <c r="G4" s="356" t="s">
        <v>550</v>
      </c>
    </row>
    <row r="5" customFormat="false" ht="15" hidden="false" customHeight="false" outlineLevel="0" collapsed="false">
      <c r="A5" s="351" t="s">
        <v>551</v>
      </c>
      <c r="B5" s="129" t="s">
        <v>552</v>
      </c>
      <c r="C5" s="159" t="n">
        <v>0.019518005141055</v>
      </c>
      <c r="D5" s="352" t="n">
        <v>0.0727445685721739</v>
      </c>
      <c r="E5" s="132" t="n">
        <v>0.0219445685721739</v>
      </c>
      <c r="F5" s="132" t="n">
        <v>0</v>
      </c>
      <c r="G5" s="351" t="s">
        <v>553</v>
      </c>
    </row>
    <row r="6" customFormat="false" ht="15" hidden="false" customHeight="false" outlineLevel="0" collapsed="false">
      <c r="A6" s="351" t="s">
        <v>554</v>
      </c>
      <c r="B6" s="129" t="s">
        <v>555</v>
      </c>
      <c r="C6" s="159" t="n">
        <v>0.0564264603603958</v>
      </c>
      <c r="D6" s="352" t="n">
        <v>0.11424164373946</v>
      </c>
      <c r="E6" s="132" t="n">
        <v>0.0634416437394602</v>
      </c>
      <c r="F6" s="132" t="n">
        <v>0.3</v>
      </c>
      <c r="G6" s="351" t="s">
        <v>550</v>
      </c>
    </row>
    <row r="7" customFormat="false" ht="15" hidden="false" customHeight="false" outlineLevel="0" collapsed="false">
      <c r="A7" s="357" t="s">
        <v>556</v>
      </c>
      <c r="B7" s="358" t="s">
        <v>453</v>
      </c>
      <c r="C7" s="359" t="n">
        <v>0.0561359505272804</v>
      </c>
      <c r="D7" s="359" t="n">
        <v>0.113915016458259</v>
      </c>
      <c r="E7" s="359" t="n">
        <v>0.063115016458259</v>
      </c>
      <c r="F7" s="359" t="n">
        <v>0.24024843485036</v>
      </c>
      <c r="G7" s="360" t="s">
        <v>557</v>
      </c>
    </row>
    <row r="8" customFormat="false" ht="15" hidden="false" customHeight="false" outlineLevel="0" collapsed="false">
      <c r="A8" s="357" t="s">
        <v>558</v>
      </c>
      <c r="B8" s="358" t="s">
        <v>453</v>
      </c>
      <c r="C8" s="359" t="n">
        <v>0.0561</v>
      </c>
      <c r="D8" s="361" t="n">
        <v>0.1139</v>
      </c>
      <c r="E8" s="361" t="n">
        <v>0.0631</v>
      </c>
      <c r="F8" s="361" t="n">
        <v>0.2402</v>
      </c>
      <c r="G8" s="360" t="s">
        <v>557</v>
      </c>
    </row>
    <row r="9" customFormat="false" ht="15" hidden="false" customHeight="false" outlineLevel="0" collapsed="false">
      <c r="A9" s="351" t="s">
        <v>559</v>
      </c>
      <c r="B9" s="129" t="s">
        <v>555</v>
      </c>
      <c r="C9" s="159" t="n">
        <v>0.0564264603603958</v>
      </c>
      <c r="D9" s="352" t="n">
        <v>0.11424164373946</v>
      </c>
      <c r="E9" s="132" t="n">
        <v>0.0634416437394602</v>
      </c>
      <c r="F9" s="132" t="n">
        <v>0.35</v>
      </c>
      <c r="G9" s="351" t="s">
        <v>560</v>
      </c>
    </row>
    <row r="10" customFormat="false" ht="15" hidden="false" customHeight="false" outlineLevel="0" collapsed="false">
      <c r="A10" s="351" t="s">
        <v>561</v>
      </c>
      <c r="B10" s="129" t="s">
        <v>547</v>
      </c>
      <c r="C10" s="159" t="n">
        <v>0.0461586946226845</v>
      </c>
      <c r="D10" s="352" t="n">
        <v>0.102697344632772</v>
      </c>
      <c r="E10" s="132" t="n">
        <v>0.0518973446327716</v>
      </c>
      <c r="F10" s="132" t="n">
        <v>0.2</v>
      </c>
      <c r="G10" s="351" t="s">
        <v>548</v>
      </c>
    </row>
    <row r="11" customFormat="false" ht="15" hidden="false" customHeight="false" outlineLevel="0" collapsed="false">
      <c r="A11" s="351" t="s">
        <v>562</v>
      </c>
      <c r="B11" s="129" t="s">
        <v>563</v>
      </c>
      <c r="C11" s="159" t="n">
        <v>0.0163729237439181</v>
      </c>
      <c r="D11" s="352" t="n">
        <v>0.0692084769539089</v>
      </c>
      <c r="E11" s="132" t="n">
        <v>0.0184084769539089</v>
      </c>
      <c r="F11" s="132" t="n">
        <v>0</v>
      </c>
      <c r="G11" s="351" t="s">
        <v>557</v>
      </c>
    </row>
    <row r="12" customFormat="false" ht="15" hidden="false" customHeight="false" outlineLevel="0" collapsed="false">
      <c r="A12" s="351" t="s">
        <v>564</v>
      </c>
      <c r="B12" s="129" t="s">
        <v>565</v>
      </c>
      <c r="C12" s="159" t="n">
        <v>0</v>
      </c>
      <c r="D12" s="352" t="n">
        <v>0.0508</v>
      </c>
      <c r="E12" s="132" t="n">
        <v>0</v>
      </c>
      <c r="F12" s="132" t="n">
        <v>0.3</v>
      </c>
      <c r="G12" s="351" t="s">
        <v>566</v>
      </c>
    </row>
    <row r="13" customFormat="false" ht="15" hidden="false" customHeight="false" outlineLevel="0" collapsed="false">
      <c r="A13" s="351" t="s">
        <v>567</v>
      </c>
      <c r="B13" s="129" t="s">
        <v>568</v>
      </c>
      <c r="C13" s="159" t="n">
        <v>0.00407010533747118</v>
      </c>
      <c r="D13" s="352" t="n">
        <v>0.0553761185648135</v>
      </c>
      <c r="E13" s="132" t="n">
        <v>0.00457611856481352</v>
      </c>
      <c r="F13" s="132" t="n">
        <v>0.25</v>
      </c>
      <c r="G13" s="351" t="s">
        <v>553</v>
      </c>
    </row>
    <row r="14" customFormat="false" ht="15" hidden="false" customHeight="false" outlineLevel="0" collapsed="false">
      <c r="A14" s="351" t="s">
        <v>569</v>
      </c>
      <c r="B14" s="129" t="s">
        <v>570</v>
      </c>
      <c r="C14" s="159" t="n">
        <v>0.0308032972131341</v>
      </c>
      <c r="D14" s="352" t="n">
        <v>0.085432897320066</v>
      </c>
      <c r="E14" s="132" t="n">
        <v>0.034632897320066</v>
      </c>
      <c r="F14" s="132" t="n">
        <v>0.2</v>
      </c>
      <c r="G14" s="351" t="s">
        <v>548</v>
      </c>
    </row>
    <row r="15" customFormat="false" ht="15" hidden="false" customHeight="false" outlineLevel="0" collapsed="false">
      <c r="A15" s="351" t="s">
        <v>571</v>
      </c>
      <c r="B15" s="129" t="s">
        <v>572</v>
      </c>
      <c r="C15" s="159" t="n">
        <v>0.0225705841441583</v>
      </c>
      <c r="D15" s="352" t="n">
        <v>0.0761766574957841</v>
      </c>
      <c r="E15" s="132" t="n">
        <v>0.0253766574957841</v>
      </c>
      <c r="F15" s="132" t="n">
        <v>0</v>
      </c>
      <c r="G15" s="351" t="s">
        <v>557</v>
      </c>
    </row>
    <row r="16" customFormat="false" ht="15" hidden="false" customHeight="false" outlineLevel="0" collapsed="false">
      <c r="A16" s="351" t="s">
        <v>573</v>
      </c>
      <c r="B16" s="129" t="s">
        <v>547</v>
      </c>
      <c r="C16" s="159" t="n">
        <v>0.0461586946226845</v>
      </c>
      <c r="D16" s="352" t="n">
        <v>0.102697344632772</v>
      </c>
      <c r="E16" s="132" t="n">
        <v>0.0518973446327716</v>
      </c>
      <c r="F16" s="132" t="n">
        <v>0</v>
      </c>
      <c r="G16" s="351" t="s">
        <v>545</v>
      </c>
    </row>
    <row r="17" customFormat="false" ht="15" hidden="false" customHeight="false" outlineLevel="0" collapsed="false">
      <c r="A17" s="351" t="s">
        <v>574</v>
      </c>
      <c r="B17" s="129" t="s">
        <v>575</v>
      </c>
      <c r="C17" s="159" t="n">
        <v>0.0369084552193409</v>
      </c>
      <c r="D17" s="352" t="n">
        <v>0.0922970751672863</v>
      </c>
      <c r="E17" s="132" t="n">
        <v>0.0414970751672863</v>
      </c>
      <c r="F17" s="132" t="n">
        <v>0.25</v>
      </c>
      <c r="G17" s="351" t="s">
        <v>576</v>
      </c>
    </row>
    <row r="18" customFormat="false" ht="15" hidden="false" customHeight="false" outlineLevel="0" collapsed="false">
      <c r="A18" s="351" t="s">
        <v>577</v>
      </c>
      <c r="B18" s="129" t="s">
        <v>578</v>
      </c>
      <c r="C18" s="159" t="n">
        <v>0.102492652589047</v>
      </c>
      <c r="D18" s="352" t="n">
        <v>0.166034985677577</v>
      </c>
      <c r="E18" s="132" t="n">
        <v>0.115234985677577</v>
      </c>
      <c r="F18" s="132" t="n">
        <v>0.25</v>
      </c>
      <c r="G18" s="351" t="s">
        <v>557</v>
      </c>
    </row>
    <row r="19" customFormat="false" ht="15" hidden="false" customHeight="false" outlineLevel="0" collapsed="false">
      <c r="A19" s="351" t="s">
        <v>579</v>
      </c>
      <c r="B19" s="129" t="s">
        <v>580</v>
      </c>
      <c r="C19" s="159" t="n">
        <v>0.0768694894417852</v>
      </c>
      <c r="D19" s="352" t="n">
        <v>0.137226239258183</v>
      </c>
      <c r="E19" s="132" t="n">
        <v>0.0864262392581827</v>
      </c>
      <c r="F19" s="132" t="n">
        <v>0.18</v>
      </c>
      <c r="G19" s="351" t="s">
        <v>548</v>
      </c>
    </row>
    <row r="20" customFormat="false" ht="15" hidden="false" customHeight="false" outlineLevel="0" collapsed="false">
      <c r="A20" s="351" t="s">
        <v>581</v>
      </c>
      <c r="B20" s="129" t="s">
        <v>582</v>
      </c>
      <c r="C20" s="159" t="n">
        <v>0.0061976604002402</v>
      </c>
      <c r="D20" s="352" t="n">
        <v>0.0577681805418751</v>
      </c>
      <c r="E20" s="132" t="n">
        <v>0.00696818054187514</v>
      </c>
      <c r="F20" s="132" t="n">
        <v>0.3399</v>
      </c>
      <c r="G20" s="351" t="s">
        <v>553</v>
      </c>
    </row>
    <row r="21" customFormat="false" ht="15" hidden="false" customHeight="false" outlineLevel="0" collapsed="false">
      <c r="A21" s="351" t="s">
        <v>583</v>
      </c>
      <c r="B21" s="129" t="s">
        <v>584</v>
      </c>
      <c r="C21" s="159" t="n">
        <v>0.0666942260981072</v>
      </c>
      <c r="D21" s="352" t="n">
        <v>0.125785942846149</v>
      </c>
      <c r="E21" s="132" t="n">
        <v>0.0749859428461489</v>
      </c>
      <c r="F21" s="132" t="n">
        <v>0.2821</v>
      </c>
      <c r="G21" s="351" t="s">
        <v>560</v>
      </c>
    </row>
    <row r="22" customFormat="false" ht="15" hidden="false" customHeight="false" outlineLevel="0" collapsed="false">
      <c r="A22" s="357" t="s">
        <v>585</v>
      </c>
      <c r="B22" s="358" t="s">
        <v>453</v>
      </c>
      <c r="C22" s="359" t="n">
        <v>0.048597450282649</v>
      </c>
      <c r="D22" s="359" t="n">
        <v>0.104724928047051</v>
      </c>
      <c r="E22" s="359" t="n">
        <v>0.054639297021046</v>
      </c>
      <c r="F22" s="359" t="n">
        <v>0.27613666030122</v>
      </c>
      <c r="G22" s="360" t="s">
        <v>550</v>
      </c>
    </row>
    <row r="23" customFormat="false" ht="15" hidden="false" customHeight="false" outlineLevel="0" collapsed="false">
      <c r="A23" s="351" t="s">
        <v>586</v>
      </c>
      <c r="B23" s="129" t="s">
        <v>587</v>
      </c>
      <c r="C23" s="159" t="n">
        <v>0.00869522503914297</v>
      </c>
      <c r="D23" s="352" t="n">
        <v>0.0605762532975562</v>
      </c>
      <c r="E23" s="132" t="n">
        <v>0.00977625329755616</v>
      </c>
      <c r="F23" s="132" t="n">
        <v>0</v>
      </c>
      <c r="G23" s="351" t="s">
        <v>557</v>
      </c>
    </row>
    <row r="24" customFormat="false" ht="15" hidden="false" customHeight="false" outlineLevel="0" collapsed="false">
      <c r="A24" s="351" t="s">
        <v>588</v>
      </c>
      <c r="B24" s="129" t="s">
        <v>575</v>
      </c>
      <c r="C24" s="159" t="n">
        <v>0.0369084552193409</v>
      </c>
      <c r="D24" s="352" t="n">
        <v>0.0922970751672863</v>
      </c>
      <c r="E24" s="132" t="n">
        <v>0.0414970751672863</v>
      </c>
      <c r="F24" s="132" t="n">
        <v>0.25</v>
      </c>
      <c r="G24" s="351" t="s">
        <v>560</v>
      </c>
    </row>
    <row r="25" customFormat="false" ht="15" hidden="false" customHeight="false" outlineLevel="0" collapsed="false">
      <c r="A25" s="351" t="s">
        <v>589</v>
      </c>
      <c r="B25" s="129" t="s">
        <v>584</v>
      </c>
      <c r="C25" s="159" t="n">
        <v>0.0666942260981072</v>
      </c>
      <c r="D25" s="352" t="n">
        <v>0.125785942846149</v>
      </c>
      <c r="E25" s="132" t="n">
        <v>0.0749859428461489</v>
      </c>
      <c r="F25" s="132" t="n">
        <v>0.1</v>
      </c>
      <c r="G25" s="351" t="s">
        <v>548</v>
      </c>
    </row>
    <row r="26" customFormat="false" ht="15" hidden="false" customHeight="false" outlineLevel="0" collapsed="false">
      <c r="A26" s="351" t="s">
        <v>590</v>
      </c>
      <c r="B26" s="129" t="s">
        <v>587</v>
      </c>
      <c r="C26" s="159" t="n">
        <v>0.00869522503914297</v>
      </c>
      <c r="D26" s="352" t="n">
        <v>0.0605762532975562</v>
      </c>
      <c r="E26" s="132" t="n">
        <v>0.00977625329755616</v>
      </c>
      <c r="F26" s="132" t="n">
        <v>0.22</v>
      </c>
      <c r="G26" s="351" t="s">
        <v>550</v>
      </c>
    </row>
    <row r="27" customFormat="false" ht="15" hidden="false" customHeight="false" outlineLevel="0" collapsed="false">
      <c r="A27" s="351" t="s">
        <v>591</v>
      </c>
      <c r="B27" s="129" t="s">
        <v>570</v>
      </c>
      <c r="C27" s="159" t="n">
        <v>0.0308032972131341</v>
      </c>
      <c r="D27" s="352" t="n">
        <v>0.085432897320066</v>
      </c>
      <c r="E27" s="132" t="n">
        <v>0.034632897320066</v>
      </c>
      <c r="F27" s="132" t="n">
        <v>0.34</v>
      </c>
      <c r="G27" s="351" t="s">
        <v>560</v>
      </c>
    </row>
    <row r="28" customFormat="false" ht="15" hidden="false" customHeight="false" outlineLevel="0" collapsed="false">
      <c r="A28" s="362" t="s">
        <v>592</v>
      </c>
      <c r="B28" s="358" t="s">
        <v>453</v>
      </c>
      <c r="C28" s="359" t="n">
        <v>0.0561</v>
      </c>
      <c r="D28" s="361" t="n">
        <v>0.1139</v>
      </c>
      <c r="E28" s="361" t="n">
        <v>0.0631</v>
      </c>
      <c r="F28" s="361" t="n">
        <v>0.2402</v>
      </c>
      <c r="G28" s="360" t="s">
        <v>557</v>
      </c>
    </row>
    <row r="29" customFormat="false" ht="15" hidden="false" customHeight="false" outlineLevel="0" collapsed="false">
      <c r="A29" s="351" t="s">
        <v>593</v>
      </c>
      <c r="B29" s="353" t="s">
        <v>453</v>
      </c>
      <c r="C29" s="159" t="n">
        <v>0.0087</v>
      </c>
      <c r="D29" s="354" t="n">
        <v>0.0605816219023495</v>
      </c>
      <c r="E29" s="132" t="n">
        <v>0.0097816219023495</v>
      </c>
      <c r="F29" s="363" t="n">
        <v>0.185</v>
      </c>
      <c r="G29" s="356" t="s">
        <v>545</v>
      </c>
    </row>
    <row r="30" customFormat="false" ht="15" hidden="false" customHeight="false" outlineLevel="0" collapsed="false">
      <c r="A30" s="351" t="s">
        <v>594</v>
      </c>
      <c r="B30" s="129" t="s">
        <v>552</v>
      </c>
      <c r="C30" s="159" t="n">
        <v>0.019518005141055</v>
      </c>
      <c r="D30" s="352" t="n">
        <v>0.0727445685721739</v>
      </c>
      <c r="E30" s="132" t="n">
        <v>0.0219445685721739</v>
      </c>
      <c r="F30" s="132" t="n">
        <v>0.1</v>
      </c>
      <c r="G30" s="351" t="s">
        <v>548</v>
      </c>
    </row>
    <row r="31" customFormat="false" ht="15" hidden="false" customHeight="false" outlineLevel="0" collapsed="false">
      <c r="A31" s="351" t="s">
        <v>595</v>
      </c>
      <c r="B31" s="129" t="s">
        <v>555</v>
      </c>
      <c r="C31" s="159" t="n">
        <v>0.0564264603603958</v>
      </c>
      <c r="D31" s="352" t="n">
        <v>0.11424164373946</v>
      </c>
      <c r="E31" s="132" t="n">
        <v>0.0634416437394602</v>
      </c>
      <c r="F31" s="132" t="n">
        <v>0.275</v>
      </c>
      <c r="G31" s="351" t="s">
        <v>550</v>
      </c>
    </row>
    <row r="32" customFormat="false" ht="15" hidden="false" customHeight="false" outlineLevel="0" collapsed="false">
      <c r="A32" s="351" t="s">
        <v>596</v>
      </c>
      <c r="B32" s="129" t="s">
        <v>555</v>
      </c>
      <c r="C32" s="159" t="n">
        <v>0.0564264603603958</v>
      </c>
      <c r="D32" s="352" t="n">
        <v>0.11424164373946</v>
      </c>
      <c r="E32" s="132" t="n">
        <v>0.0634416437394602</v>
      </c>
      <c r="F32" s="132" t="n">
        <v>0.2</v>
      </c>
      <c r="G32" s="351" t="s">
        <v>576</v>
      </c>
    </row>
    <row r="33" customFormat="false" ht="15" hidden="false" customHeight="false" outlineLevel="0" collapsed="false">
      <c r="A33" s="351" t="s">
        <v>597</v>
      </c>
      <c r="B33" s="129" t="s">
        <v>555</v>
      </c>
      <c r="C33" s="159" t="n">
        <v>0.0564264603603958</v>
      </c>
      <c r="D33" s="352" t="n">
        <v>0.11424164373946</v>
      </c>
      <c r="E33" s="132" t="n">
        <v>0.0634416437394602</v>
      </c>
      <c r="F33" s="132" t="n">
        <v>0.33</v>
      </c>
      <c r="G33" s="351" t="s">
        <v>550</v>
      </c>
    </row>
    <row r="34" customFormat="false" ht="15" hidden="false" customHeight="false" outlineLevel="0" collapsed="false">
      <c r="A34" s="351" t="s">
        <v>598</v>
      </c>
      <c r="B34" s="129" t="s">
        <v>565</v>
      </c>
      <c r="C34" s="159" t="n">
        <v>0</v>
      </c>
      <c r="D34" s="352" t="n">
        <v>0.0508</v>
      </c>
      <c r="E34" s="132" t="n">
        <v>0</v>
      </c>
      <c r="F34" s="132" t="n">
        <v>0.265</v>
      </c>
      <c r="G34" s="351" t="s">
        <v>599</v>
      </c>
    </row>
    <row r="35" customFormat="false" ht="15" hidden="false" customHeight="false" outlineLevel="0" collapsed="false">
      <c r="A35" s="351" t="s">
        <v>600</v>
      </c>
      <c r="B35" s="129" t="s">
        <v>555</v>
      </c>
      <c r="C35" s="159" t="n">
        <v>0.0564264603603958</v>
      </c>
      <c r="D35" s="352" t="n">
        <v>0.11424164373946</v>
      </c>
      <c r="E35" s="132" t="n">
        <v>0.0634416437394602</v>
      </c>
      <c r="F35" s="132" t="n">
        <v>0.2821</v>
      </c>
      <c r="G35" s="351" t="s">
        <v>550</v>
      </c>
    </row>
    <row r="36" customFormat="false" ht="15" hidden="false" customHeight="false" outlineLevel="0" collapsed="false">
      <c r="A36" s="351" t="s">
        <v>601</v>
      </c>
      <c r="B36" s="129" t="s">
        <v>582</v>
      </c>
      <c r="C36" s="159" t="n">
        <v>0.0061976604002402</v>
      </c>
      <c r="D36" s="352" t="n">
        <v>0.0577681805418751</v>
      </c>
      <c r="E36" s="132" t="n">
        <v>0.00696818054187514</v>
      </c>
      <c r="F36" s="132" t="n">
        <v>0</v>
      </c>
      <c r="G36" s="351" t="s">
        <v>557</v>
      </c>
    </row>
    <row r="37" customFormat="false" ht="15" hidden="false" customHeight="false" outlineLevel="0" collapsed="false">
      <c r="A37" s="357" t="s">
        <v>602</v>
      </c>
      <c r="B37" s="364" t="s">
        <v>453</v>
      </c>
      <c r="C37" s="128" t="n">
        <v>0.00823439425764014</v>
      </c>
      <c r="D37" s="128" t="n">
        <v>0.0600581300256453</v>
      </c>
      <c r="E37" s="128" t="n">
        <v>0.00925813002564526</v>
      </c>
      <c r="F37" s="128" t="n">
        <v>0.25513332425872</v>
      </c>
      <c r="G37" s="365" t="s">
        <v>553</v>
      </c>
    </row>
    <row r="38" customFormat="false" ht="15" hidden="false" customHeight="false" outlineLevel="0" collapsed="false">
      <c r="A38" s="351" t="s">
        <v>603</v>
      </c>
      <c r="B38" s="129" t="s">
        <v>582</v>
      </c>
      <c r="C38" s="159" t="n">
        <v>0.0061976604002402</v>
      </c>
      <c r="D38" s="352" t="n">
        <v>0.0577681805418751</v>
      </c>
      <c r="E38" s="132" t="n">
        <v>0.00696818054187514</v>
      </c>
      <c r="F38" s="132" t="n">
        <v>0.255</v>
      </c>
      <c r="G38" s="351" t="s">
        <v>560</v>
      </c>
    </row>
    <row r="39" customFormat="false" ht="15" hidden="false" customHeight="false" outlineLevel="0" collapsed="false">
      <c r="A39" s="351" t="s">
        <v>604</v>
      </c>
      <c r="B39" s="129" t="s">
        <v>605</v>
      </c>
      <c r="C39" s="159" t="n">
        <v>0.00721518673460799</v>
      </c>
      <c r="D39" s="352" t="n">
        <v>0.0589122101830785</v>
      </c>
      <c r="E39" s="132" t="n">
        <v>0.00811221018307852</v>
      </c>
      <c r="F39" s="132" t="n">
        <v>0.25</v>
      </c>
      <c r="G39" s="351" t="s">
        <v>576</v>
      </c>
    </row>
    <row r="40" customFormat="false" ht="15" hidden="false" customHeight="false" outlineLevel="0" collapsed="false">
      <c r="A40" s="351" t="s">
        <v>606</v>
      </c>
      <c r="B40" s="129" t="s">
        <v>552</v>
      </c>
      <c r="C40" s="159" t="n">
        <v>0.019518005141055</v>
      </c>
      <c r="D40" s="352" t="n">
        <v>0.0727445685721739</v>
      </c>
      <c r="E40" s="132" t="n">
        <v>0.0219445685721739</v>
      </c>
      <c r="F40" s="132" t="n">
        <v>0.34</v>
      </c>
      <c r="G40" s="351" t="s">
        <v>560</v>
      </c>
    </row>
    <row r="41" customFormat="false" ht="15" hidden="false" customHeight="false" outlineLevel="0" collapsed="false">
      <c r="A41" s="351" t="s">
        <v>607</v>
      </c>
      <c r="B41" s="129" t="s">
        <v>584</v>
      </c>
      <c r="C41" s="159" t="n">
        <v>0.0666942260981072</v>
      </c>
      <c r="D41" s="352" t="n">
        <v>0.125785942846149</v>
      </c>
      <c r="E41" s="132" t="n">
        <v>0.0749859428461489</v>
      </c>
      <c r="F41" s="132" t="n">
        <v>0.35</v>
      </c>
      <c r="G41" s="351" t="s">
        <v>550</v>
      </c>
    </row>
    <row r="42" customFormat="false" ht="15" hidden="false" customHeight="false" outlineLevel="0" collapsed="false">
      <c r="A42" s="351" t="s">
        <v>608</v>
      </c>
      <c r="B42" s="129" t="s">
        <v>609</v>
      </c>
      <c r="C42" s="159" t="n">
        <v>0.092317389245369</v>
      </c>
      <c r="D42" s="352" t="n">
        <v>0.154594689265543</v>
      </c>
      <c r="E42" s="132" t="n">
        <v>0.103794689265543</v>
      </c>
      <c r="F42" s="132" t="n">
        <v>0.2821</v>
      </c>
      <c r="G42" s="351" t="s">
        <v>550</v>
      </c>
    </row>
    <row r="43" customFormat="false" ht="15" hidden="false" customHeight="false" outlineLevel="0" collapsed="false">
      <c r="A43" s="351" t="s">
        <v>610</v>
      </c>
      <c r="B43" s="129" t="s">
        <v>547</v>
      </c>
      <c r="C43" s="159" t="n">
        <v>0.0461586946226845</v>
      </c>
      <c r="D43" s="352" t="n">
        <v>0.102697344632772</v>
      </c>
      <c r="E43" s="132" t="n">
        <v>0.0518973446327716</v>
      </c>
      <c r="F43" s="132" t="n">
        <v>0</v>
      </c>
      <c r="G43" s="351" t="s">
        <v>566</v>
      </c>
    </row>
    <row r="44" customFormat="false" ht="15" hidden="false" customHeight="false" outlineLevel="0" collapsed="false">
      <c r="A44" s="351" t="s">
        <v>611</v>
      </c>
      <c r="B44" s="129" t="s">
        <v>570</v>
      </c>
      <c r="C44" s="159" t="n">
        <v>0.0308032972131341</v>
      </c>
      <c r="D44" s="352" t="n">
        <v>0.085432897320066</v>
      </c>
      <c r="E44" s="132" t="n">
        <v>0.034632897320066</v>
      </c>
      <c r="F44" s="132" t="n">
        <v>0.3</v>
      </c>
      <c r="G44" s="351" t="s">
        <v>560</v>
      </c>
    </row>
    <row r="45" customFormat="false" ht="15" hidden="false" customHeight="false" outlineLevel="0" collapsed="false">
      <c r="A45" s="366" t="s">
        <v>612</v>
      </c>
      <c r="B45" s="129" t="s">
        <v>570</v>
      </c>
      <c r="C45" s="159" t="n">
        <v>0.0308032972131341</v>
      </c>
      <c r="D45" s="352" t="n">
        <v>0.085432897320066</v>
      </c>
      <c r="E45" s="132" t="n">
        <v>0.034632897320066</v>
      </c>
      <c r="F45" s="132" t="n">
        <v>0.2</v>
      </c>
      <c r="G45" s="351" t="s">
        <v>548</v>
      </c>
    </row>
    <row r="46" customFormat="false" ht="15" hidden="false" customHeight="false" outlineLevel="0" collapsed="false">
      <c r="A46" s="351" t="s">
        <v>613</v>
      </c>
      <c r="B46" s="129" t="s">
        <v>609</v>
      </c>
      <c r="C46" s="159" t="n">
        <v>0.092317389245369</v>
      </c>
      <c r="D46" s="352" t="n">
        <v>0.154594689265543</v>
      </c>
      <c r="E46" s="132" t="n">
        <v>0.103794689265543</v>
      </c>
      <c r="F46" s="132" t="n">
        <v>0.2798</v>
      </c>
      <c r="G46" s="351" t="s">
        <v>557</v>
      </c>
    </row>
    <row r="47" customFormat="false" ht="15" hidden="false" customHeight="false" outlineLevel="0" collapsed="false">
      <c r="A47" s="367" t="s">
        <v>614</v>
      </c>
      <c r="B47" s="129" t="s">
        <v>615</v>
      </c>
      <c r="C47" s="159" t="n">
        <v>0.012302818406447</v>
      </c>
      <c r="D47" s="352" t="n">
        <v>0.0646323583890954</v>
      </c>
      <c r="E47" s="132" t="n">
        <v>0.0138323583890954</v>
      </c>
      <c r="F47" s="132" t="n">
        <v>0.22</v>
      </c>
      <c r="G47" s="351" t="s">
        <v>557</v>
      </c>
    </row>
    <row r="48" customFormat="false" ht="15" hidden="false" customHeight="false" outlineLevel="0" collapsed="false">
      <c r="A48" s="366" t="s">
        <v>616</v>
      </c>
      <c r="B48" s="129" t="s">
        <v>575</v>
      </c>
      <c r="C48" s="159" t="n">
        <v>0.0369084552193409</v>
      </c>
      <c r="D48" s="352" t="n">
        <v>0.0922970751672863</v>
      </c>
      <c r="E48" s="132" t="n">
        <v>0.0414970751672863</v>
      </c>
      <c r="F48" s="132" t="n">
        <v>0.125</v>
      </c>
      <c r="G48" s="351" t="s">
        <v>553</v>
      </c>
    </row>
    <row r="49" customFormat="false" ht="15" hidden="false" customHeight="false" outlineLevel="0" collapsed="false">
      <c r="A49" s="351" t="s">
        <v>617</v>
      </c>
      <c r="B49" s="129" t="s">
        <v>605</v>
      </c>
      <c r="C49" s="159" t="n">
        <v>0.00721518673460799</v>
      </c>
      <c r="D49" s="352" t="n">
        <v>0.0589122101830785</v>
      </c>
      <c r="E49" s="132" t="n">
        <v>0.00811221018307852</v>
      </c>
      <c r="F49" s="132" t="n">
        <v>0.19</v>
      </c>
      <c r="G49" s="351" t="s">
        <v>548</v>
      </c>
    </row>
    <row r="50" customFormat="false" ht="15" hidden="false" customHeight="false" outlineLevel="0" collapsed="false">
      <c r="A50" s="351" t="s">
        <v>618</v>
      </c>
      <c r="B50" s="129" t="s">
        <v>565</v>
      </c>
      <c r="C50" s="159" t="n">
        <v>0</v>
      </c>
      <c r="D50" s="352" t="n">
        <v>0.0508</v>
      </c>
      <c r="E50" s="132" t="n">
        <v>0</v>
      </c>
      <c r="F50" s="132" t="n">
        <v>0.22</v>
      </c>
      <c r="G50" s="351" t="s">
        <v>553</v>
      </c>
    </row>
    <row r="51" customFormat="false" ht="15" hidden="false" customHeight="false" outlineLevel="0" collapsed="false">
      <c r="A51" s="351" t="s">
        <v>619</v>
      </c>
      <c r="B51" s="129" t="s">
        <v>575</v>
      </c>
      <c r="C51" s="159" t="n">
        <v>0.0369084552193409</v>
      </c>
      <c r="D51" s="352" t="n">
        <v>0.0922970751672863</v>
      </c>
      <c r="E51" s="132" t="n">
        <v>0.0414970751672863</v>
      </c>
      <c r="F51" s="132" t="n">
        <v>0.27</v>
      </c>
      <c r="G51" s="351" t="s">
        <v>557</v>
      </c>
    </row>
    <row r="52" customFormat="false" ht="15" hidden="false" customHeight="false" outlineLevel="0" collapsed="false">
      <c r="A52" s="351" t="s">
        <v>620</v>
      </c>
      <c r="B52" s="129" t="s">
        <v>584</v>
      </c>
      <c r="C52" s="159" t="n">
        <v>0.0666942260981072</v>
      </c>
      <c r="D52" s="352" t="n">
        <v>0.125785942846149</v>
      </c>
      <c r="E52" s="132" t="n">
        <v>0.0749859428461489</v>
      </c>
      <c r="F52" s="132" t="n">
        <v>0.22</v>
      </c>
      <c r="G52" s="351" t="s">
        <v>560</v>
      </c>
    </row>
    <row r="53" customFormat="false" ht="15" hidden="false" customHeight="false" outlineLevel="0" collapsed="false">
      <c r="A53" s="351" t="s">
        <v>621</v>
      </c>
      <c r="B53" s="129" t="s">
        <v>584</v>
      </c>
      <c r="C53" s="159" t="n">
        <v>0.0666942260981072</v>
      </c>
      <c r="D53" s="352" t="n">
        <v>0.125785942846149</v>
      </c>
      <c r="E53" s="132" t="n">
        <v>0.0749859428461489</v>
      </c>
      <c r="F53" s="132" t="n">
        <v>0.225</v>
      </c>
      <c r="G53" s="351" t="s">
        <v>550</v>
      </c>
    </row>
    <row r="54" customFormat="false" ht="15" hidden="false" customHeight="false" outlineLevel="0" collapsed="false">
      <c r="A54" s="351" t="s">
        <v>622</v>
      </c>
      <c r="B54" s="129" t="s">
        <v>580</v>
      </c>
      <c r="C54" s="159" t="n">
        <v>0.0768694894417852</v>
      </c>
      <c r="D54" s="352" t="n">
        <v>0.137226239258183</v>
      </c>
      <c r="E54" s="132" t="n">
        <v>0.0864262392581827</v>
      </c>
      <c r="F54" s="132" t="n">
        <v>0.3</v>
      </c>
      <c r="G54" s="351" t="s">
        <v>560</v>
      </c>
    </row>
    <row r="55" customFormat="false" ht="15" hidden="false" customHeight="false" outlineLevel="0" collapsed="false">
      <c r="A55" s="351" t="s">
        <v>623</v>
      </c>
      <c r="B55" s="129" t="s">
        <v>605</v>
      </c>
      <c r="C55" s="159" t="n">
        <v>0.00721518673460799</v>
      </c>
      <c r="D55" s="352" t="n">
        <v>0.0589122101830785</v>
      </c>
      <c r="E55" s="132" t="n">
        <v>0.00811221018307852</v>
      </c>
      <c r="F55" s="132" t="n">
        <v>0.2</v>
      </c>
      <c r="G55" s="351" t="s">
        <v>548</v>
      </c>
    </row>
    <row r="56" customFormat="false" ht="15" hidden="false" customHeight="false" outlineLevel="0" collapsed="false">
      <c r="A56" s="351" t="s">
        <v>624</v>
      </c>
      <c r="B56" s="129" t="s">
        <v>547</v>
      </c>
      <c r="C56" s="159" t="n">
        <v>0.0461586946226845</v>
      </c>
      <c r="D56" s="352" t="n">
        <v>0.102697344632772</v>
      </c>
      <c r="E56" s="132" t="n">
        <v>0.0518973446327716</v>
      </c>
      <c r="F56" s="132" t="n">
        <v>0.3</v>
      </c>
      <c r="G56" s="351" t="s">
        <v>550</v>
      </c>
    </row>
    <row r="57" customFormat="false" ht="15" hidden="false" customHeight="false" outlineLevel="0" collapsed="false">
      <c r="A57" s="368" t="s">
        <v>625</v>
      </c>
      <c r="B57" s="358" t="s">
        <v>453</v>
      </c>
      <c r="C57" s="359" t="n">
        <v>0.031583008550863</v>
      </c>
      <c r="D57" s="359" t="n">
        <v>0.0863095457681854</v>
      </c>
      <c r="E57" s="369" t="n">
        <v>0.0355095457681854</v>
      </c>
      <c r="F57" s="369" t="n">
        <v>0.317332285173146</v>
      </c>
      <c r="G57" s="360" t="s">
        <v>560</v>
      </c>
    </row>
    <row r="58" customFormat="false" ht="15" hidden="false" customHeight="false" outlineLevel="0" collapsed="false">
      <c r="A58" s="366" t="s">
        <v>626</v>
      </c>
      <c r="B58" s="129" t="s">
        <v>575</v>
      </c>
      <c r="C58" s="159" t="n">
        <v>0.0369084552193409</v>
      </c>
      <c r="D58" s="352" t="n">
        <v>0.0922970751672863</v>
      </c>
      <c r="E58" s="128" t="n">
        <v>0.0414970751672863</v>
      </c>
      <c r="F58" s="128" t="n">
        <v>0.2</v>
      </c>
      <c r="G58" s="351" t="s">
        <v>576</v>
      </c>
    </row>
    <row r="59" customFormat="false" ht="15" hidden="false" customHeight="false" outlineLevel="0" collapsed="false">
      <c r="A59" s="351" t="s">
        <v>627</v>
      </c>
      <c r="B59" s="129" t="s">
        <v>568</v>
      </c>
      <c r="C59" s="159" t="n">
        <v>0.00407010533747118</v>
      </c>
      <c r="D59" s="352" t="n">
        <v>0.0553761185648135</v>
      </c>
      <c r="E59" s="132" t="n">
        <v>0.00457611856481352</v>
      </c>
      <c r="F59" s="132" t="n">
        <v>0.2</v>
      </c>
      <c r="G59" s="351" t="s">
        <v>553</v>
      </c>
    </row>
    <row r="60" customFormat="false" ht="15" hidden="false" customHeight="false" outlineLevel="0" collapsed="false">
      <c r="A60" s="351" t="s">
        <v>628</v>
      </c>
      <c r="B60" s="129" t="s">
        <v>544</v>
      </c>
      <c r="C60" s="159" t="n">
        <v>0.00508763167183897</v>
      </c>
      <c r="D60" s="352" t="n">
        <v>0.0565201482060169</v>
      </c>
      <c r="E60" s="132" t="n">
        <v>0.0057201482060169</v>
      </c>
      <c r="F60" s="132" t="n">
        <v>0.3333</v>
      </c>
      <c r="G60" s="351" t="s">
        <v>553</v>
      </c>
    </row>
    <row r="61" customFormat="false" ht="15" hidden="false" customHeight="false" outlineLevel="0" collapsed="false">
      <c r="A61" s="351" t="s">
        <v>629</v>
      </c>
      <c r="B61" s="129" t="s">
        <v>584</v>
      </c>
      <c r="C61" s="159" t="n">
        <v>0.0666942260981072</v>
      </c>
      <c r="D61" s="352" t="n">
        <v>0.125785942846149</v>
      </c>
      <c r="E61" s="132" t="n">
        <v>0.0749859428461489</v>
      </c>
      <c r="F61" s="132" t="n">
        <v>0.3</v>
      </c>
      <c r="G61" s="351" t="s">
        <v>550</v>
      </c>
    </row>
    <row r="62" customFormat="false" ht="15" hidden="false" customHeight="false" outlineLevel="0" collapsed="false">
      <c r="A62" s="351" t="s">
        <v>630</v>
      </c>
      <c r="B62" s="353" t="s">
        <v>453</v>
      </c>
      <c r="C62" s="159" t="n">
        <v>0.0923</v>
      </c>
      <c r="D62" s="354" t="n">
        <v>0.154575138113432</v>
      </c>
      <c r="E62" s="132" t="n">
        <v>0.103775138113432</v>
      </c>
      <c r="F62" s="363" t="n">
        <v>0.31</v>
      </c>
      <c r="G62" s="356" t="s">
        <v>550</v>
      </c>
    </row>
    <row r="63" customFormat="false" ht="15" hidden="false" customHeight="false" outlineLevel="0" collapsed="false">
      <c r="A63" s="351" t="s">
        <v>631</v>
      </c>
      <c r="B63" s="129" t="s">
        <v>570</v>
      </c>
      <c r="C63" s="159" t="n">
        <v>0.0308032972131341</v>
      </c>
      <c r="D63" s="352" t="n">
        <v>0.085432897320066</v>
      </c>
      <c r="E63" s="132" t="n">
        <v>0.034632897320066</v>
      </c>
      <c r="F63" s="132" t="n">
        <v>0.15</v>
      </c>
      <c r="G63" s="351" t="s">
        <v>548</v>
      </c>
    </row>
    <row r="64" customFormat="false" ht="15" hidden="false" customHeight="false" outlineLevel="0" collapsed="false">
      <c r="A64" s="351" t="s">
        <v>329</v>
      </c>
      <c r="B64" s="129" t="s">
        <v>565</v>
      </c>
      <c r="C64" s="159" t="n">
        <v>0</v>
      </c>
      <c r="D64" s="352" t="n">
        <v>0.0508</v>
      </c>
      <c r="E64" s="132" t="n">
        <v>0</v>
      </c>
      <c r="F64" s="132" t="n">
        <v>0.2979</v>
      </c>
      <c r="G64" s="351" t="s">
        <v>553</v>
      </c>
    </row>
    <row r="65" customFormat="false" ht="15" hidden="false" customHeight="false" outlineLevel="0" collapsed="false">
      <c r="A65" s="351" t="s">
        <v>632</v>
      </c>
      <c r="B65" s="129" t="s">
        <v>584</v>
      </c>
      <c r="C65" s="159" t="n">
        <v>0.0666942260981072</v>
      </c>
      <c r="D65" s="352" t="n">
        <v>0.125785942846149</v>
      </c>
      <c r="E65" s="132" t="n">
        <v>0.0749859428461489</v>
      </c>
      <c r="F65" s="132" t="n">
        <v>0.25</v>
      </c>
      <c r="G65" s="351" t="s">
        <v>550</v>
      </c>
    </row>
    <row r="66" customFormat="false" ht="15" hidden="false" customHeight="false" outlineLevel="0" collapsed="false">
      <c r="A66" s="368" t="s">
        <v>633</v>
      </c>
      <c r="B66" s="358" t="s">
        <v>453</v>
      </c>
      <c r="C66" s="359" t="n">
        <v>0.0082</v>
      </c>
      <c r="D66" s="359" t="n">
        <v>0.0601</v>
      </c>
      <c r="E66" s="369" t="n">
        <v>0.0093</v>
      </c>
      <c r="F66" s="369" t="n">
        <v>0.2551</v>
      </c>
      <c r="G66" s="360" t="s">
        <v>553</v>
      </c>
    </row>
    <row r="67" customFormat="false" ht="15" hidden="false" customHeight="false" outlineLevel="0" collapsed="false">
      <c r="A67" s="366" t="s">
        <v>634</v>
      </c>
      <c r="B67" s="129" t="s">
        <v>609</v>
      </c>
      <c r="C67" s="159" t="n">
        <v>0.092317389245369</v>
      </c>
      <c r="D67" s="370" t="n">
        <v>0.154594689265543</v>
      </c>
      <c r="E67" s="133" t="n">
        <v>0.103794689265543</v>
      </c>
      <c r="F67" s="133" t="n">
        <v>0.29</v>
      </c>
      <c r="G67" s="351" t="s">
        <v>553</v>
      </c>
    </row>
    <row r="68" customFormat="false" ht="15" hidden="false" customHeight="false" outlineLevel="0" collapsed="false">
      <c r="A68" s="360" t="s">
        <v>635</v>
      </c>
      <c r="B68" s="358" t="s">
        <v>453</v>
      </c>
      <c r="C68" s="359" t="n">
        <v>0.0082</v>
      </c>
      <c r="D68" s="359" t="n">
        <v>0.0601</v>
      </c>
      <c r="E68" s="369" t="n">
        <v>0.0093</v>
      </c>
      <c r="F68" s="369" t="n">
        <v>0.2551</v>
      </c>
      <c r="G68" s="360" t="s">
        <v>553</v>
      </c>
    </row>
    <row r="69" customFormat="false" ht="15" hidden="false" customHeight="false" outlineLevel="0" collapsed="false">
      <c r="A69" s="351" t="s">
        <v>636</v>
      </c>
      <c r="B69" s="129" t="s">
        <v>637</v>
      </c>
      <c r="C69" s="159" t="n">
        <v>0.0256231631472617</v>
      </c>
      <c r="D69" s="370" t="n">
        <v>0.0796087464193942</v>
      </c>
      <c r="E69" s="133" t="n">
        <v>0.0288087464193942</v>
      </c>
      <c r="F69" s="133" t="n">
        <v>0.25</v>
      </c>
      <c r="G69" s="351" t="s">
        <v>560</v>
      </c>
    </row>
    <row r="70" customFormat="false" ht="15" hidden="false" customHeight="false" outlineLevel="0" collapsed="false">
      <c r="A70" s="351" t="s">
        <v>638</v>
      </c>
      <c r="B70" s="129" t="s">
        <v>582</v>
      </c>
      <c r="C70" s="159" t="n">
        <v>0.0061976604002402</v>
      </c>
      <c r="D70" s="352" t="n">
        <v>0.0577681805418751</v>
      </c>
      <c r="E70" s="132" t="n">
        <v>0.00696818054187514</v>
      </c>
      <c r="F70" s="132" t="n">
        <v>0</v>
      </c>
      <c r="G70" s="351" t="s">
        <v>553</v>
      </c>
    </row>
    <row r="71" customFormat="false" ht="15" hidden="false" customHeight="false" outlineLevel="0" collapsed="false">
      <c r="A71" s="351" t="s">
        <v>639</v>
      </c>
      <c r="B71" s="353" t="s">
        <v>453</v>
      </c>
      <c r="C71" s="159" t="n">
        <v>0.0923</v>
      </c>
      <c r="D71" s="354" t="n">
        <v>0.154575138113432</v>
      </c>
      <c r="E71" s="132" t="n">
        <v>0.103775138113432</v>
      </c>
      <c r="F71" s="363" t="n">
        <v>0.2821</v>
      </c>
      <c r="G71" s="356" t="s">
        <v>550</v>
      </c>
    </row>
    <row r="72" customFormat="false" ht="15" hidden="false" customHeight="false" outlineLevel="0" collapsed="false">
      <c r="A72" s="351" t="s">
        <v>640</v>
      </c>
      <c r="B72" s="353" t="s">
        <v>453</v>
      </c>
      <c r="C72" s="159" t="n">
        <v>0.0667</v>
      </c>
      <c r="D72" s="354" t="n">
        <v>0.125792434584679</v>
      </c>
      <c r="E72" s="132" t="n">
        <v>0.0749924345846795</v>
      </c>
      <c r="F72" s="363" t="n">
        <v>0.2821</v>
      </c>
      <c r="G72" s="356" t="s">
        <v>550</v>
      </c>
    </row>
    <row r="73" customFormat="false" ht="15" hidden="false" customHeight="false" outlineLevel="0" collapsed="false">
      <c r="A73" s="351" t="s">
        <v>641</v>
      </c>
      <c r="B73" s="353" t="s">
        <v>453</v>
      </c>
      <c r="C73" s="159" t="n">
        <v>0.0369</v>
      </c>
      <c r="D73" s="354" t="n">
        <v>0.092287568758241</v>
      </c>
      <c r="E73" s="132" t="n">
        <v>0.041487568758241</v>
      </c>
      <c r="F73" s="363" t="n">
        <v>0.2798</v>
      </c>
      <c r="G73" s="351" t="s">
        <v>560</v>
      </c>
    </row>
    <row r="74" customFormat="false" ht="15" hidden="false" customHeight="false" outlineLevel="0" collapsed="false">
      <c r="A74" s="351" t="s">
        <v>642</v>
      </c>
      <c r="B74" s="353" t="s">
        <v>453</v>
      </c>
      <c r="C74" s="159" t="n">
        <v>0.0769</v>
      </c>
      <c r="D74" s="354" t="n">
        <v>0.137260543021917</v>
      </c>
      <c r="E74" s="132" t="n">
        <v>0.0864605430219168</v>
      </c>
      <c r="F74" s="363" t="n">
        <v>0.2798</v>
      </c>
      <c r="G74" s="351" t="s">
        <v>557</v>
      </c>
    </row>
    <row r="75" customFormat="false" ht="15" hidden="false" customHeight="false" outlineLevel="0" collapsed="false">
      <c r="A75" s="351" t="s">
        <v>643</v>
      </c>
      <c r="B75" s="129" t="s">
        <v>547</v>
      </c>
      <c r="C75" s="159" t="n">
        <v>0.0461586946226845</v>
      </c>
      <c r="D75" s="352" t="n">
        <v>0.102697344632772</v>
      </c>
      <c r="E75" s="132" t="n">
        <v>0.0518973446327716</v>
      </c>
      <c r="F75" s="132" t="n">
        <v>0.25</v>
      </c>
      <c r="G75" s="351" t="s">
        <v>560</v>
      </c>
    </row>
    <row r="76" customFormat="false" ht="15" hidden="false" customHeight="false" outlineLevel="0" collapsed="false">
      <c r="A76" s="351" t="s">
        <v>644</v>
      </c>
      <c r="B76" s="129" t="s">
        <v>544</v>
      </c>
      <c r="C76" s="159" t="n">
        <v>0.00508763167183897</v>
      </c>
      <c r="D76" s="352" t="n">
        <v>0.0565201482060169</v>
      </c>
      <c r="E76" s="132" t="n">
        <v>0.0057201482060169</v>
      </c>
      <c r="F76" s="132" t="n">
        <v>0.165</v>
      </c>
      <c r="G76" s="351" t="s">
        <v>576</v>
      </c>
    </row>
    <row r="77" customFormat="false" ht="15" hidden="false" customHeight="false" outlineLevel="0" collapsed="false">
      <c r="A77" s="351" t="s">
        <v>645</v>
      </c>
      <c r="B77" s="129" t="s">
        <v>572</v>
      </c>
      <c r="C77" s="159" t="n">
        <v>0.0225705841441583</v>
      </c>
      <c r="D77" s="352" t="n">
        <v>0.0761766574957841</v>
      </c>
      <c r="E77" s="132" t="n">
        <v>0.0253766574957841</v>
      </c>
      <c r="F77" s="132" t="n">
        <v>0.09</v>
      </c>
      <c r="G77" s="351" t="s">
        <v>548</v>
      </c>
    </row>
    <row r="78" customFormat="false" ht="15" hidden="false" customHeight="false" outlineLevel="0" collapsed="false">
      <c r="A78" s="351" t="s">
        <v>646</v>
      </c>
      <c r="B78" s="129" t="s">
        <v>615</v>
      </c>
      <c r="C78" s="159" t="n">
        <v>0.012302818406447</v>
      </c>
      <c r="D78" s="352" t="n">
        <v>0.0646323583890954</v>
      </c>
      <c r="E78" s="132" t="n">
        <v>0.0138323583890954</v>
      </c>
      <c r="F78" s="132" t="n">
        <v>0.2</v>
      </c>
      <c r="G78" s="351" t="s">
        <v>553</v>
      </c>
    </row>
    <row r="79" customFormat="false" ht="15" hidden="false" customHeight="false" outlineLevel="0" collapsed="false">
      <c r="A79" s="351" t="s">
        <v>647</v>
      </c>
      <c r="B79" s="129" t="s">
        <v>552</v>
      </c>
      <c r="C79" s="159" t="n">
        <v>0.019518005141055</v>
      </c>
      <c r="D79" s="352" t="n">
        <v>0.0727445685721739</v>
      </c>
      <c r="E79" s="132" t="n">
        <v>0.0219445685721739</v>
      </c>
      <c r="F79" s="132" t="n">
        <v>0.3</v>
      </c>
      <c r="G79" s="351" t="s">
        <v>576</v>
      </c>
    </row>
    <row r="80" customFormat="false" ht="15" hidden="false" customHeight="false" outlineLevel="0" collapsed="false">
      <c r="A80" s="351" t="s">
        <v>648</v>
      </c>
      <c r="B80" s="129" t="s">
        <v>572</v>
      </c>
      <c r="C80" s="159" t="n">
        <v>0.0225705841441583</v>
      </c>
      <c r="D80" s="352" t="n">
        <v>0.0761766574957841</v>
      </c>
      <c r="E80" s="132" t="n">
        <v>0.0253766574957841</v>
      </c>
      <c r="F80" s="132" t="n">
        <v>0.25</v>
      </c>
      <c r="G80" s="351" t="s">
        <v>576</v>
      </c>
    </row>
    <row r="81" customFormat="false" ht="15" hidden="false" customHeight="false" outlineLevel="0" collapsed="false">
      <c r="A81" s="351" t="s">
        <v>649</v>
      </c>
      <c r="B81" s="353" t="s">
        <v>453</v>
      </c>
      <c r="C81" s="159" t="n">
        <v>0.0195</v>
      </c>
      <c r="D81" s="354" t="n">
        <v>0.072724324953542</v>
      </c>
      <c r="E81" s="132" t="n">
        <v>0.021924324953542</v>
      </c>
      <c r="F81" s="363" t="n">
        <v>0.2128</v>
      </c>
      <c r="G81" s="351" t="s">
        <v>576</v>
      </c>
    </row>
    <row r="82" customFormat="false" ht="15" hidden="false" customHeight="false" outlineLevel="0" collapsed="false">
      <c r="A82" s="351" t="s">
        <v>650</v>
      </c>
      <c r="B82" s="129" t="s">
        <v>580</v>
      </c>
      <c r="C82" s="159" t="n">
        <v>0.0768694894417852</v>
      </c>
      <c r="D82" s="352" t="n">
        <v>0.137226239258183</v>
      </c>
      <c r="E82" s="132" t="n">
        <v>0.0864262392581827</v>
      </c>
      <c r="F82" s="132" t="n">
        <v>0.15</v>
      </c>
      <c r="G82" s="351" t="s">
        <v>545</v>
      </c>
    </row>
    <row r="83" customFormat="false" ht="15" hidden="false" customHeight="false" outlineLevel="0" collapsed="false">
      <c r="A83" s="351" t="s">
        <v>651</v>
      </c>
      <c r="B83" s="129" t="s">
        <v>587</v>
      </c>
      <c r="C83" s="159" t="n">
        <v>0.00869522503914297</v>
      </c>
      <c r="D83" s="352" t="n">
        <v>0.0605762532975562</v>
      </c>
      <c r="E83" s="132" t="n">
        <v>0.00977625329755616</v>
      </c>
      <c r="F83" s="132" t="n">
        <v>0.125</v>
      </c>
      <c r="G83" s="351" t="s">
        <v>553</v>
      </c>
    </row>
    <row r="84" customFormat="false" ht="15" hidden="false" customHeight="false" outlineLevel="0" collapsed="false">
      <c r="A84" s="351" t="s">
        <v>652</v>
      </c>
      <c r="B84" s="129" t="s">
        <v>544</v>
      </c>
      <c r="C84" s="159" t="n">
        <v>0.00508763167183897</v>
      </c>
      <c r="D84" s="352" t="n">
        <v>0.0565201482060169</v>
      </c>
      <c r="E84" s="132" t="n">
        <v>0.0057201482060169</v>
      </c>
      <c r="F84" s="132" t="n">
        <v>0</v>
      </c>
      <c r="G84" s="351" t="s">
        <v>553</v>
      </c>
    </row>
    <row r="85" customFormat="false" ht="15" hidden="false" customHeight="false" outlineLevel="0" collapsed="false">
      <c r="A85" s="351" t="s">
        <v>653</v>
      </c>
      <c r="B85" s="129" t="s">
        <v>605</v>
      </c>
      <c r="C85" s="159" t="n">
        <v>0.00721518673460799</v>
      </c>
      <c r="D85" s="352" t="n">
        <v>0.0589122101830785</v>
      </c>
      <c r="E85" s="132" t="n">
        <v>0.00811221018307852</v>
      </c>
      <c r="F85" s="132" t="n">
        <v>0.24</v>
      </c>
      <c r="G85" s="351" t="s">
        <v>545</v>
      </c>
    </row>
    <row r="86" customFormat="false" ht="15" hidden="false" customHeight="false" outlineLevel="0" collapsed="false">
      <c r="A86" s="351" t="s">
        <v>654</v>
      </c>
      <c r="B86" s="129" t="s">
        <v>552</v>
      </c>
      <c r="C86" s="159" t="n">
        <v>0.019518005141055</v>
      </c>
      <c r="D86" s="352" t="n">
        <v>0.0727445685721739</v>
      </c>
      <c r="E86" s="132" t="n">
        <v>0.0219445685721739</v>
      </c>
      <c r="F86" s="132" t="n">
        <v>0.24</v>
      </c>
      <c r="G86" s="351" t="s">
        <v>553</v>
      </c>
    </row>
    <row r="87" customFormat="false" ht="15" hidden="false" customHeight="false" outlineLevel="0" collapsed="false">
      <c r="A87" s="367" t="s">
        <v>655</v>
      </c>
      <c r="B87" s="129" t="s">
        <v>575</v>
      </c>
      <c r="C87" s="159" t="n">
        <v>0.0369084552193409</v>
      </c>
      <c r="D87" s="352" t="n">
        <v>0.0922970751672863</v>
      </c>
      <c r="E87" s="132" t="n">
        <v>0.0414970751672863</v>
      </c>
      <c r="F87" s="132" t="n">
        <v>0.25</v>
      </c>
      <c r="G87" s="351" t="s">
        <v>550</v>
      </c>
    </row>
    <row r="88" customFormat="false" ht="15" hidden="false" customHeight="false" outlineLevel="0" collapsed="false">
      <c r="A88" s="351" t="s">
        <v>656</v>
      </c>
      <c r="B88" s="129" t="s">
        <v>584</v>
      </c>
      <c r="C88" s="159" t="n">
        <v>0.0666942260981072</v>
      </c>
      <c r="D88" s="352" t="n">
        <v>0.125785942846149</v>
      </c>
      <c r="E88" s="132" t="n">
        <v>0.0749859428461489</v>
      </c>
      <c r="F88" s="132" t="n">
        <v>0.25</v>
      </c>
      <c r="G88" s="351" t="s">
        <v>557</v>
      </c>
    </row>
    <row r="89" customFormat="false" ht="15" hidden="false" customHeight="false" outlineLevel="0" collapsed="false">
      <c r="A89" s="351" t="s">
        <v>332</v>
      </c>
      <c r="B89" s="129" t="s">
        <v>605</v>
      </c>
      <c r="C89" s="159" t="n">
        <v>0.00721518673460799</v>
      </c>
      <c r="D89" s="352" t="n">
        <v>0.0589122101830785</v>
      </c>
      <c r="E89" s="132" t="n">
        <v>0.00811221018307852</v>
      </c>
      <c r="F89" s="132" t="n">
        <v>0.3086</v>
      </c>
      <c r="G89" s="351" t="s">
        <v>576</v>
      </c>
    </row>
    <row r="90" customFormat="false" ht="15" hidden="false" customHeight="false" outlineLevel="0" collapsed="false">
      <c r="A90" s="351" t="s">
        <v>657</v>
      </c>
      <c r="B90" s="129" t="s">
        <v>582</v>
      </c>
      <c r="C90" s="159" t="n">
        <v>0.0061976604002402</v>
      </c>
      <c r="D90" s="352" t="n">
        <v>0.0577681805418751</v>
      </c>
      <c r="E90" s="132" t="n">
        <v>0.00696818054187514</v>
      </c>
      <c r="F90" s="132" t="n">
        <v>0.2</v>
      </c>
      <c r="G90" s="351" t="s">
        <v>553</v>
      </c>
    </row>
    <row r="91" customFormat="false" ht="15" hidden="false" customHeight="false" outlineLevel="0" collapsed="false">
      <c r="A91" s="351" t="s">
        <v>658</v>
      </c>
      <c r="B91" s="129" t="s">
        <v>547</v>
      </c>
      <c r="C91" s="159" t="n">
        <v>0.0461586946226845</v>
      </c>
      <c r="D91" s="352" t="n">
        <v>0.102697344632772</v>
      </c>
      <c r="E91" s="132" t="n">
        <v>0.0518973446327716</v>
      </c>
      <c r="F91" s="132" t="n">
        <v>0.2</v>
      </c>
      <c r="G91" s="351" t="s">
        <v>545</v>
      </c>
    </row>
    <row r="92" customFormat="false" ht="15" hidden="false" customHeight="false" outlineLevel="0" collapsed="false">
      <c r="A92" s="362" t="s">
        <v>659</v>
      </c>
      <c r="B92" s="129" t="s">
        <v>572</v>
      </c>
      <c r="C92" s="159" t="n">
        <v>0.0225705841441583</v>
      </c>
      <c r="D92" s="352" t="n">
        <v>0.0761766574957841</v>
      </c>
      <c r="E92" s="132" t="n">
        <v>0.0253766574957841</v>
      </c>
      <c r="F92" s="132" t="n">
        <v>0.2</v>
      </c>
      <c r="G92" s="351" t="s">
        <v>548</v>
      </c>
    </row>
    <row r="93" customFormat="false" ht="15" hidden="false" customHeight="false" outlineLevel="0" collapsed="false">
      <c r="A93" s="351" t="s">
        <v>660</v>
      </c>
      <c r="B93" s="129" t="s">
        <v>547</v>
      </c>
      <c r="C93" s="159" t="n">
        <v>0.0461586946226845</v>
      </c>
      <c r="D93" s="352" t="n">
        <v>0.102697344632772</v>
      </c>
      <c r="E93" s="132" t="n">
        <v>0.0518973446327716</v>
      </c>
      <c r="F93" s="132" t="n">
        <v>0.3</v>
      </c>
      <c r="G93" s="351" t="s">
        <v>550</v>
      </c>
    </row>
    <row r="94" customFormat="false" ht="15" hidden="false" customHeight="false" outlineLevel="0" collapsed="false">
      <c r="A94" s="351" t="s">
        <v>661</v>
      </c>
      <c r="B94" s="129" t="s">
        <v>544</v>
      </c>
      <c r="C94" s="159" t="n">
        <v>0.00508763167183897</v>
      </c>
      <c r="D94" s="352" t="n">
        <v>0.0565201482060169</v>
      </c>
      <c r="E94" s="132" t="n">
        <v>0.0057201482060169</v>
      </c>
      <c r="F94" s="132" t="n">
        <v>0.22</v>
      </c>
      <c r="G94" s="351" t="s">
        <v>576</v>
      </c>
    </row>
    <row r="95" customFormat="false" ht="15" hidden="false" customHeight="false" outlineLevel="0" collapsed="false">
      <c r="A95" s="351" t="s">
        <v>662</v>
      </c>
      <c r="B95" s="353" t="s">
        <v>453</v>
      </c>
      <c r="C95" s="159" t="n">
        <v>0.1025</v>
      </c>
      <c r="D95" s="354" t="n">
        <v>0.166043246550669</v>
      </c>
      <c r="E95" s="132" t="n">
        <v>0.115243246550669</v>
      </c>
      <c r="F95" s="363" t="n">
        <v>0.2128</v>
      </c>
      <c r="G95" s="351" t="s">
        <v>576</v>
      </c>
    </row>
    <row r="96" customFormat="false" ht="15" hidden="false" customHeight="false" outlineLevel="0" collapsed="false">
      <c r="A96" s="351" t="s">
        <v>663</v>
      </c>
      <c r="B96" s="129" t="s">
        <v>544</v>
      </c>
      <c r="C96" s="159" t="n">
        <v>0.00508763167183897</v>
      </c>
      <c r="D96" s="352" t="n">
        <v>0.0565201482060169</v>
      </c>
      <c r="E96" s="132" t="n">
        <v>0.0057201482060169</v>
      </c>
      <c r="F96" s="132" t="n">
        <v>0.15</v>
      </c>
      <c r="G96" s="351" t="s">
        <v>545</v>
      </c>
    </row>
    <row r="97" customFormat="false" ht="15" hidden="false" customHeight="false" outlineLevel="0" collapsed="false">
      <c r="A97" s="362" t="s">
        <v>664</v>
      </c>
      <c r="B97" s="129" t="s">
        <v>555</v>
      </c>
      <c r="C97" s="159" t="n">
        <v>0.0564264603603958</v>
      </c>
      <c r="D97" s="352" t="n">
        <v>0.11424164373946</v>
      </c>
      <c r="E97" s="132" t="n">
        <v>0.0634416437394602</v>
      </c>
      <c r="F97" s="132" t="n">
        <v>0.15</v>
      </c>
      <c r="G97" s="351" t="s">
        <v>548</v>
      </c>
    </row>
    <row r="98" customFormat="false" ht="15" hidden="false" customHeight="false" outlineLevel="0" collapsed="false">
      <c r="A98" s="371" t="s">
        <v>665</v>
      </c>
      <c r="B98" s="129" t="s">
        <v>453</v>
      </c>
      <c r="C98" s="128" t="n">
        <v>0.0105820888031187</v>
      </c>
      <c r="D98" s="128" t="n">
        <v>0.0626977001849648</v>
      </c>
      <c r="E98" s="128" t="n">
        <v>0.0118977001849648</v>
      </c>
      <c r="F98" s="128" t="n">
        <v>0.259289347790309</v>
      </c>
      <c r="G98" s="351" t="s">
        <v>576</v>
      </c>
    </row>
    <row r="99" customFormat="false" ht="15" hidden="false" customHeight="false" outlineLevel="0" collapsed="false">
      <c r="A99" s="351" t="s">
        <v>666</v>
      </c>
      <c r="B99" s="129" t="s">
        <v>615</v>
      </c>
      <c r="C99" s="159" t="n">
        <v>0.012302818406447</v>
      </c>
      <c r="D99" s="352" t="n">
        <v>0.0646323583890954</v>
      </c>
      <c r="E99" s="132" t="n">
        <v>0.0138323583890954</v>
      </c>
      <c r="F99" s="132" t="n">
        <v>0.15</v>
      </c>
      <c r="G99" s="351" t="s">
        <v>548</v>
      </c>
    </row>
    <row r="100" customFormat="false" ht="15" hidden="false" customHeight="false" outlineLevel="0" collapsed="false">
      <c r="A100" s="351" t="s">
        <v>667</v>
      </c>
      <c r="B100" s="129" t="s">
        <v>584</v>
      </c>
      <c r="C100" s="159" t="n">
        <v>0.0666942260981072</v>
      </c>
      <c r="D100" s="352" t="n">
        <v>0.125785942846149</v>
      </c>
      <c r="E100" s="132" t="n">
        <v>0.0749859428461489</v>
      </c>
      <c r="F100" s="132" t="n">
        <v>0.15</v>
      </c>
      <c r="G100" s="351" t="s">
        <v>545</v>
      </c>
    </row>
    <row r="101" customFormat="false" ht="15" hidden="false" customHeight="false" outlineLevel="0" collapsed="false">
      <c r="A101" s="351" t="s">
        <v>668</v>
      </c>
      <c r="B101" s="353" t="s">
        <v>453</v>
      </c>
      <c r="C101" s="159" t="n">
        <v>0.123</v>
      </c>
      <c r="D101" s="354" t="n">
        <v>0.189091895860803</v>
      </c>
      <c r="E101" s="132" t="n">
        <v>0.138291895860803</v>
      </c>
      <c r="F101" s="363" t="n">
        <v>0.2821</v>
      </c>
      <c r="G101" s="351" t="s">
        <v>550</v>
      </c>
    </row>
    <row r="102" customFormat="false" ht="15" hidden="false" customHeight="false" outlineLevel="0" collapsed="false">
      <c r="A102" s="351" t="s">
        <v>669</v>
      </c>
      <c r="B102" s="353" t="s">
        <v>453</v>
      </c>
      <c r="C102" s="159" t="n">
        <v>0.0769</v>
      </c>
      <c r="D102" s="354" t="n">
        <v>0.137260543021917</v>
      </c>
      <c r="E102" s="132" t="n">
        <v>0.0864605430219168</v>
      </c>
      <c r="F102" s="355" t="n">
        <v>0.2</v>
      </c>
      <c r="G102" s="351" t="s">
        <v>550</v>
      </c>
    </row>
    <row r="103" customFormat="false" ht="15" hidden="false" customHeight="false" outlineLevel="0" collapsed="false">
      <c r="A103" s="351" t="s">
        <v>670</v>
      </c>
      <c r="B103" s="129" t="s">
        <v>565</v>
      </c>
      <c r="C103" s="159" t="n">
        <v>0</v>
      </c>
      <c r="D103" s="352" t="n">
        <v>0.0508</v>
      </c>
      <c r="E103" s="132" t="n">
        <v>0</v>
      </c>
      <c r="F103" s="132" t="n">
        <v>0.125</v>
      </c>
      <c r="G103" s="351" t="s">
        <v>553</v>
      </c>
    </row>
    <row r="104" customFormat="false" ht="15" hidden="false" customHeight="false" outlineLevel="0" collapsed="false">
      <c r="A104" s="351" t="s">
        <v>671</v>
      </c>
      <c r="B104" s="129" t="s">
        <v>615</v>
      </c>
      <c r="C104" s="159" t="n">
        <v>0.012302818406447</v>
      </c>
      <c r="D104" s="352" t="n">
        <v>0.0646323583890954</v>
      </c>
      <c r="E104" s="132" t="n">
        <v>0.0138323583890954</v>
      </c>
      <c r="F104" s="132" t="n">
        <v>0.15</v>
      </c>
      <c r="G104" s="351" t="s">
        <v>548</v>
      </c>
    </row>
    <row r="105" customFormat="false" ht="15" hidden="false" customHeight="false" outlineLevel="0" collapsed="false">
      <c r="A105" s="351" t="s">
        <v>672</v>
      </c>
      <c r="B105" s="129" t="s">
        <v>565</v>
      </c>
      <c r="C105" s="159" t="n">
        <v>0</v>
      </c>
      <c r="D105" s="352" t="n">
        <v>0.0508</v>
      </c>
      <c r="E105" s="132" t="n">
        <v>0</v>
      </c>
      <c r="F105" s="132" t="n">
        <v>0.2708</v>
      </c>
      <c r="G105" s="351" t="s">
        <v>553</v>
      </c>
    </row>
    <row r="106" customFormat="false" ht="15" hidden="false" customHeight="false" outlineLevel="0" collapsed="false">
      <c r="A106" s="351" t="s">
        <v>673</v>
      </c>
      <c r="B106" s="129" t="s">
        <v>582</v>
      </c>
      <c r="C106" s="159" t="n">
        <v>0.0061976604002402</v>
      </c>
      <c r="D106" s="352" t="n">
        <v>0.0577681805418751</v>
      </c>
      <c r="E106" s="132" t="n">
        <v>0.00696818054187514</v>
      </c>
      <c r="F106" s="132" t="n">
        <v>0.12</v>
      </c>
      <c r="G106" s="351" t="s">
        <v>576</v>
      </c>
    </row>
    <row r="107" customFormat="false" ht="15" hidden="false" customHeight="false" outlineLevel="0" collapsed="false">
      <c r="A107" s="351" t="s">
        <v>674</v>
      </c>
      <c r="B107" s="129" t="s">
        <v>575</v>
      </c>
      <c r="C107" s="159" t="n">
        <v>0.0369084552193409</v>
      </c>
      <c r="D107" s="352" t="n">
        <v>0.0922970751672863</v>
      </c>
      <c r="E107" s="132" t="n">
        <v>0.0414970751672863</v>
      </c>
      <c r="F107" s="132" t="n">
        <v>0.1</v>
      </c>
      <c r="G107" s="351" t="s">
        <v>548</v>
      </c>
    </row>
    <row r="108" customFormat="false" ht="15" hidden="false" customHeight="false" outlineLevel="0" collapsed="false">
      <c r="A108" s="351" t="s">
        <v>675</v>
      </c>
      <c r="B108" s="353" t="s">
        <v>453</v>
      </c>
      <c r="C108" s="159" t="n">
        <v>0.0564</v>
      </c>
      <c r="D108" s="354" t="n">
        <v>0.114211893711783</v>
      </c>
      <c r="E108" s="132" t="n">
        <v>0.063411893711783</v>
      </c>
      <c r="F108" s="363" t="n">
        <v>0.2</v>
      </c>
      <c r="G108" s="351" t="s">
        <v>550</v>
      </c>
    </row>
    <row r="109" customFormat="false" ht="15" hidden="false" customHeight="false" outlineLevel="0" collapsed="false">
      <c r="A109" s="351" t="s">
        <v>676</v>
      </c>
      <c r="B109" s="353" t="s">
        <v>453</v>
      </c>
      <c r="C109" s="159" t="n">
        <v>0.0769</v>
      </c>
      <c r="D109" s="354" t="n">
        <v>0.137260543021917</v>
      </c>
      <c r="E109" s="132" t="n">
        <v>0.0864605430219168</v>
      </c>
      <c r="F109" s="363" t="n">
        <v>0.3</v>
      </c>
      <c r="G109" s="351" t="s">
        <v>550</v>
      </c>
    </row>
    <row r="110" customFormat="false" ht="15" hidden="false" customHeight="false" outlineLevel="0" collapsed="false">
      <c r="A110" s="351" t="s">
        <v>677</v>
      </c>
      <c r="B110" s="129" t="s">
        <v>615</v>
      </c>
      <c r="C110" s="159" t="n">
        <v>0.012302818406447</v>
      </c>
      <c r="D110" s="352" t="n">
        <v>0.0646323583890954</v>
      </c>
      <c r="E110" s="132" t="n">
        <v>0.0138323583890954</v>
      </c>
      <c r="F110" s="132" t="n">
        <v>0.24</v>
      </c>
      <c r="G110" s="351" t="s">
        <v>576</v>
      </c>
    </row>
    <row r="111" customFormat="false" ht="15" hidden="false" customHeight="false" outlineLevel="0" collapsed="false">
      <c r="A111" s="351" t="s">
        <v>678</v>
      </c>
      <c r="B111" s="353" t="s">
        <v>453</v>
      </c>
      <c r="C111" s="159" t="n">
        <v>0.0769</v>
      </c>
      <c r="D111" s="354" t="n">
        <v>0.137260543021917</v>
      </c>
      <c r="E111" s="132" t="n">
        <v>0.0864605430219168</v>
      </c>
      <c r="F111" s="363" t="n">
        <v>0.2821</v>
      </c>
      <c r="G111" s="351" t="s">
        <v>550</v>
      </c>
    </row>
    <row r="112" customFormat="false" ht="15" hidden="false" customHeight="false" outlineLevel="0" collapsed="false">
      <c r="A112" s="351" t="s">
        <v>679</v>
      </c>
      <c r="B112" s="129" t="s">
        <v>615</v>
      </c>
      <c r="C112" s="159" t="n">
        <v>0.012302818406447</v>
      </c>
      <c r="D112" s="352" t="n">
        <v>0.0646323583890954</v>
      </c>
      <c r="E112" s="132" t="n">
        <v>0.0138323583890954</v>
      </c>
      <c r="F112" s="132" t="n">
        <v>0.35</v>
      </c>
      <c r="G112" s="351" t="s">
        <v>553</v>
      </c>
    </row>
    <row r="113" customFormat="false" ht="15" hidden="false" customHeight="false" outlineLevel="0" collapsed="false">
      <c r="A113" s="351" t="s">
        <v>680</v>
      </c>
      <c r="B113" s="129" t="s">
        <v>563</v>
      </c>
      <c r="C113" s="159" t="n">
        <v>0.0163729237439181</v>
      </c>
      <c r="D113" s="352" t="n">
        <v>0.0692084769539089</v>
      </c>
      <c r="E113" s="132" t="n">
        <v>0.0184084769539089</v>
      </c>
      <c r="F113" s="132" t="n">
        <v>0.15</v>
      </c>
      <c r="G113" s="351" t="s">
        <v>576</v>
      </c>
    </row>
    <row r="114" customFormat="false" ht="15" hidden="false" customHeight="false" outlineLevel="0" collapsed="false">
      <c r="A114" s="351" t="s">
        <v>681</v>
      </c>
      <c r="B114" s="129" t="s">
        <v>615</v>
      </c>
      <c r="C114" s="159" t="n">
        <v>0.012302818406447</v>
      </c>
      <c r="D114" s="352" t="n">
        <v>0.0646323583890954</v>
      </c>
      <c r="E114" s="132" t="n">
        <v>0.0138323583890954</v>
      </c>
      <c r="F114" s="132" t="n">
        <v>0.3</v>
      </c>
      <c r="G114" s="351" t="s">
        <v>560</v>
      </c>
    </row>
    <row r="115" customFormat="false" ht="15" hidden="false" customHeight="false" outlineLevel="0" collapsed="false">
      <c r="A115" s="351" t="s">
        <v>682</v>
      </c>
      <c r="B115" s="129" t="s">
        <v>584</v>
      </c>
      <c r="C115" s="159" t="n">
        <v>0.0666942260981072</v>
      </c>
      <c r="D115" s="352" t="n">
        <v>0.125785942846149</v>
      </c>
      <c r="E115" s="132" t="n">
        <v>0.0749859428461489</v>
      </c>
      <c r="F115" s="132" t="n">
        <v>0.12</v>
      </c>
      <c r="G115" s="351" t="s">
        <v>548</v>
      </c>
    </row>
    <row r="116" customFormat="false" ht="15" hidden="false" customHeight="false" outlineLevel="0" collapsed="false">
      <c r="A116" s="351" t="s">
        <v>683</v>
      </c>
      <c r="B116" s="129" t="s">
        <v>580</v>
      </c>
      <c r="C116" s="159" t="n">
        <v>0.0768694894417852</v>
      </c>
      <c r="D116" s="352" t="n">
        <v>0.137226239258183</v>
      </c>
      <c r="E116" s="132" t="n">
        <v>0.0864262392581827</v>
      </c>
      <c r="F116" s="132" t="n">
        <v>0.25</v>
      </c>
      <c r="G116" s="351" t="s">
        <v>576</v>
      </c>
    </row>
    <row r="117" customFormat="false" ht="15" hidden="false" customHeight="false" outlineLevel="0" collapsed="false">
      <c r="A117" s="351" t="s">
        <v>684</v>
      </c>
      <c r="B117" s="129" t="s">
        <v>547</v>
      </c>
      <c r="C117" s="159" t="n">
        <v>0.0461586946226845</v>
      </c>
      <c r="D117" s="352" t="n">
        <v>0.102697344632772</v>
      </c>
      <c r="E117" s="132" t="n">
        <v>0.0518973446327716</v>
      </c>
      <c r="F117" s="132" t="n">
        <v>0.09</v>
      </c>
      <c r="G117" s="351" t="s">
        <v>548</v>
      </c>
    </row>
    <row r="118" customFormat="false" ht="15" hidden="false" customHeight="false" outlineLevel="0" collapsed="false">
      <c r="A118" s="351" t="s">
        <v>685</v>
      </c>
      <c r="B118" s="129" t="s">
        <v>572</v>
      </c>
      <c r="C118" s="159" t="n">
        <v>0.0225705841441583</v>
      </c>
      <c r="D118" s="352" t="n">
        <v>0.0761766574957841</v>
      </c>
      <c r="E118" s="132" t="n">
        <v>0.0253766574957841</v>
      </c>
      <c r="F118" s="132" t="n">
        <v>0.2798</v>
      </c>
      <c r="G118" s="351" t="s">
        <v>557</v>
      </c>
    </row>
    <row r="119" customFormat="false" ht="15" hidden="false" customHeight="false" outlineLevel="0" collapsed="false">
      <c r="A119" s="351" t="s">
        <v>686</v>
      </c>
      <c r="B119" s="129" t="s">
        <v>637</v>
      </c>
      <c r="C119" s="159" t="n">
        <v>0.0256231631472617</v>
      </c>
      <c r="D119" s="352" t="n">
        <v>0.0796087464193942</v>
      </c>
      <c r="E119" s="132" t="n">
        <v>0.0288087464193942</v>
      </c>
      <c r="F119" s="132" t="n">
        <v>0.31</v>
      </c>
      <c r="G119" s="351" t="s">
        <v>550</v>
      </c>
    </row>
    <row r="120" customFormat="false" ht="15" hidden="false" customHeight="false" outlineLevel="0" collapsed="false">
      <c r="A120" s="351" t="s">
        <v>687</v>
      </c>
      <c r="B120" s="129" t="s">
        <v>578</v>
      </c>
      <c r="C120" s="159" t="n">
        <v>0.102492652589047</v>
      </c>
      <c r="D120" s="352" t="n">
        <v>0.166034985677577</v>
      </c>
      <c r="E120" s="132" t="n">
        <v>0.115234985677577</v>
      </c>
      <c r="F120" s="132" t="n">
        <v>0.32</v>
      </c>
      <c r="G120" s="351" t="s">
        <v>550</v>
      </c>
    </row>
    <row r="121" customFormat="false" ht="15" hidden="false" customHeight="false" outlineLevel="0" collapsed="false">
      <c r="A121" s="351" t="s">
        <v>688</v>
      </c>
      <c r="B121" s="353" t="s">
        <v>453</v>
      </c>
      <c r="C121" s="159" t="n">
        <v>0.0667</v>
      </c>
      <c r="D121" s="354" t="n">
        <v>0.125792434584679</v>
      </c>
      <c r="E121" s="132" t="n">
        <v>0.0749924345846795</v>
      </c>
      <c r="F121" s="363" t="n">
        <v>0.25</v>
      </c>
      <c r="G121" s="351" t="s">
        <v>576</v>
      </c>
    </row>
    <row r="122" customFormat="false" ht="15" hidden="false" customHeight="false" outlineLevel="0" collapsed="false">
      <c r="A122" s="351" t="s">
        <v>689</v>
      </c>
      <c r="B122" s="129" t="s">
        <v>637</v>
      </c>
      <c r="C122" s="159" t="n">
        <v>0.0256231631472617</v>
      </c>
      <c r="D122" s="352" t="n">
        <v>0.0796087464193942</v>
      </c>
      <c r="E122" s="132" t="n">
        <v>0.0288087464193942</v>
      </c>
      <c r="F122" s="132" t="n">
        <v>0.32</v>
      </c>
      <c r="G122" s="351" t="s">
        <v>550</v>
      </c>
    </row>
    <row r="123" customFormat="false" ht="15" hidden="false" customHeight="false" outlineLevel="0" collapsed="false">
      <c r="A123" s="351" t="s">
        <v>690</v>
      </c>
      <c r="B123" s="129" t="s">
        <v>565</v>
      </c>
      <c r="C123" s="159" t="n">
        <v>0</v>
      </c>
      <c r="D123" s="352" t="n">
        <v>0.0508</v>
      </c>
      <c r="E123" s="132" t="n">
        <v>0</v>
      </c>
      <c r="F123" s="132" t="n">
        <v>0.25</v>
      </c>
      <c r="G123" s="351" t="s">
        <v>553</v>
      </c>
    </row>
    <row r="124" customFormat="false" ht="15" hidden="false" customHeight="false" outlineLevel="0" collapsed="false">
      <c r="A124" s="357" t="s">
        <v>691</v>
      </c>
      <c r="B124" s="358" t="s">
        <v>453</v>
      </c>
      <c r="C124" s="359" t="n">
        <v>0.0561359505272804</v>
      </c>
      <c r="D124" s="359" t="n">
        <v>0.113915016458259</v>
      </c>
      <c r="E124" s="359" t="n">
        <v>0.063115016458259</v>
      </c>
      <c r="F124" s="359" t="n">
        <v>0.24024843485036</v>
      </c>
      <c r="G124" s="360" t="s">
        <v>557</v>
      </c>
    </row>
    <row r="125" customFormat="false" ht="15" hidden="false" customHeight="false" outlineLevel="0" collapsed="false">
      <c r="A125" s="351" t="s">
        <v>692</v>
      </c>
      <c r="B125" s="129" t="s">
        <v>565</v>
      </c>
      <c r="C125" s="159" t="n">
        <v>0</v>
      </c>
      <c r="D125" s="352" t="n">
        <v>0.0508</v>
      </c>
      <c r="E125" s="132" t="n">
        <v>0</v>
      </c>
      <c r="F125" s="132" t="n">
        <v>0.28</v>
      </c>
      <c r="G125" s="351" t="s">
        <v>566</v>
      </c>
    </row>
    <row r="126" customFormat="false" ht="15" hidden="false" customHeight="false" outlineLevel="0" collapsed="false">
      <c r="A126" s="351" t="s">
        <v>693</v>
      </c>
      <c r="B126" s="129" t="s">
        <v>555</v>
      </c>
      <c r="C126" s="159" t="n">
        <v>0.0564264603603958</v>
      </c>
      <c r="D126" s="352" t="n">
        <v>0.11424164373946</v>
      </c>
      <c r="E126" s="132" t="n">
        <v>0.0634416437394602</v>
      </c>
      <c r="F126" s="132" t="n">
        <v>0.3</v>
      </c>
      <c r="G126" s="351" t="s">
        <v>560</v>
      </c>
    </row>
    <row r="127" customFormat="false" ht="15" hidden="false" customHeight="false" outlineLevel="0" collapsed="false">
      <c r="A127" s="351" t="s">
        <v>694</v>
      </c>
      <c r="B127" s="353" t="s">
        <v>453</v>
      </c>
      <c r="C127" s="159" t="n">
        <v>0.123</v>
      </c>
      <c r="D127" s="354" t="n">
        <v>0.189091895860803</v>
      </c>
      <c r="E127" s="132" t="n">
        <v>0.138291895860803</v>
      </c>
      <c r="F127" s="363" t="n">
        <v>0.2821</v>
      </c>
      <c r="G127" s="351" t="s">
        <v>550</v>
      </c>
    </row>
    <row r="128" customFormat="false" ht="15" hidden="false" customHeight="false" outlineLevel="0" collapsed="false">
      <c r="A128" s="351" t="s">
        <v>695</v>
      </c>
      <c r="B128" s="129" t="s">
        <v>555</v>
      </c>
      <c r="C128" s="159" t="n">
        <v>0.0564264603603958</v>
      </c>
      <c r="D128" s="352" t="n">
        <v>0.11424164373946</v>
      </c>
      <c r="E128" s="132" t="n">
        <v>0.0634416437394602</v>
      </c>
      <c r="F128" s="132" t="n">
        <v>0.3</v>
      </c>
      <c r="G128" s="351" t="s">
        <v>550</v>
      </c>
    </row>
    <row r="129" customFormat="false" ht="15" hidden="false" customHeight="false" outlineLevel="0" collapsed="false">
      <c r="A129" s="351" t="s">
        <v>696</v>
      </c>
      <c r="B129" s="129" t="s">
        <v>565</v>
      </c>
      <c r="C129" s="159" t="n">
        <v>0</v>
      </c>
      <c r="D129" s="352" t="n">
        <v>0.0508</v>
      </c>
      <c r="E129" s="132" t="n">
        <v>0</v>
      </c>
      <c r="F129" s="132" t="n">
        <v>0.24</v>
      </c>
      <c r="G129" s="351" t="s">
        <v>553</v>
      </c>
    </row>
    <row r="130" customFormat="false" ht="15" hidden="false" customHeight="false" outlineLevel="0" collapsed="false">
      <c r="A130" s="351" t="s">
        <v>697</v>
      </c>
      <c r="B130" s="129" t="s">
        <v>552</v>
      </c>
      <c r="C130" s="159" t="n">
        <v>0.019518005141055</v>
      </c>
      <c r="D130" s="352" t="n">
        <v>0.0727445685721739</v>
      </c>
      <c r="E130" s="132" t="n">
        <v>0.0219445685721739</v>
      </c>
      <c r="F130" s="132" t="n">
        <v>0.15</v>
      </c>
      <c r="G130" s="351" t="s">
        <v>545</v>
      </c>
    </row>
    <row r="131" customFormat="false" ht="15" hidden="false" customHeight="false" outlineLevel="0" collapsed="false">
      <c r="A131" s="351" t="s">
        <v>698</v>
      </c>
      <c r="B131" s="129" t="s">
        <v>584</v>
      </c>
      <c r="C131" s="159" t="n">
        <v>0.0666942260981072</v>
      </c>
      <c r="D131" s="352" t="n">
        <v>0.125785942846149</v>
      </c>
      <c r="E131" s="132" t="n">
        <v>0.0749859428461489</v>
      </c>
      <c r="F131" s="132" t="n">
        <v>0.31</v>
      </c>
      <c r="G131" s="351" t="s">
        <v>576</v>
      </c>
    </row>
    <row r="132" customFormat="false" ht="15" hidden="false" customHeight="false" outlineLevel="0" collapsed="false">
      <c r="A132" s="372" t="s">
        <v>699</v>
      </c>
      <c r="B132" s="129" t="s">
        <v>453</v>
      </c>
      <c r="C132" s="128" t="n">
        <v>0.0142995152256935</v>
      </c>
      <c r="D132" s="128" t="n">
        <v>0.0668772932557039</v>
      </c>
      <c r="E132" s="128" t="n">
        <v>0.0160772932557039</v>
      </c>
      <c r="F132" s="128" t="n">
        <v>0.205625915550873</v>
      </c>
      <c r="G132" s="351" t="s">
        <v>545</v>
      </c>
    </row>
    <row r="133" customFormat="false" ht="15" hidden="false" customHeight="false" outlineLevel="0" collapsed="false">
      <c r="A133" s="351" t="s">
        <v>700</v>
      </c>
      <c r="B133" s="129" t="s">
        <v>552</v>
      </c>
      <c r="C133" s="159" t="n">
        <v>0.019518005141055</v>
      </c>
      <c r="D133" s="352" t="n">
        <v>0.0727445685721739</v>
      </c>
      <c r="E133" s="132" t="n">
        <v>0.0219445685721739</v>
      </c>
      <c r="F133" s="132" t="n">
        <v>0.25</v>
      </c>
      <c r="G133" s="351" t="s">
        <v>560</v>
      </c>
    </row>
    <row r="134" customFormat="false" ht="15" hidden="false" customHeight="false" outlineLevel="0" collapsed="false">
      <c r="A134" s="351" t="s">
        <v>701</v>
      </c>
      <c r="B134" s="129" t="s">
        <v>555</v>
      </c>
      <c r="C134" s="159" t="n">
        <v>0.0564264603603958</v>
      </c>
      <c r="D134" s="352" t="n">
        <v>0.11424164373946</v>
      </c>
      <c r="E134" s="132" t="n">
        <v>0.0634416437394602</v>
      </c>
      <c r="F134" s="132" t="n">
        <v>0.3</v>
      </c>
      <c r="G134" s="351" t="s">
        <v>576</v>
      </c>
    </row>
    <row r="135" customFormat="false" ht="15" hidden="false" customHeight="false" outlineLevel="0" collapsed="false">
      <c r="A135" s="351" t="s">
        <v>702</v>
      </c>
      <c r="B135" s="129" t="s">
        <v>637</v>
      </c>
      <c r="C135" s="159" t="n">
        <v>0.0256231631472617</v>
      </c>
      <c r="D135" s="352" t="n">
        <v>0.0796087464193942</v>
      </c>
      <c r="E135" s="132" t="n">
        <v>0.0288087464193942</v>
      </c>
      <c r="F135" s="132" t="n">
        <v>0.1</v>
      </c>
      <c r="G135" s="351" t="s">
        <v>560</v>
      </c>
    </row>
    <row r="136" customFormat="false" ht="15" hidden="false" customHeight="false" outlineLevel="0" collapsed="false">
      <c r="A136" s="351" t="s">
        <v>703</v>
      </c>
      <c r="B136" s="129" t="s">
        <v>615</v>
      </c>
      <c r="C136" s="159" t="n">
        <v>0.012302818406447</v>
      </c>
      <c r="D136" s="352" t="n">
        <v>0.0646323583890954</v>
      </c>
      <c r="E136" s="132" t="n">
        <v>0.0138323583890954</v>
      </c>
      <c r="F136" s="132" t="n">
        <v>0.295</v>
      </c>
      <c r="G136" s="351" t="s">
        <v>560</v>
      </c>
    </row>
    <row r="137" customFormat="false" ht="15" hidden="false" customHeight="false" outlineLevel="0" collapsed="false">
      <c r="A137" s="351" t="s">
        <v>704</v>
      </c>
      <c r="B137" s="129" t="s">
        <v>552</v>
      </c>
      <c r="C137" s="159" t="n">
        <v>0.019518005141055</v>
      </c>
      <c r="D137" s="352" t="n">
        <v>0.0727445685721739</v>
      </c>
      <c r="E137" s="132" t="n">
        <v>0.0219445685721739</v>
      </c>
      <c r="F137" s="132" t="n">
        <v>0.3</v>
      </c>
      <c r="G137" s="351" t="s">
        <v>576</v>
      </c>
    </row>
    <row r="138" customFormat="false" ht="15" hidden="false" customHeight="false" outlineLevel="0" collapsed="false">
      <c r="A138" s="351" t="s">
        <v>705</v>
      </c>
      <c r="B138" s="129" t="s">
        <v>587</v>
      </c>
      <c r="C138" s="159" t="n">
        <v>0.00869522503914297</v>
      </c>
      <c r="D138" s="352" t="n">
        <v>0.0605762532975562</v>
      </c>
      <c r="E138" s="132" t="n">
        <v>0.00977625329755616</v>
      </c>
      <c r="F138" s="132" t="n">
        <v>0.19</v>
      </c>
      <c r="G138" s="351" t="s">
        <v>548</v>
      </c>
    </row>
    <row r="139" customFormat="false" ht="15" hidden="false" customHeight="false" outlineLevel="0" collapsed="false">
      <c r="A139" s="351" t="s">
        <v>706</v>
      </c>
      <c r="B139" s="129" t="s">
        <v>637</v>
      </c>
      <c r="C139" s="159" t="n">
        <v>0.0256231631472617</v>
      </c>
      <c r="D139" s="352" t="n">
        <v>0.0796087464193942</v>
      </c>
      <c r="E139" s="132" t="n">
        <v>0.0288087464193942</v>
      </c>
      <c r="F139" s="132" t="n">
        <v>0.21</v>
      </c>
      <c r="G139" s="351" t="s">
        <v>553</v>
      </c>
    </row>
    <row r="140" customFormat="false" ht="15" hidden="false" customHeight="false" outlineLevel="0" collapsed="false">
      <c r="A140" s="351" t="s">
        <v>707</v>
      </c>
      <c r="B140" s="129" t="s">
        <v>582</v>
      </c>
      <c r="C140" s="159" t="n">
        <v>0.0061976604002402</v>
      </c>
      <c r="D140" s="352" t="n">
        <v>0.0577681805418751</v>
      </c>
      <c r="E140" s="132" t="n">
        <v>0.00696818054187514</v>
      </c>
      <c r="F140" s="132" t="n">
        <v>0.1</v>
      </c>
      <c r="G140" s="351" t="s">
        <v>545</v>
      </c>
    </row>
    <row r="141" customFormat="false" ht="15" hidden="false" customHeight="false" outlineLevel="0" collapsed="false">
      <c r="A141" s="351" t="s">
        <v>708</v>
      </c>
      <c r="B141" s="129" t="s">
        <v>587</v>
      </c>
      <c r="C141" s="159" t="n">
        <v>0.00869522503914297</v>
      </c>
      <c r="D141" s="352" t="n">
        <v>0.0605762532975562</v>
      </c>
      <c r="E141" s="132" t="n">
        <v>0.00977625329755616</v>
      </c>
      <c r="F141" s="132" t="n">
        <v>0</v>
      </c>
      <c r="G141" s="351" t="s">
        <v>545</v>
      </c>
    </row>
    <row r="142" customFormat="false" ht="15" hidden="false" customHeight="false" outlineLevel="0" collapsed="false">
      <c r="A142" s="372" t="s">
        <v>709</v>
      </c>
      <c r="B142" s="129" t="s">
        <v>453</v>
      </c>
      <c r="C142" s="128" t="n">
        <v>0.048597450282649</v>
      </c>
      <c r="D142" s="128" t="n">
        <v>0.104724928047051</v>
      </c>
      <c r="E142" s="128" t="n">
        <v>0.054639297021046</v>
      </c>
      <c r="F142" s="128" t="n">
        <v>0.27613666030122</v>
      </c>
      <c r="G142" s="351" t="s">
        <v>550</v>
      </c>
    </row>
    <row r="143" customFormat="false" ht="15" hidden="false" customHeight="false" outlineLevel="0" collapsed="false">
      <c r="A143" s="351" t="s">
        <v>710</v>
      </c>
      <c r="B143" s="129" t="s">
        <v>572</v>
      </c>
      <c r="C143" s="159" t="n">
        <v>0.0225705841441583</v>
      </c>
      <c r="D143" s="352" t="n">
        <v>0.0761766574957841</v>
      </c>
      <c r="E143" s="132" t="n">
        <v>0.0253766574957841</v>
      </c>
      <c r="F143" s="132" t="n">
        <v>0.16</v>
      </c>
      <c r="G143" s="351" t="s">
        <v>548</v>
      </c>
    </row>
    <row r="144" customFormat="false" ht="15" hidden="false" customHeight="false" outlineLevel="0" collapsed="false">
      <c r="A144" s="351" t="s">
        <v>711</v>
      </c>
      <c r="B144" s="129" t="s">
        <v>637</v>
      </c>
      <c r="C144" s="159" t="n">
        <v>0.0256231631472617</v>
      </c>
      <c r="D144" s="352" t="n">
        <v>0.0796087464193942</v>
      </c>
      <c r="E144" s="132" t="n">
        <v>0.0288087464193942</v>
      </c>
      <c r="F144" s="132" t="n">
        <v>0.2</v>
      </c>
      <c r="G144" s="351" t="s">
        <v>548</v>
      </c>
    </row>
    <row r="145" customFormat="false" ht="15" hidden="false" customHeight="false" outlineLevel="0" collapsed="false">
      <c r="A145" s="351" t="s">
        <v>712</v>
      </c>
      <c r="B145" s="129" t="s">
        <v>555</v>
      </c>
      <c r="C145" s="159" t="n">
        <v>0.0564264603603958</v>
      </c>
      <c r="D145" s="352" t="n">
        <v>0.11424164373946</v>
      </c>
      <c r="E145" s="132" t="n">
        <v>0.0634416437394602</v>
      </c>
      <c r="F145" s="132" t="n">
        <v>0.3</v>
      </c>
      <c r="G145" s="351" t="s">
        <v>550</v>
      </c>
    </row>
    <row r="146" customFormat="false" ht="15" hidden="false" customHeight="false" outlineLevel="0" collapsed="false">
      <c r="A146" s="362" t="s">
        <v>713</v>
      </c>
      <c r="B146" s="129" t="s">
        <v>453</v>
      </c>
      <c r="C146" s="128" t="n">
        <v>0.0561359505272804</v>
      </c>
      <c r="D146" s="128" t="n">
        <v>0.113915016458259</v>
      </c>
      <c r="E146" s="128" t="n">
        <v>0.063115016458259</v>
      </c>
      <c r="F146" s="128" t="n">
        <v>0.24024843485036</v>
      </c>
      <c r="G146" s="351" t="s">
        <v>557</v>
      </c>
    </row>
    <row r="147" customFormat="false" ht="15" hidden="false" customHeight="false" outlineLevel="0" collapsed="false">
      <c r="A147" s="351" t="s">
        <v>714</v>
      </c>
      <c r="B147" s="129" t="s">
        <v>605</v>
      </c>
      <c r="C147" s="159" t="n">
        <v>0.00721518673460799</v>
      </c>
      <c r="D147" s="352" t="n">
        <v>0.0589122101830785</v>
      </c>
      <c r="E147" s="132" t="n">
        <v>0.00811221018307852</v>
      </c>
      <c r="F147" s="132" t="n">
        <v>0.2</v>
      </c>
      <c r="G147" s="351" t="s">
        <v>545</v>
      </c>
    </row>
    <row r="148" customFormat="false" ht="15" hidden="false" customHeight="false" outlineLevel="0" collapsed="false">
      <c r="A148" s="351" t="s">
        <v>715</v>
      </c>
      <c r="B148" s="129" t="s">
        <v>575</v>
      </c>
      <c r="C148" s="159" t="n">
        <v>0.0369084552193409</v>
      </c>
      <c r="D148" s="352" t="n">
        <v>0.0922970751672863</v>
      </c>
      <c r="E148" s="132" t="n">
        <v>0.0414970751672863</v>
      </c>
      <c r="F148" s="132" t="n">
        <v>0.3</v>
      </c>
      <c r="G148" s="351" t="s">
        <v>550</v>
      </c>
    </row>
    <row r="149" customFormat="false" ht="15" hidden="false" customHeight="false" outlineLevel="0" collapsed="false">
      <c r="A149" s="351" t="s">
        <v>716</v>
      </c>
      <c r="B149" s="129" t="s">
        <v>575</v>
      </c>
      <c r="C149" s="159" t="n">
        <v>0.0369084552193409</v>
      </c>
      <c r="D149" s="352" t="n">
        <v>0.0922970751672863</v>
      </c>
      <c r="E149" s="132" t="n">
        <v>0.0414970751672863</v>
      </c>
      <c r="F149" s="132" t="n">
        <v>0.15</v>
      </c>
      <c r="G149" s="351" t="s">
        <v>548</v>
      </c>
    </row>
    <row r="150" customFormat="false" ht="15" hidden="false" customHeight="false" outlineLevel="0" collapsed="false">
      <c r="A150" s="351" t="s">
        <v>717</v>
      </c>
      <c r="B150" s="129" t="s">
        <v>615</v>
      </c>
      <c r="C150" s="159" t="n">
        <v>0.012302818406447</v>
      </c>
      <c r="D150" s="352" t="n">
        <v>0.0646323583890954</v>
      </c>
      <c r="E150" s="132" t="n">
        <v>0.0138323583890954</v>
      </c>
      <c r="F150" s="132" t="n">
        <v>0</v>
      </c>
      <c r="G150" s="351" t="s">
        <v>545</v>
      </c>
    </row>
    <row r="151" customFormat="false" ht="15" hidden="false" customHeight="false" outlineLevel="0" collapsed="false">
      <c r="A151" s="351" t="s">
        <v>718</v>
      </c>
      <c r="B151" s="353" t="s">
        <v>453</v>
      </c>
      <c r="C151" s="159" t="n">
        <v>0.123</v>
      </c>
      <c r="D151" s="354" t="n">
        <v>0.189091895860803</v>
      </c>
      <c r="E151" s="132" t="n">
        <v>0.138291895860803</v>
      </c>
      <c r="F151" s="363" t="n">
        <v>0.3</v>
      </c>
      <c r="G151" s="351" t="s">
        <v>550</v>
      </c>
    </row>
    <row r="152" customFormat="false" ht="15" hidden="false" customHeight="false" outlineLevel="0" collapsed="false">
      <c r="A152" s="351" t="s">
        <v>719</v>
      </c>
      <c r="B152" s="129" t="s">
        <v>565</v>
      </c>
      <c r="C152" s="159" t="n">
        <v>0</v>
      </c>
      <c r="D152" s="352" t="n">
        <v>0.0508</v>
      </c>
      <c r="E152" s="132" t="n">
        <v>0</v>
      </c>
      <c r="F152" s="132" t="n">
        <v>0.17</v>
      </c>
      <c r="G152" s="351" t="s">
        <v>576</v>
      </c>
    </row>
    <row r="153" customFormat="false" ht="15" hidden="false" customHeight="false" outlineLevel="0" collapsed="false">
      <c r="A153" s="351" t="s">
        <v>720</v>
      </c>
      <c r="B153" s="129" t="s">
        <v>587</v>
      </c>
      <c r="C153" s="159" t="n">
        <v>0.00869522503914297</v>
      </c>
      <c r="D153" s="352" t="n">
        <v>0.0605762532975562</v>
      </c>
      <c r="E153" s="132" t="n">
        <v>0.00977625329755616</v>
      </c>
      <c r="F153" s="132" t="n">
        <v>0.21</v>
      </c>
      <c r="G153" s="351" t="s">
        <v>548</v>
      </c>
    </row>
    <row r="154" customFormat="false" ht="15" hidden="false" customHeight="false" outlineLevel="0" collapsed="false">
      <c r="A154" s="351" t="s">
        <v>721</v>
      </c>
      <c r="B154" s="129" t="s">
        <v>563</v>
      </c>
      <c r="C154" s="159" t="n">
        <v>0.0163729237439181</v>
      </c>
      <c r="D154" s="352" t="n">
        <v>0.0692084769539089</v>
      </c>
      <c r="E154" s="132" t="n">
        <v>0.0184084769539089</v>
      </c>
      <c r="F154" s="132" t="n">
        <v>0.19</v>
      </c>
      <c r="G154" s="351" t="s">
        <v>548</v>
      </c>
    </row>
    <row r="155" customFormat="false" ht="15" hidden="false" customHeight="false" outlineLevel="0" collapsed="false">
      <c r="A155" s="362" t="s">
        <v>722</v>
      </c>
      <c r="B155" s="129" t="s">
        <v>453</v>
      </c>
      <c r="C155" s="128" t="n">
        <v>0.0105820888031187</v>
      </c>
      <c r="D155" s="128" t="n">
        <v>0.0626977001849648</v>
      </c>
      <c r="E155" s="128" t="n">
        <v>0.0118977001849648</v>
      </c>
      <c r="F155" s="128" t="n">
        <v>0.259289347790309</v>
      </c>
      <c r="G155" s="351" t="s">
        <v>576</v>
      </c>
    </row>
    <row r="156" customFormat="false" ht="15" hidden="false" customHeight="false" outlineLevel="0" collapsed="false">
      <c r="A156" s="351" t="s">
        <v>723</v>
      </c>
      <c r="B156" s="353" t="s">
        <v>453</v>
      </c>
      <c r="C156" s="159" t="n">
        <v>0.123</v>
      </c>
      <c r="D156" s="354" t="n">
        <v>0.189091895860803</v>
      </c>
      <c r="E156" s="132" t="n">
        <v>0.138291895860803</v>
      </c>
      <c r="F156" s="363" t="n">
        <v>0.2</v>
      </c>
      <c r="G156" s="351" t="s">
        <v>550</v>
      </c>
    </row>
    <row r="157" customFormat="false" ht="15" hidden="false" customHeight="false" outlineLevel="0" collapsed="false">
      <c r="A157" s="351" t="s">
        <v>724</v>
      </c>
      <c r="B157" s="129" t="s">
        <v>572</v>
      </c>
      <c r="C157" s="159" t="n">
        <v>0.0225705841441583</v>
      </c>
      <c r="D157" s="352" t="n">
        <v>0.0761766574957841</v>
      </c>
      <c r="E157" s="132" t="n">
        <v>0.0253766574957841</v>
      </c>
      <c r="F157" s="132" t="n">
        <v>0.28</v>
      </c>
      <c r="G157" s="351" t="s">
        <v>550</v>
      </c>
    </row>
    <row r="158" customFormat="false" ht="15" hidden="false" customHeight="false" outlineLevel="0" collapsed="false">
      <c r="A158" s="351" t="s">
        <v>725</v>
      </c>
      <c r="B158" s="129" t="s">
        <v>552</v>
      </c>
      <c r="C158" s="159" t="n">
        <v>0.019518005141055</v>
      </c>
      <c r="D158" s="352" t="n">
        <v>0.0727445685721739</v>
      </c>
      <c r="E158" s="132" t="n">
        <v>0.0219445685721739</v>
      </c>
      <c r="F158" s="132" t="n">
        <v>0.25</v>
      </c>
      <c r="G158" s="351" t="s">
        <v>553</v>
      </c>
    </row>
    <row r="159" customFormat="false" ht="15" hidden="false" customHeight="false" outlineLevel="0" collapsed="false">
      <c r="A159" s="351" t="s">
        <v>726</v>
      </c>
      <c r="B159" s="129" t="s">
        <v>547</v>
      </c>
      <c r="C159" s="159" t="n">
        <v>0.0461586946226845</v>
      </c>
      <c r="D159" s="352" t="n">
        <v>0.102697344632772</v>
      </c>
      <c r="E159" s="132" t="n">
        <v>0.0518973446327716</v>
      </c>
      <c r="F159" s="132" t="n">
        <v>0.28</v>
      </c>
      <c r="G159" s="351" t="s">
        <v>576</v>
      </c>
    </row>
    <row r="160" customFormat="false" ht="15" hidden="false" customHeight="false" outlineLevel="0" collapsed="false">
      <c r="A160" s="351" t="s">
        <v>727</v>
      </c>
      <c r="B160" s="129" t="s">
        <v>552</v>
      </c>
      <c r="C160" s="159" t="n">
        <v>0.019518005141055</v>
      </c>
      <c r="D160" s="352" t="n">
        <v>0.0727445685721739</v>
      </c>
      <c r="E160" s="132" t="n">
        <v>0.0219445685721739</v>
      </c>
      <c r="F160" s="132" t="n">
        <v>0.345</v>
      </c>
      <c r="G160" s="351" t="s">
        <v>557</v>
      </c>
    </row>
    <row r="161" customFormat="false" ht="15" hidden="false" customHeight="false" outlineLevel="0" collapsed="false">
      <c r="A161" s="351" t="s">
        <v>728</v>
      </c>
      <c r="B161" s="129" t="s">
        <v>584</v>
      </c>
      <c r="C161" s="159" t="n">
        <v>0.0666942260981072</v>
      </c>
      <c r="D161" s="352" t="n">
        <v>0.125785942846149</v>
      </c>
      <c r="E161" s="132" t="n">
        <v>0.0749859428461489</v>
      </c>
      <c r="F161" s="132" t="n">
        <v>0.2798</v>
      </c>
      <c r="G161" s="351" t="s">
        <v>557</v>
      </c>
    </row>
    <row r="162" customFormat="false" ht="15" hidden="false" customHeight="false" outlineLevel="0" collapsed="false">
      <c r="A162" s="351" t="s">
        <v>729</v>
      </c>
      <c r="B162" s="353" t="s">
        <v>453</v>
      </c>
      <c r="C162" s="159" t="n">
        <v>0.18</v>
      </c>
      <c r="D162" s="354" t="n">
        <v>0.253178384186541</v>
      </c>
      <c r="E162" s="132" t="n">
        <v>0.202378384186541</v>
      </c>
      <c r="F162" s="363" t="n">
        <v>0.35</v>
      </c>
      <c r="G162" s="351" t="s">
        <v>550</v>
      </c>
    </row>
    <row r="163" customFormat="false" ht="15" hidden="false" customHeight="false" outlineLevel="0" collapsed="false">
      <c r="A163" s="351" t="s">
        <v>730</v>
      </c>
      <c r="B163" s="129" t="s">
        <v>547</v>
      </c>
      <c r="C163" s="159" t="n">
        <v>0.0461586946226845</v>
      </c>
      <c r="D163" s="352" t="n">
        <v>0.102697344632772</v>
      </c>
      <c r="E163" s="132" t="n">
        <v>0.0518973446327716</v>
      </c>
      <c r="F163" s="132" t="n">
        <v>0.36</v>
      </c>
      <c r="G163" s="351" t="s">
        <v>560</v>
      </c>
    </row>
    <row r="164" customFormat="false" ht="15" hidden="false" customHeight="false" outlineLevel="0" collapsed="false">
      <c r="A164" s="351" t="s">
        <v>731</v>
      </c>
      <c r="B164" s="373" t="s">
        <v>555</v>
      </c>
      <c r="C164" s="159" t="n">
        <v>0</v>
      </c>
      <c r="D164" s="374" t="n">
        <v>0.0508</v>
      </c>
      <c r="E164" s="375" t="n">
        <v>0</v>
      </c>
      <c r="F164" s="128" t="n">
        <v>0.275</v>
      </c>
      <c r="G164" s="376" t="s">
        <v>550</v>
      </c>
    </row>
    <row r="165" customFormat="false" ht="15" hidden="false" customHeight="false" outlineLevel="0" collapsed="false">
      <c r="A165" s="351" t="s">
        <v>732</v>
      </c>
      <c r="B165" s="373" t="s">
        <v>565</v>
      </c>
      <c r="C165" s="159" t="n">
        <v>0</v>
      </c>
      <c r="D165" s="374" t="n">
        <v>0.0508</v>
      </c>
      <c r="E165" s="375" t="n">
        <v>0</v>
      </c>
      <c r="F165" s="128" t="n">
        <v>0.22</v>
      </c>
      <c r="G165" s="376" t="s">
        <v>553</v>
      </c>
    </row>
    <row r="166" customFormat="false" ht="15" hidden="false" customHeight="false" outlineLevel="0" collapsed="false">
      <c r="A166" s="351" t="s">
        <v>733</v>
      </c>
      <c r="B166" s="373" t="s">
        <v>565</v>
      </c>
      <c r="C166" s="159" t="n">
        <v>0</v>
      </c>
      <c r="D166" s="374" t="n">
        <v>0.0508</v>
      </c>
      <c r="E166" s="375" t="n">
        <v>0</v>
      </c>
      <c r="F166" s="128" t="n">
        <v>0.1777</v>
      </c>
      <c r="G166" s="376" t="s">
        <v>553</v>
      </c>
    </row>
    <row r="167" customFormat="false" ht="15" hidden="false" customHeight="false" outlineLevel="0" collapsed="false">
      <c r="A167" s="351" t="s">
        <v>734</v>
      </c>
      <c r="B167" s="377" t="s">
        <v>453</v>
      </c>
      <c r="C167" s="159" t="n">
        <v>0.18</v>
      </c>
      <c r="D167" s="378" t="n">
        <v>0.253178384186541</v>
      </c>
      <c r="E167" s="379" t="n">
        <v>0.202378384186541</v>
      </c>
      <c r="F167" s="159" t="n">
        <v>0.28</v>
      </c>
      <c r="G167" s="376" t="s">
        <v>545</v>
      </c>
    </row>
    <row r="168" customFormat="false" ht="15" hidden="false" customHeight="false" outlineLevel="0" collapsed="false">
      <c r="A168" s="351" t="s">
        <v>735</v>
      </c>
      <c r="B168" s="373" t="s">
        <v>582</v>
      </c>
      <c r="C168" s="159" t="n">
        <v>0.0061976604002402</v>
      </c>
      <c r="D168" s="374" t="n">
        <v>0.0577681805418751</v>
      </c>
      <c r="E168" s="375" t="n">
        <v>0.00696818054187514</v>
      </c>
      <c r="F168" s="128" t="n">
        <v>0.17</v>
      </c>
      <c r="G168" s="376" t="s">
        <v>576</v>
      </c>
    </row>
    <row r="169" customFormat="false" ht="15" hidden="false" customHeight="false" outlineLevel="0" collapsed="false">
      <c r="A169" s="351" t="s">
        <v>736</v>
      </c>
      <c r="B169" s="373" t="s">
        <v>584</v>
      </c>
      <c r="C169" s="159" t="n">
        <v>0.0256231631472617</v>
      </c>
      <c r="D169" s="374" t="n">
        <v>0.0796087464193942</v>
      </c>
      <c r="E169" s="375" t="n">
        <v>0.0288087464193942</v>
      </c>
      <c r="F169" s="128" t="n">
        <v>0</v>
      </c>
      <c r="G169" s="174" t="s">
        <v>548</v>
      </c>
    </row>
    <row r="170" customFormat="false" ht="15" hidden="false" customHeight="false" outlineLevel="0" collapsed="false">
      <c r="A170" s="351" t="s">
        <v>737</v>
      </c>
      <c r="B170" s="377" t="s">
        <v>453</v>
      </c>
      <c r="C170" s="159" t="n">
        <v>0.0667</v>
      </c>
      <c r="D170" s="378" t="n">
        <v>0.125792434584679</v>
      </c>
      <c r="E170" s="379" t="n">
        <v>0.0749924345846795</v>
      </c>
      <c r="F170" s="159" t="n">
        <v>0.3</v>
      </c>
      <c r="G170" s="116" t="s">
        <v>550</v>
      </c>
    </row>
    <row r="171" customFormat="false" ht="15" hidden="false" customHeight="false" outlineLevel="0" collapsed="false">
      <c r="A171" s="351" t="s">
        <v>738</v>
      </c>
      <c r="B171" s="373" t="s">
        <v>563</v>
      </c>
      <c r="C171" s="159" t="n">
        <v>0.0163729237439181</v>
      </c>
      <c r="D171" s="374" t="n">
        <v>0.0692084769539089</v>
      </c>
      <c r="E171" s="375" t="n">
        <v>0.0184084769539089</v>
      </c>
      <c r="F171" s="128" t="n">
        <v>0.2</v>
      </c>
      <c r="G171" s="174" t="s">
        <v>576</v>
      </c>
    </row>
    <row r="172" customFormat="false" ht="15" hidden="false" customHeight="false" outlineLevel="0" collapsed="false">
      <c r="A172" s="351" t="s">
        <v>739</v>
      </c>
      <c r="B172" s="377" t="s">
        <v>453</v>
      </c>
      <c r="C172" s="159" t="n">
        <v>0.0769</v>
      </c>
      <c r="D172" s="378" t="n">
        <v>0.137260543021917</v>
      </c>
      <c r="E172" s="379" t="n">
        <v>0.0864605430219168</v>
      </c>
      <c r="F172" s="159" t="n">
        <v>0.2867</v>
      </c>
      <c r="G172" s="116" t="s">
        <v>550</v>
      </c>
    </row>
    <row r="173" customFormat="false" ht="15" hidden="false" customHeight="false" outlineLevel="0" collapsed="false">
      <c r="A173" s="362" t="s">
        <v>740</v>
      </c>
      <c r="B173" s="373" t="s">
        <v>637</v>
      </c>
      <c r="C173" s="159" t="n">
        <v>0.0256231631472617</v>
      </c>
      <c r="D173" s="374" t="n">
        <v>0.0796087464193942</v>
      </c>
      <c r="E173" s="375" t="n">
        <v>0.0288087464193942</v>
      </c>
      <c r="F173" s="128" t="n">
        <v>0.25</v>
      </c>
      <c r="G173" s="174" t="s">
        <v>557</v>
      </c>
    </row>
    <row r="174" customFormat="false" ht="15" hidden="false" customHeight="false" outlineLevel="0" collapsed="false">
      <c r="A174" s="351" t="s">
        <v>741</v>
      </c>
      <c r="B174" s="373" t="s">
        <v>547</v>
      </c>
      <c r="C174" s="159" t="n">
        <v>0.0461586946226845</v>
      </c>
      <c r="D174" s="374" t="n">
        <v>0.102697344632772</v>
      </c>
      <c r="E174" s="375" t="n">
        <v>0.0518973446327716</v>
      </c>
      <c r="F174" s="128" t="n">
        <v>0.25</v>
      </c>
      <c r="G174" s="174" t="s">
        <v>550</v>
      </c>
    </row>
    <row r="175" customFormat="false" ht="15" hidden="false" customHeight="false" outlineLevel="0" collapsed="false">
      <c r="A175" s="351" t="s">
        <v>742</v>
      </c>
      <c r="B175" s="373" t="s">
        <v>637</v>
      </c>
      <c r="C175" s="159" t="n">
        <v>0.0256231631472617</v>
      </c>
      <c r="D175" s="374" t="n">
        <v>0.0796087464193942</v>
      </c>
      <c r="E175" s="375" t="n">
        <v>0.0288087464193942</v>
      </c>
      <c r="F175" s="128" t="n">
        <v>0.2</v>
      </c>
      <c r="G175" s="174" t="s">
        <v>553</v>
      </c>
    </row>
    <row r="176" customFormat="false" ht="15" hidden="false" customHeight="false" outlineLevel="0" collapsed="false">
      <c r="A176" s="362" t="s">
        <v>743</v>
      </c>
      <c r="B176" s="373" t="s">
        <v>563</v>
      </c>
      <c r="C176" s="159" t="n">
        <v>0.0163729237439181</v>
      </c>
      <c r="D176" s="374" t="n">
        <v>0.0692084769539089</v>
      </c>
      <c r="E176" s="375" t="n">
        <v>0.0184084769539089</v>
      </c>
      <c r="F176" s="128" t="n">
        <v>0</v>
      </c>
      <c r="G176" s="174" t="s">
        <v>557</v>
      </c>
    </row>
    <row r="177" customFormat="false" ht="15" hidden="false" customHeight="false" outlineLevel="0" collapsed="false">
      <c r="A177" s="351" t="s">
        <v>744</v>
      </c>
      <c r="B177" s="373" t="s">
        <v>555</v>
      </c>
      <c r="C177" s="159" t="n">
        <v>0.0564264603603958</v>
      </c>
      <c r="D177" s="374" t="n">
        <v>0.11424164373946</v>
      </c>
      <c r="E177" s="375" t="n">
        <v>0.0634416437394602</v>
      </c>
      <c r="F177" s="128" t="n">
        <v>0.3</v>
      </c>
      <c r="G177" s="174" t="s">
        <v>550</v>
      </c>
    </row>
    <row r="178" customFormat="false" ht="15" hidden="false" customHeight="false" outlineLevel="0" collapsed="false">
      <c r="A178" s="351" t="s">
        <v>745</v>
      </c>
      <c r="B178" s="373" t="s">
        <v>609</v>
      </c>
      <c r="C178" s="159" t="n">
        <v>0.092317389245369</v>
      </c>
      <c r="D178" s="374" t="n">
        <v>0.154594689265543</v>
      </c>
      <c r="E178" s="375" t="n">
        <v>0.103794689265543</v>
      </c>
      <c r="F178" s="128" t="n">
        <v>0.18</v>
      </c>
      <c r="G178" s="174" t="s">
        <v>548</v>
      </c>
    </row>
    <row r="179" customFormat="false" ht="15" hidden="false" customHeight="false" outlineLevel="0" collapsed="false">
      <c r="A179" s="351" t="s">
        <v>746</v>
      </c>
      <c r="B179" s="373" t="s">
        <v>544</v>
      </c>
      <c r="C179" s="159" t="n">
        <v>0.00508763167183897</v>
      </c>
      <c r="D179" s="374" t="n">
        <v>0.0565201482060169</v>
      </c>
      <c r="E179" s="375" t="n">
        <v>0.0057201482060169</v>
      </c>
      <c r="F179" s="128" t="n">
        <v>0.55</v>
      </c>
      <c r="G179" s="174" t="s">
        <v>545</v>
      </c>
    </row>
    <row r="180" customFormat="false" ht="15" hidden="false" customHeight="false" outlineLevel="0" collapsed="false">
      <c r="A180" s="351" t="s">
        <v>331</v>
      </c>
      <c r="B180" s="373" t="s">
        <v>544</v>
      </c>
      <c r="C180" s="159" t="n">
        <v>0.00508763167183897</v>
      </c>
      <c r="D180" s="374" t="n">
        <v>0.0565201482060169</v>
      </c>
      <c r="E180" s="375" t="n">
        <v>0.0057201482060169</v>
      </c>
      <c r="F180" s="128" t="n">
        <v>0.2</v>
      </c>
      <c r="G180" s="174" t="s">
        <v>553</v>
      </c>
    </row>
    <row r="181" customFormat="false" ht="15" hidden="false" customHeight="false" outlineLevel="0" collapsed="false">
      <c r="A181" s="351" t="s">
        <v>32</v>
      </c>
      <c r="B181" s="373" t="s">
        <v>565</v>
      </c>
      <c r="C181" s="159" t="n">
        <v>0</v>
      </c>
      <c r="D181" s="374" t="n">
        <v>0.0508</v>
      </c>
      <c r="E181" s="375" t="n">
        <v>0</v>
      </c>
      <c r="F181" s="128" t="n">
        <v>0.24</v>
      </c>
      <c r="G181" s="174" t="s">
        <v>599</v>
      </c>
    </row>
    <row r="182" customFormat="false" ht="15" hidden="false" customHeight="false" outlineLevel="0" collapsed="false">
      <c r="A182" s="351" t="s">
        <v>747</v>
      </c>
      <c r="B182" s="373" t="s">
        <v>552</v>
      </c>
      <c r="C182" s="159" t="n">
        <v>0.019518005141055</v>
      </c>
      <c r="D182" s="374" t="n">
        <v>0.0727445685721739</v>
      </c>
      <c r="E182" s="375" t="n">
        <v>0.0219445685721739</v>
      </c>
      <c r="F182" s="128" t="n">
        <v>0.25</v>
      </c>
      <c r="G182" s="174" t="s">
        <v>560</v>
      </c>
    </row>
    <row r="183" customFormat="false" ht="15" hidden="false" customHeight="false" outlineLevel="0" collapsed="false">
      <c r="A183" s="351" t="s">
        <v>748</v>
      </c>
      <c r="B183" s="373" t="s">
        <v>578</v>
      </c>
      <c r="C183" s="159" t="n">
        <v>0.102492652589047</v>
      </c>
      <c r="D183" s="374" t="n">
        <v>0.166034985677577</v>
      </c>
      <c r="E183" s="375" t="n">
        <v>0.115234985677577</v>
      </c>
      <c r="F183" s="128" t="n">
        <v>0.34</v>
      </c>
      <c r="G183" s="174" t="s">
        <v>560</v>
      </c>
    </row>
    <row r="184" customFormat="false" ht="15" hidden="false" customHeight="false" outlineLevel="0" collapsed="false">
      <c r="A184" s="351" t="s">
        <v>749</v>
      </c>
      <c r="B184" s="373" t="s">
        <v>547</v>
      </c>
      <c r="C184" s="159" t="n">
        <v>0.0461586946226845</v>
      </c>
      <c r="D184" s="374" t="n">
        <v>0.102697344632772</v>
      </c>
      <c r="E184" s="375" t="n">
        <v>0.0518973446327716</v>
      </c>
      <c r="F184" s="128" t="n">
        <v>0.2</v>
      </c>
      <c r="G184" s="174" t="s">
        <v>576</v>
      </c>
    </row>
    <row r="185" customFormat="false" ht="15" hidden="false" customHeight="false" outlineLevel="0" collapsed="false">
      <c r="A185" s="351" t="s">
        <v>750</v>
      </c>
      <c r="B185" s="377" t="s">
        <v>453</v>
      </c>
      <c r="C185" s="159" t="n">
        <v>0.18</v>
      </c>
      <c r="D185" s="378" t="n">
        <v>0.253178384186541</v>
      </c>
      <c r="E185" s="379" t="n">
        <v>0.202378384186541</v>
      </c>
      <c r="F185" s="159" t="n">
        <v>0.2</v>
      </c>
      <c r="G185" s="116" t="s">
        <v>550</v>
      </c>
    </row>
    <row r="186" customFormat="false" ht="15" hidden="false" customHeight="false" outlineLevel="0" collapsed="false">
      <c r="A186" s="351" t="s">
        <v>751</v>
      </c>
      <c r="B186" s="373" t="s">
        <v>584</v>
      </c>
      <c r="C186" s="159" t="n">
        <v>0.0666942260981072</v>
      </c>
      <c r="D186" s="374" t="n">
        <v>0.125785942846149</v>
      </c>
      <c r="E186" s="375" t="n">
        <v>0.0749859428461489</v>
      </c>
      <c r="F186" s="128" t="n">
        <v>0.35</v>
      </c>
      <c r="G186" s="174" t="s">
        <v>550</v>
      </c>
    </row>
    <row r="187" customFormat="false" ht="15" hidden="false" customHeight="false" outlineLevel="0" collapsed="false">
      <c r="A187" s="351" t="s">
        <v>752</v>
      </c>
      <c r="B187" s="377" t="s">
        <v>453</v>
      </c>
      <c r="C187" s="159" t="n">
        <v>0.0923</v>
      </c>
      <c r="D187" s="378" t="n">
        <v>0.154575138113432</v>
      </c>
      <c r="E187" s="379" t="n">
        <v>0.103775138113432</v>
      </c>
      <c r="F187" s="159" t="n">
        <v>0.25</v>
      </c>
      <c r="G187" s="116" t="s">
        <v>550</v>
      </c>
    </row>
    <row r="190" customFormat="false" ht="12" hidden="false" customHeight="false" outlineLevel="0" collapsed="false">
      <c r="A190" s="380"/>
      <c r="B190" s="381" t="s">
        <v>322</v>
      </c>
      <c r="C190" s="381" t="s">
        <v>753</v>
      </c>
      <c r="D190" s="381" t="s">
        <v>128</v>
      </c>
    </row>
    <row r="191" customFormat="false" ht="12" hidden="false" customHeight="false" outlineLevel="0" collapsed="false">
      <c r="A191" s="382" t="s">
        <v>754</v>
      </c>
      <c r="B191" s="383" t="n">
        <v>0.0810973573193416</v>
      </c>
      <c r="C191" s="383" t="n">
        <v>0.0269471679962358</v>
      </c>
      <c r="D191" s="383" t="n">
        <v>0.23255990978964</v>
      </c>
    </row>
    <row r="192" customFormat="false" ht="12" hidden="false" customHeight="false" outlineLevel="0" collapsed="false">
      <c r="A192" s="382" t="s">
        <v>755</v>
      </c>
      <c r="B192" s="383" t="n">
        <v>0.0508213236594338</v>
      </c>
      <c r="C192" s="383" t="n">
        <v>1.89657542405442E-005</v>
      </c>
      <c r="D192" s="383" t="n">
        <v>0.28027734502063</v>
      </c>
    </row>
    <row r="193" customFormat="false" ht="12" hidden="false" customHeight="false" outlineLevel="0" collapsed="false">
      <c r="A193" s="382" t="s">
        <v>756</v>
      </c>
      <c r="B193" s="383" t="n">
        <v>0.0875049409395326</v>
      </c>
      <c r="C193" s="383" t="n">
        <v>0.0200032939596884</v>
      </c>
      <c r="D193" s="383" t="n">
        <v>0.2715</v>
      </c>
    </row>
    <row r="194" customFormat="false" ht="12" hidden="false" customHeight="false" outlineLevel="0" collapsed="false">
      <c r="A194" s="382" t="s">
        <v>332</v>
      </c>
      <c r="B194" s="383" t="n">
        <v>0.0589122101830785</v>
      </c>
      <c r="C194" s="383" t="n">
        <v>0.00721518673460799</v>
      </c>
      <c r="D194" s="383" t="n">
        <v>0.3564</v>
      </c>
    </row>
    <row r="195" customFormat="false" ht="12" hidden="false" customHeight="false" outlineLevel="0" collapsed="false">
      <c r="A195" s="382" t="s">
        <v>757</v>
      </c>
      <c r="B195" s="383" t="n">
        <v>0.0508</v>
      </c>
      <c r="C195" s="383" t="n">
        <v>0</v>
      </c>
      <c r="D195" s="383" t="n">
        <v>0.4</v>
      </c>
    </row>
    <row r="196" customFormat="false" ht="12" hidden="false" customHeight="false" outlineLevel="0" collapsed="false">
      <c r="A196" s="382" t="s">
        <v>758</v>
      </c>
      <c r="B196" s="383" t="n">
        <v>0.0600581300256453</v>
      </c>
      <c r="C196" s="383" t="n">
        <v>0.00823439425764014</v>
      </c>
      <c r="D196" s="383" t="n">
        <v>0.3</v>
      </c>
    </row>
    <row r="197" customFormat="false" ht="12" hidden="false" customHeight="false" outlineLevel="0" collapsed="false">
      <c r="A197" s="382" t="s">
        <v>759</v>
      </c>
      <c r="B197" s="383" t="n">
        <v>0.0714100100784737</v>
      </c>
      <c r="C197" s="383" t="n">
        <v>0.00927334005231579</v>
      </c>
      <c r="D197" s="383" t="n">
        <v>0.25</v>
      </c>
    </row>
    <row r="198" customFormat="false" ht="12" hidden="false" customHeight="false" outlineLevel="0" collapsed="false">
      <c r="A198" s="382" t="s">
        <v>760</v>
      </c>
      <c r="B198" s="383" t="n">
        <v>0.0692637976574064</v>
      </c>
      <c r="C198" s="383" t="n">
        <v>0.00784253177160423</v>
      </c>
      <c r="D198" s="383" t="n">
        <v>0.2</v>
      </c>
    </row>
    <row r="199" customFormat="false" ht="12" hidden="false" customHeight="false" outlineLevel="0" collapsed="false">
      <c r="A199" s="382" t="s">
        <v>599</v>
      </c>
      <c r="B199" s="383" t="n">
        <v>0.0508</v>
      </c>
      <c r="C199" s="383" t="n">
        <v>0</v>
      </c>
      <c r="D199" s="383" t="n">
        <v>0.265</v>
      </c>
    </row>
    <row r="201" customFormat="false" ht="12" hidden="false" customHeight="false" outlineLevel="0" collapsed="false">
      <c r="A201" s="382" t="s">
        <v>761</v>
      </c>
      <c r="B201" s="383" t="n">
        <v>0.0621</v>
      </c>
      <c r="C201" s="383" t="n">
        <v>0.01</v>
      </c>
      <c r="D201" s="383"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38" width="16"/>
    <col collapsed="false" customWidth="true" hidden="false" outlineLevel="0" max="3" min="3" style="338" width="19.83"/>
    <col collapsed="false" customWidth="true" hidden="false" outlineLevel="0" max="4" min="4" style="338" width="22.17"/>
    <col collapsed="false" customWidth="true" hidden="false" outlineLevel="0" max="5" min="5" style="0" width="14.17"/>
  </cols>
  <sheetData>
    <row r="1" customFormat="false" ht="12" hidden="false" customHeight="false" outlineLevel="0" collapsed="false">
      <c r="B1" s="384" t="s">
        <v>36</v>
      </c>
      <c r="C1" s="384" t="s">
        <v>762</v>
      </c>
      <c r="D1" s="384" t="s">
        <v>763</v>
      </c>
      <c r="E1" s="385" t="s">
        <v>764</v>
      </c>
    </row>
    <row r="2" customFormat="false" ht="12.65" hidden="false" customHeight="false" outlineLevel="0" collapsed="false">
      <c r="A2" s="22" t="s">
        <v>38</v>
      </c>
      <c r="B2" s="386" t="n">
        <v>215639</v>
      </c>
      <c r="C2" s="386" t="n">
        <v>75872</v>
      </c>
      <c r="D2" s="386" t="n">
        <v>78351</v>
      </c>
      <c r="E2" s="387" t="n">
        <f aca="false">B2-C2+D2</f>
      </c>
    </row>
    <row r="3" customFormat="false" ht="12.65" hidden="false" customHeight="false" outlineLevel="0" collapsed="false">
      <c r="A3" s="22" t="s">
        <v>765</v>
      </c>
      <c r="B3" s="386" t="n">
        <v>10045</v>
      </c>
      <c r="C3" s="386" t="n">
        <v>2404</v>
      </c>
      <c r="D3" s="386" t="n">
        <v>2871</v>
      </c>
      <c r="E3" s="387" t="n">
        <f aca="false">B3-C3+D3</f>
      </c>
    </row>
    <row r="4" customFormat="false" ht="12.65" hidden="false" customHeight="false" outlineLevel="0" collapsed="false">
      <c r="A4" s="22" t="s">
        <v>39</v>
      </c>
      <c r="B4" s="386" t="n">
        <v>60024</v>
      </c>
      <c r="C4" s="386" t="n">
        <v>24171</v>
      </c>
      <c r="D4" s="386" t="n">
        <v>23359</v>
      </c>
      <c r="E4" s="387" t="n">
        <f aca="false">B4-C4+D4</f>
      </c>
    </row>
    <row r="5" customFormat="false" ht="12.65" hidden="false" customHeight="false" outlineLevel="0" collapsed="false">
      <c r="A5" s="22" t="s">
        <v>766</v>
      </c>
      <c r="B5" s="386" t="n">
        <v>1456</v>
      </c>
      <c r="C5" s="386" t="n">
        <v>276</v>
      </c>
      <c r="D5" s="386" t="n">
        <v>525</v>
      </c>
      <c r="E5" s="387" t="n">
        <f aca="false">B5-C5+D5</f>
      </c>
    </row>
    <row r="6" customFormat="false" ht="12.65" hidden="false" customHeight="false" outlineLevel="0" collapsed="false">
      <c r="A6" s="22" t="s">
        <v>41</v>
      </c>
      <c r="B6" s="386" t="n">
        <v>128249</v>
      </c>
      <c r="C6" s="386"/>
      <c r="D6" s="386" t="n">
        <v>132390</v>
      </c>
      <c r="E6" s="387"/>
    </row>
    <row r="7" customFormat="false" ht="12.65" hidden="false" customHeight="false" outlineLevel="0" collapsed="false">
      <c r="A7" s="22" t="s">
        <v>42</v>
      </c>
      <c r="B7" s="386" t="n">
        <f aca="false">75427+8105+3500</f>
      </c>
      <c r="C7" s="386"/>
      <c r="D7" s="386" t="n">
        <f aca="false">10493+3499+73557</f>
      </c>
      <c r="E7" s="387"/>
    </row>
    <row r="8" customFormat="false" ht="12.65" hidden="false" customHeight="false" outlineLevel="0" collapsed="false">
      <c r="A8" s="22" t="s">
        <v>46</v>
      </c>
      <c r="B8" s="386"/>
      <c r="C8" s="386"/>
      <c r="D8" s="386"/>
      <c r="E8" s="387"/>
    </row>
    <row r="9" customFormat="false" ht="12.65" hidden="false" customHeight="false" outlineLevel="0" collapsed="false">
      <c r="A9" s="22" t="s">
        <v>767</v>
      </c>
      <c r="B9" s="386" t="n">
        <f aca="false">20484+46671+170430</f>
      </c>
      <c r="C9" s="386"/>
      <c r="D9" s="386" t="n">
        <f aca="false">16371+44081+184638</f>
      </c>
      <c r="E9" s="387"/>
    </row>
    <row r="10" customFormat="false" ht="12.65" hidden="false" customHeight="false" outlineLevel="0" collapsed="false">
      <c r="A10" s="22" t="s">
        <v>768</v>
      </c>
      <c r="B10" s="386" t="n">
        <v>0</v>
      </c>
      <c r="C10" s="386"/>
      <c r="D10" s="386" t="n">
        <v>0</v>
      </c>
      <c r="E10" s="387"/>
    </row>
    <row r="11" customFormat="false" ht="12.65" hidden="false" customHeight="false" outlineLevel="0" collapsed="false">
      <c r="A11" s="22" t="s">
        <v>50</v>
      </c>
      <c r="B11" s="386" t="n">
        <v>0</v>
      </c>
      <c r="C11" s="386"/>
      <c r="D11" s="386" t="n">
        <v>0</v>
      </c>
      <c r="E11" s="387"/>
    </row>
    <row r="12" customFormat="false" ht="12.65" hidden="false" customHeight="false" outlineLevel="0" collapsed="false">
      <c r="A12" s="22" t="s">
        <v>51</v>
      </c>
      <c r="B12" s="386"/>
      <c r="C12" s="386"/>
      <c r="D12" s="386"/>
      <c r="E12" s="387"/>
    </row>
    <row r="13" customFormat="false" ht="12.65" hidden="false" customHeight="false" outlineLevel="0" collapsed="false">
      <c r="A13" s="22" t="s">
        <v>52</v>
      </c>
      <c r="B13" s="388"/>
      <c r="C13" s="386"/>
      <c r="D13" s="386"/>
      <c r="E13" s="387"/>
    </row>
    <row r="14" customFormat="false" ht="12.65" hidden="false" customHeight="false" outlineLevel="0" collapsed="false">
      <c r="A14" s="22" t="s">
        <v>54</v>
      </c>
      <c r="B14" s="389" t="n">
        <f aca="false">15885/61372</f>
      </c>
      <c r="C14" s="389" t="n">
        <f aca="false">6392/24416</f>
      </c>
      <c r="D14" s="389" t="n">
        <f aca="false">6289/24180</f>
      </c>
      <c r="E14" s="382"/>
    </row>
    <row r="15" customFormat="false" ht="12.65" hidden="false" customHeight="false" outlineLevel="0" collapsed="false">
      <c r="A15" s="22" t="s">
        <v>56</v>
      </c>
      <c r="B15" s="384"/>
      <c r="C15" s="384"/>
      <c r="D15" s="384"/>
      <c r="E15" s="382"/>
    </row>
    <row r="16" s="393" customFormat="true" ht="12.65" hidden="false" customHeight="false" outlineLevel="0" collapsed="false">
      <c r="A16" s="390" t="s">
        <v>769</v>
      </c>
      <c r="B16" s="391"/>
      <c r="C16" s="391"/>
      <c r="D16" s="391"/>
      <c r="E16" s="392"/>
    </row>
    <row r="17" customFormat="false" ht="12.65" hidden="false" customHeight="false" outlineLevel="0" collapsed="false">
      <c r="A17" s="34" t="s">
        <v>770</v>
      </c>
      <c r="B17" s="76" t="n">
        <v>929</v>
      </c>
      <c r="C17" s="394"/>
      <c r="D17" s="394" t="s">
        <v>453</v>
      </c>
      <c r="E17" s="395"/>
    </row>
    <row r="18" customFormat="false" ht="12.65" hidden="false" customHeight="true" outlineLevel="0" collapsed="false">
      <c r="A18" s="34" t="s">
        <v>771</v>
      </c>
      <c r="B18" s="76" t="n">
        <v>919</v>
      </c>
      <c r="C18" s="396" t="s">
        <v>772</v>
      </c>
      <c r="D18" s="394" t="s">
        <v>453</v>
      </c>
      <c r="E18" s="395"/>
    </row>
    <row r="19" customFormat="false" ht="12.65" hidden="false" customHeight="false" outlineLevel="0" collapsed="false">
      <c r="A19" s="34" t="s">
        <v>773</v>
      </c>
      <c r="B19" s="76" t="n">
        <v>915</v>
      </c>
      <c r="C19" s="396"/>
      <c r="D19" s="394" t="s">
        <v>453</v>
      </c>
      <c r="E19" s="395"/>
    </row>
    <row r="20" customFormat="false" ht="12.65" hidden="false" customHeight="false" outlineLevel="0" collapsed="false">
      <c r="A20" s="34" t="s">
        <v>774</v>
      </c>
      <c r="B20" s="76" t="n">
        <v>889</v>
      </c>
      <c r="C20" s="396"/>
      <c r="D20" s="394" t="s">
        <v>453</v>
      </c>
      <c r="E20" s="395"/>
    </row>
    <row r="21" customFormat="false" ht="12.65" hidden="false" customHeight="false" outlineLevel="0" collapsed="false">
      <c r="A21" s="34" t="s">
        <v>775</v>
      </c>
      <c r="B21" s="76" t="n">
        <v>836</v>
      </c>
      <c r="C21" s="396"/>
      <c r="D21" s="394" t="s">
        <v>453</v>
      </c>
      <c r="E21" s="395"/>
    </row>
    <row r="22" customFormat="false" ht="12.65" hidden="false" customHeight="false" outlineLevel="0" collapsed="false">
      <c r="A22" s="34" t="s">
        <v>776</v>
      </c>
      <c r="B22" s="76" t="n">
        <v>3139</v>
      </c>
      <c r="C22" s="396"/>
      <c r="D22" s="394" t="s">
        <v>453</v>
      </c>
      <c r="E22" s="395"/>
    </row>
    <row r="23" customFormat="false" ht="12" hidden="false" customHeight="false" outlineLevel="0" collapsed="false">
      <c r="B23" s="76"/>
      <c r="C23" s="396"/>
    </row>
    <row r="25" customFormat="false" ht="12.65" hidden="false" customHeight="false" outlineLevel="0" collapsed="false">
      <c r="A25" s="34" t="s">
        <v>777</v>
      </c>
      <c r="B25" s="397" t="n">
        <v>939</v>
      </c>
    </row>
    <row r="29" customFormat="false" ht="12" hidden="false" customHeight="false" outlineLevel="0" collapsed="false">
      <c r="D29" s="386" t="n">
        <v>75872</v>
      </c>
    </row>
    <row r="30" customFormat="false" ht="12" hidden="false" customHeight="false" outlineLevel="0" collapsed="false">
      <c r="D30" s="386" t="n">
        <v>2404</v>
      </c>
    </row>
    <row r="31" customFormat="false" ht="12" hidden="false" customHeight="false" outlineLevel="0" collapsed="false">
      <c r="D31" s="386" t="n">
        <v>24171</v>
      </c>
    </row>
    <row r="32" customFormat="false" ht="12" hidden="false" customHeight="false" outlineLevel="0" collapsed="false">
      <c r="D32" s="386"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778</v>
      </c>
      <c r="B1" s="0" t="s">
        <v>779</v>
      </c>
      <c r="C1" s="0" t="s">
        <v>780</v>
      </c>
      <c r="D1" s="0" t="s">
        <v>781</v>
      </c>
      <c r="E1" s="0" t="s">
        <v>351</v>
      </c>
      <c r="F1" s="0" t="s">
        <v>209</v>
      </c>
    </row>
    <row r="2" customFormat="false" ht="12" hidden="false" customHeight="false" outlineLevel="0" collapsed="false">
      <c r="A2" s="0" t="s">
        <v>44</v>
      </c>
      <c r="B2" s="0" t="s">
        <v>782</v>
      </c>
      <c r="C2" s="0" t="s">
        <v>783</v>
      </c>
      <c r="D2" s="0" t="s">
        <v>784</v>
      </c>
      <c r="E2" s="0" t="n">
        <v>1</v>
      </c>
      <c r="F2" s="0" t="s">
        <v>784</v>
      </c>
    </row>
    <row r="3" customFormat="false" ht="12" hidden="false" customHeight="false" outlineLevel="0" collapsed="false">
      <c r="A3" s="0" t="s">
        <v>82</v>
      </c>
      <c r="B3" s="0" t="s">
        <v>105</v>
      </c>
      <c r="C3" s="0" t="s">
        <v>31</v>
      </c>
      <c r="D3" s="0" t="s">
        <v>351</v>
      </c>
      <c r="E3" s="0" t="n">
        <v>2</v>
      </c>
      <c r="F3" s="0" t="s">
        <v>785</v>
      </c>
    </row>
    <row r="4" customFormat="false" ht="12" hidden="false" customHeight="false" outlineLevel="0" collapsed="false">
      <c r="C4" s="0" t="s">
        <v>339</v>
      </c>
      <c r="D4" s="0" t="s">
        <v>786</v>
      </c>
      <c r="F4" s="0" t="s">
        <v>787</v>
      </c>
    </row>
    <row r="5" customFormat="false" ht="12" hidden="false" customHeight="false" outlineLevel="0" collapsed="false">
      <c r="C5" s="0" t="s">
        <v>788</v>
      </c>
      <c r="F5" s="0" t="s">
        <v>789</v>
      </c>
    </row>
    <row r="6" customFormat="false" ht="12" hidden="false" customHeight="false" outlineLevel="0" collapsed="false">
      <c r="F6"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790</v>
      </c>
    </row>
    <row r="3" customFormat="false" ht="12.8" hidden="false" customHeight="false" outlineLevel="0" collapsed="false">
      <c r="A3" s="0" t="s">
        <v>791</v>
      </c>
    </row>
    <row r="5" customFormat="false" ht="12.8" hidden="false" customHeight="false" outlineLevel="0" collapsed="false">
      <c r="A5" s="0" t="s">
        <v>792</v>
      </c>
      <c r="B5" s="0" t="n">
        <v>0.0413</v>
      </c>
    </row>
    <row r="7" customFormat="false" ht="12.8" hidden="false" customHeight="false" outlineLevel="0" collapsed="false">
      <c r="A7" s="0" t="s">
        <v>793</v>
      </c>
    </row>
    <row r="9" customFormat="false" ht="12.8" hidden="false" customHeight="false" outlineLevel="0" collapsed="false">
      <c r="A9" s="0" t="s">
        <v>794</v>
      </c>
    </row>
    <row r="11" customFormat="false" ht="12.8" hidden="false" customHeight="false" outlineLevel="0" collapsed="false">
      <c r="A11" s="0"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sheet'!$B$24-0.02),('Input sheet'!$B$24-0.02)-((('Input sheet'!$B$24-0.02)-$B$4)/'Input sheet'!$B$25)*('Input sheet'!$B$25-C1))</f>
      </c>
      <c r="D4" s="88" t="n">
        <f aca="false">IF(D1&gt;'Input sheet'!$B$25,('Input sheet'!$B$24-0.02),('Input sheet'!$B$24-0.02)-((('Input sheet'!$B$24-0.02)-$B$4)/'Input sheet'!$B$25)*('Input sheet'!$B$25-D1))</f>
      </c>
      <c r="E4" s="88" t="n">
        <f aca="false">IF(E1&gt;'Input sheet'!$B$25,('Input sheet'!$B$24-0.02),('Input sheet'!$B$24-0.02)-((('Input sheet'!$B$24-0.02)-$B$4)/'Input sheet'!$B$25)*('Input sheet'!$B$25-E1))</f>
      </c>
      <c r="F4" s="88" t="n">
        <f aca="false">IF(F1&gt;'Input sheet'!$B$25,('Input sheet'!$B$24-0.02),('Input sheet'!$B$24-0.02)-((('Input sheet'!$B$24-0.02)-$B$4)/'Input sheet'!$B$25)*('Input sheet'!$B$25-F1))</f>
      </c>
      <c r="G4" s="88" t="n">
        <f aca="false">IF(G1&gt;'Input sheet'!$B$25,('Input sheet'!$B$24-0.02),('Input sheet'!$B$24-0.02)-((('Input sheet'!$B$24-0.02)-$B$4)/'Input sheet'!$B$25)*('Input sheet'!$B$25-G1))</f>
      </c>
      <c r="H4" s="88" t="n">
        <f aca="false">IF(H1&gt;'Input sheet'!$B$25,('Input sheet'!$B$24-0.02),('Input sheet'!$B$24-0.02)-((('Input sheet'!$B$24-0.02)-$B$4)/'Input sheet'!$B$25)*('Input sheet'!$B$25-H1))</f>
      </c>
      <c r="I4" s="88" t="n">
        <f aca="false">IF(I1&gt;'Input sheet'!$B$25,('Input sheet'!$B$24-0.02),('Input sheet'!$B$24-0.02)-((('Input sheet'!$B$24-0.02)-$B$4)/'Input sheet'!$B$25)*('Input sheet'!$B$25-I1))</f>
      </c>
      <c r="J4" s="88" t="n">
        <f aca="false">IF(J1&gt;'Input sheet'!$B$25,('Input sheet'!$B$24-0.02),('Input sheet'!$B$24-0.02)-((('Input sheet'!$B$24-0.02)-$B$4)/'Input sheet'!$B$25)*('Input sheet'!$B$25-J1))</f>
      </c>
      <c r="K4" s="88" t="n">
        <f aca="false">IF(K1&gt;'Input sheet'!$B$25,('Input sheet'!$B$24-0.02),('Input sheet'!$B$24-0.02)-((('Input sheet'!$B$24-0.02)-$B$4)/'Input sheet'!$B$25)*('Input sheet'!$B$25-K1))</f>
      </c>
      <c r="L4" s="88" t="n">
        <f aca="false">IF(L1&gt;'Input sheet'!$B$25,('Input sheet'!$B$24-0.02),('Input sheet'!$B$24-0.02)-((('Input sheet'!$B$24-0.02)-$B$4)/'Input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sheet'!B48,'Review valuation'!B21*'Input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sheet'!B43,'Review valuation'!L12)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796</v>
      </c>
    </row>
    <row r="3" customFormat="false" ht="12.8" hidden="false" customHeight="false" outlineLevel="0" collapsed="false">
      <c r="A3" s="0" t="s">
        <v>797</v>
      </c>
      <c r="B3" s="196" t="n">
        <f aca="false">'Valuation output'!B31</f>
      </c>
    </row>
    <row r="4" customFormat="false" ht="12.8" hidden="false" customHeight="false" outlineLevel="0" collapsed="false">
      <c r="A4" s="0" t="s">
        <v>798</v>
      </c>
      <c r="B4" s="196" t="n">
        <f aca="false">'Review valuation'!B31</f>
      </c>
    </row>
    <row r="5" customFormat="false" ht="12.8" hidden="false" customHeight="false" outlineLevel="0" collapsed="false">
      <c r="A5" s="0" t="s">
        <v>799</v>
      </c>
      <c r="B5" s="0" t="n">
        <f aca="false">B4-B3</f>
      </c>
    </row>
    <row r="7" customFormat="false" ht="12.8" hidden="false" customHeight="false" outlineLevel="0" collapsed="false">
      <c r="A7" s="0" t="s">
        <v>800</v>
      </c>
      <c r="B7" s="196" t="n">
        <f aca="false">'Valuation output'!B33</f>
      </c>
    </row>
    <row r="8" customFormat="false" ht="12.8" hidden="false" customHeight="false" outlineLevel="0" collapsed="false">
      <c r="A8" s="0" t="s">
        <v>801</v>
      </c>
      <c r="B8" s="196" t="n">
        <f aca="false">'Review valuation'!B33</f>
      </c>
    </row>
    <row r="10" customFormat="false" ht="12.8" hidden="false" customHeight="false" outlineLevel="0" collapsed="false">
      <c r="A10" s="0"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