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</x:c>
      <x:c r="F5" s="8" t="n">
        <x:f>E5-B5</x:f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</x:c>
      <x:c r="F6" s="8" t="n">
        <x:f>E6-B6</x:f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 t="n">
        <x:f>(E5+E6)*D7</x:f>
      </x:c>
      <x:c r="F7" s="8" t="n">
        <x:f>E7-B7</x:f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</x:c>
      <x:c r="F8" s="8" t="n">
        <x:f>E8-B8</x:f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</x:c>
      <x:c r="F10" s="8" t="n">
        <x:f>E10-B10</x:f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 t="n">
        <x:f>E10*D11</x:f>
      </x:c>
      <x:c r="F11" s="8" t="n">
        <x:f>E11-B11</x:f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</x:c>
      <x:c r="F14" s="8" t="n">
        <x:f>E14-B14</x:f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</x:c>
      <x:c r="F15" s="8" t="n">
        <x:f>E15-B15</x:f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 t="n">
        <x:v>1971278</x:v>
      </x:c>
      <x:c r="C16" s="6"/>
      <x:c r="D16" s="6"/>
      <x:c r="E16" s="5">
        <x:f>_xlfn.PY("1")</x:f>
      </x:c>
      <x:c r="F16" s="8" t="n">
        <x:f>E16-B16</x:f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 t="n">
        <x:f>B6</x:f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str">
        <x:v>Central Lantern Feature</x:v>
      </x:c>
      <x:c r="B7" s="5" t="n">
        <x:v>9600</x:v>
      </x:c>
      <x:c r="C7" s="6" t="n">
        <x:v>0.0067</x:v>
      </x:c>
      <x:c r="D7" s="7" t="n">
        <x:f>B7</x:f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 t="n">
        <x:f>B8</x:f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 t="n">
        <x:f>B9</x:f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 t="n">
        <x:f>B10</x:f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 t="n">
        <x:f>B11</x:f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 t="n">
        <x:f>B12</x:f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 t="n">
        <x:f>B13</x:f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 t="n">
        <x:f>B14</x:f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 t="n">
        <x:f>B15</x:f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 t="n">
        <x:f>B16</x:f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 t="n">
        <x:f>B17</x:f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 t="n">
        <x:f>B18</x:f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 t="n">
        <x:f>B19-'Provisional sums'!B15+'Review decisions'!C5</x:f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Project-authored review scenario. Prices share the estimate price date and exclude VAT and subsequent fee/allowance additions.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Working amount</x:v>
      </x:c>
      <x:c r="D4" s="4" t="str">
        <x:v>Scope</x:v>
      </x:c>
      <x:c r="E4" s="4" t="str">
        <x:v>Source</x:v>
      </x:c>
      <x:c r="F4" s="4"/>
      <x:c r="G4" s="4"/>
      <x:c r="H4" s="4"/>
      <x:c r="I4" s="4"/>
    </x:row>
    <x:row r="5" ht="54" customHeight="1">
      <x:c r="A5" s="10" t="str">
        <x:v>Current heating / ASHP quotation</x:v>
      </x:c>
      <x:c r="B5" s="11"/>
      <x:c r="C5" s="12" t="n">
        <x:v>458000</x:v>
      </x:c>
      <x:c r="D5" s="10" t="str">
        <x:v>Current same-scope replacement of the included original heating allowance; ventilation and all other works unchanged.</x:v>
      </x:c>
      <x:c r="E5" s="10" t="str">
        <x:v>review_correspondence.md</x:v>
      </x:c>
      <x:c r="F5" s="1"/>
      <x:c r="G5" s="1"/>
      <x:c r="H5" s="1"/>
      <x:c r="I5" s="1"/>
    </x:row>
    <x:row r="6" ht="54" customHeight="1">
      <x:c r="A6" s="10" t="str">
        <x:v>Earlier heating / ASHP quotation</x:v>
      </x:c>
      <x:c r="B6" s="11" t="n">
        <x:v>472000</x:v>
      </x:c>
      <x:c r="C6" s="11"/>
      <x:c r="D6" s="10" t="str">
        <x:v>Superseded by the current quotation; not an additional charge.</x:v>
      </x:c>
      <x:c r="E6" s="10" t="str">
        <x:v>review_correspondence.md</x:v>
      </x:c>
      <x:c r="F6" s="1"/>
      <x:c r="G6" s="1"/>
      <x:c r="H6" s="1"/>
      <x:c r="I6" s="1"/>
    </x:row>
    <x:row r="7" ht="54" customHeight="1">
      <x:c r="A7" s="10" t="str">
        <x:v>Asbestos removal option</x:v>
      </x:c>
      <x:c r="B7" s="11"/>
      <x:c r="C7" s="12" t="n">
        <x:v>18000</x:v>
      </x:c>
      <x:c r="D7" s="10" t="str">
        <x:v>Not approved; excluded from current cost limit. Option price is shown separately.</x:v>
      </x:c>
      <x:c r="E7" s="10" t="str">
        <x:v>review_correspondence.md</x:v>
      </x:c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