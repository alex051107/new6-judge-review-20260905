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207c2b1b3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65edfd65af4f94"/>
    <x:sheet xmlns:r="http://schemas.openxmlformats.org/officeDocument/2006/relationships" name="Elements" sheetId="2" r:id="R68fa28388f00431f"/>
    <x:sheet xmlns:r="http://schemas.openxmlformats.org/officeDocument/2006/relationships" name="Provisional sums" sheetId="3" r:id="R84aab373210d435d"/>
    <x:sheet xmlns:r="http://schemas.openxmlformats.org/officeDocument/2006/relationships" name="Exclusions" sheetId="4" r:id="R82f3387677374b50"/>
    <x:sheet xmlns:r="http://schemas.openxmlformats.org/officeDocument/2006/relationships" name="Qualifications" sheetId="5" r:id="Ra3f0273f7c094448"/>
    <x:sheet xmlns:r="http://schemas.openxmlformats.org/officeDocument/2006/relationships" name="Review decisions" sheetId="6" r:id="R555456f6a36d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1bbd5965fb1b4c7f"/><Relationship Type="http://schemas.openxmlformats.org/officeDocument/2006/relationships/theme" Target="/xl/theme/theme1.xml" Id="Ra57edc81d15147d7"/><Relationship Type="http://schemas.openxmlformats.org/officeDocument/2006/relationships/sharedStrings" Target="/xl/sharedStrings.xml" Id="Rea024affa6ae47ac"/><Relationship Type="http://schemas.openxmlformats.org/officeDocument/2006/relationships/worksheet" Target="/xl/worksheets/sheet1.xml" Id="Rb565edfd65af4f94"/><Relationship Type="http://schemas.openxmlformats.org/officeDocument/2006/relationships/worksheet" Target="/xl/worksheets/sheet2.xml" Id="R68fa28388f00431f"/><Relationship Type="http://schemas.openxmlformats.org/officeDocument/2006/relationships/worksheet" Target="/xl/worksheets/sheet3.xml" Id="R84aab373210d435d"/><Relationship Type="http://schemas.openxmlformats.org/officeDocument/2006/relationships/worksheet" Target="/xl/worksheets/sheet4.xml" Id="R82f3387677374b50"/><Relationship Type="http://schemas.openxmlformats.org/officeDocument/2006/relationships/worksheet" Target="/xl/worksheets/sheet5.xml" Id="Ra3f0273f7c094448"/><Relationship Type="http://schemas.openxmlformats.org/officeDocument/2006/relationships/worksheet" Target="/xl/worksheets/sheet6.xml" Id="R555456f6a36d4dc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Working stages retain full precision. Difference = working minus printed; printed source values remain unchanged.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Stage</x:v>
      </x:c>
      <x:c r="B4" s="4" t="str">
        <x:v>Printed amount</x:v>
      </x:c>
      <x:c r="C4" s="4" t="str">
        <x:v>Printed rate</x:v>
      </x:c>
      <x:c r="D4" s="4" t="str">
        <x:v>Working rate</x:v>
      </x:c>
      <x:c r="E4" s="4" t="str">
        <x:v>Working amount</x:v>
      </x:c>
      <x:c r="F4" s="4" t="str">
        <x:v>Difference</x:v>
      </x:c>
      <x:c r="G4" s="4" t="str">
        <x:v>Source</x:v>
      </x:c>
      <x:c r="H4" s="4" t="str">
        <x:v>Page</x:v>
      </x:c>
      <x:c r="I4" s="4" t="str">
        <x:v>Scope</x:v>
      </x:c>
    </x:row>
    <x:row r="5">
      <x:c r="A5" s="1" t="str">
        <x:v>Building Works</x:v>
      </x:c>
      <x:c r="B5" s="5" t="n">
        <x:v>1430225</x:v>
      </x:c>
      <x:c r="C5" s="6"/>
      <x:c r="D5" s="6"/>
      <x:c r="E5" s="5" t="n">
        <x:f>SUM('Elements'!D5:D19)</x:f>
      </x:c>
      <x:c r="F5" s="8" t="n">
        <x:f>E5-B5</x:f>
      </x:c>
      <x:c r="G5" s="1" t="str">
        <x:v>Falmouth_OCE_October2024_RevA.pdf</x:v>
      </x:c>
      <x:c r="H5" s="1" t="n">
        <x:v>2</x:v>
      </x:c>
      <x:c r="I5" s="1" t="str"/>
    </x:row>
    <x:row r="6">
      <x:c r="A6" s="1" t="str">
        <x:v>Main Contractors Preliminaries</x:v>
      </x:c>
      <x:c r="B6" s="5" t="n">
        <x:v>182800</x:v>
      </x:c>
      <x:c r="C6" s="6"/>
      <x:c r="D6" s="6"/>
      <x:c r="E6" s="5" t="n">
        <x:f>182800</x:f>
      </x:c>
      <x:c r="F6" s="8" t="n">
        <x:f>E6-B6</x:f>
      </x:c>
      <x:c r="G6" s="1" t="str">
        <x:v>Falmouth_OCE_October2024_RevA.pdf</x:v>
      </x:c>
      <x:c r="H6" s="1" t="n">
        <x:v>2</x:v>
      </x:c>
      <x:c r="I6" s="1" t="str"/>
    </x:row>
    <x:row r="7">
      <x:c r="A7" s="1" t="str">
        <x:v>Main Contractors Overheads &amp; Profit</x:v>
      </x:c>
      <x:c r="B7" s="5" t="n">
        <x:v>161303</x:v>
      </x:c>
      <x:c r="C7" s="6" t="n">
        <x:v>0.1</x:v>
      </x:c>
      <x:c r="D7" s="9" t="n">
        <x:v>0.1</x:v>
      </x:c>
      <x:c r="E7" s="5" t="n">
        <x:f>(E5+E6)*D7</x:f>
      </x:c>
      <x:c r="F7" s="8" t="n">
        <x:f>E7-B7</x:f>
      </x:c>
      <x:c r="G7" s="1" t="str">
        <x:v>Falmouth_OCE_October2024_RevA.pdf</x:v>
      </x:c>
      <x:c r="H7" s="1" t="n">
        <x:v>2</x:v>
      </x:c>
      <x:c r="I7" s="1" t="str"/>
    </x:row>
    <x:row r="8">
      <x:c r="A8" s="1" t="str">
        <x:v>Building Works Estimate</x:v>
      </x:c>
      <x:c r="B8" s="5" t="n">
        <x:v>1774328</x:v>
      </x:c>
      <x:c r="C8" s="6"/>
      <x:c r="D8" s="6"/>
      <x:c r="E8" s="5" t="n">
        <x:f>SUM(E5:E7)</x:f>
      </x:c>
      <x:c r="F8" s="8" t="n">
        <x:f>E8-B8</x:f>
      </x:c>
      <x:c r="G8" s="1" t="str">
        <x:v>Falmouth_OCE_October2024_RevA.pdf</x:v>
      </x:c>
      <x:c r="H8" s="1" t="n">
        <x:v>2</x:v>
      </x:c>
      <x:c r="I8" s="1" t="str"/>
    </x:row>
    <x:row r="9">
      <x:c r="A9" s="1" t="str">
        <x:v>Project Consultants Fees</x:v>
      </x:c>
      <x:c r="B9" s="5" t="str">
        <x:v>Excluded</x:v>
      </x:c>
      <x:c r="C9" s="6"/>
      <x:c r="D9" s="6"/>
      <x:c r="E9" s="5"/>
      <x:c r="F9" s="8"/>
      <x:c r="G9" s="1" t="str">
        <x:v>Falmouth_OCE_October2024_RevA.pdf</x:v>
      </x:c>
      <x:c r="H9" s="1" t="n">
        <x:v>2</x:v>
      </x:c>
      <x:c r="I9" s="1" t="str">
        <x:v>Excluded</x:v>
      </x:c>
    </x:row>
    <x:row r="10">
      <x:c r="A10" s="1" t="str">
        <x:v>Base Cost Estimate</x:v>
      </x:c>
      <x:c r="B10" s="5" t="n">
        <x:v>1774328</x:v>
      </x:c>
      <x:c r="C10" s="6"/>
      <x:c r="D10" s="6"/>
      <x:c r="E10" s="5" t="n">
        <x:f>E8</x:f>
      </x:c>
      <x:c r="F10" s="8" t="n">
        <x:f>E10-B10</x:f>
      </x:c>
      <x:c r="G10" s="1" t="str">
        <x:v>Falmouth_OCE_October2024_RevA.pdf</x:v>
      </x:c>
      <x:c r="H10" s="1" t="n">
        <x:v>2</x:v>
      </x:c>
      <x:c r="I10" s="1" t="str"/>
    </x:row>
    <x:row r="11">
      <x:c r="A11" s="1" t="str">
        <x:v>Design Development Risks</x:v>
      </x:c>
      <x:c r="B11" s="5" t="n">
        <x:v>177433</x:v>
      </x:c>
      <x:c r="C11" s="6" t="n">
        <x:v>0.1</x:v>
      </x:c>
      <x:c r="D11" s="9" t="n">
        <x:v>0.12</x:v>
      </x:c>
      <x:c r="E11" s="5">
        <x:f>E5*D11</x:f>
      </x:c>
      <x:c r="F11" s="8" t="n">
        <x:f>E11-B11</x:f>
      </x:c>
      <x:c r="G11" s="1" t="str">
        <x:v>Falmouth_OCE_October2024_RevA.pdf</x:v>
      </x:c>
      <x:c r="H11" s="1" t="n">
        <x:v>2</x:v>
      </x:c>
      <x:c r="I11" s="1" t="str"/>
    </x:row>
    <x:row r="12">
      <x:c r="A12" s="1" t="str">
        <x:v>Construction Risks</x:v>
      </x:c>
      <x:c r="B12" s="5" t="str">
        <x:v>-</x:v>
      </x:c>
      <x:c r="C12" s="6"/>
      <x:c r="D12" s="6"/>
      <x:c r="E12" s="5"/>
      <x:c r="F12" s="8"/>
      <x:c r="G12" s="1" t="str">
        <x:v>Falmouth_OCE_October2024_RevA.pdf</x:v>
      </x:c>
      <x:c r="H12" s="1" t="n">
        <x:v>2</x:v>
      </x:c>
      <x:c r="I12" s="1" t="str">
        <x:v>Source dash; no separate priced allowance</x:v>
      </x:c>
    </x:row>
    <x:row r="13">
      <x:c r="A13" s="1" t="str">
        <x:v>Employer Change Risks</x:v>
      </x:c>
      <x:c r="B13" s="5" t="str">
        <x:v>-</x:v>
      </x:c>
      <x:c r="C13" s="6"/>
      <x:c r="D13" s="6"/>
      <x:c r="E13" s="5"/>
      <x:c r="F13" s="8"/>
      <x:c r="G13" s="1" t="str">
        <x:v>Falmouth_OCE_October2024_RevA.pdf</x:v>
      </x:c>
      <x:c r="H13" s="1" t="n">
        <x:v>2</x:v>
      </x:c>
      <x:c r="I13" s="1" t="str">
        <x:v>Source dash; no separate priced allowance</x:v>
      </x:c>
    </x:row>
    <x:row r="14">
      <x:c r="A14" s="1" t="str">
        <x:v>COST LIMIT (Inflation Excluded)</x:v>
      </x:c>
      <x:c r="B14" s="5" t="n">
        <x:v>1951760</x:v>
      </x:c>
      <x:c r="C14" s="6"/>
      <x:c r="D14" s="6"/>
      <x:c r="E14" s="5" t="n">
        <x:f>SUM(E10:E11)</x:f>
      </x:c>
      <x:c r="F14" s="8" t="n">
        <x:f>E14-B14</x:f>
      </x:c>
      <x:c r="G14" s="1" t="str">
        <x:v>Falmouth_OCE_October2024_RevA.pdf</x:v>
      </x:c>
      <x:c r="H14" s="1" t="n">
        <x:v>2</x:v>
      </x:c>
      <x:c r="I14" s="1" t="str"/>
    </x:row>
    <x:row r="15">
      <x:c r="A15" s="1" t="str">
        <x:v>Inflation Allowance - 4Q24 to 1Q25</x:v>
      </x:c>
      <x:c r="B15" s="5" t="n">
        <x:v>19518</x:v>
      </x:c>
      <x:c r="C15" s="6" t="n">
        <x:v>0.01</x:v>
      </x:c>
      <x:c r="D15" s="9" t="n">
        <x:v>0.01</x:v>
      </x:c>
      <x:c r="E15" s="5" t="n">
        <x:f>E14*D15</x:f>
      </x:c>
      <x:c r="F15" s="8" t="n">
        <x:f>E15-B15</x:f>
      </x:c>
      <x:c r="G15" s="1" t="str">
        <x:v>Falmouth_OCE_October2024_RevA.pdf</x:v>
      </x:c>
      <x:c r="H15" s="1" t="n">
        <x:v>2</x:v>
      </x:c>
      <x:c r="I15" s="1" t="str"/>
    </x:row>
    <x:row r="16">
      <x:c r="A16" s="1" t="str">
        <x:v>COST LIMIT (VAT Excluded)</x:v>
      </x:c>
      <x:c r="B16" s="5" t="n">
        <x:v>1971278</x:v>
      </x:c>
      <x:c r="C16" s="6"/>
      <x:c r="D16" s="6"/>
      <x:c r="E16" s="5" t="n">
        <x:f>SUM(E14:E15)</x:f>
      </x:c>
      <x:c r="F16" s="8" t="n">
        <x:f>E16-B16</x:f>
      </x:c>
      <x:c r="G16" s="1" t="str">
        <x:v>Falmouth_OCE_October2024_RevA.pdf</x:v>
      </x:c>
      <x:c r="H16" s="1" t="n">
        <x:v>2</x:v>
      </x:c>
      <x:c r="I16" s="1" t="str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 t="str">
        <x:v>Heating/ASHP replaces the included original package. Design risk is now 12%; other bases and rates are unchanged. Differences retain full precision, including source rounding.</x:v>
      </x:c>
      <x:c r="B19" s="1"/>
      <x:c r="C19" s="1"/>
      <x:c r="D19" s="1"/>
      <x:c r="E19" s="1"/>
      <x:c r="F19" s="1"/>
      <x:c r="G19" s="1"/>
      <x:c r="H19" s="1"/>
      <x:c r="I19" s="1"/>
    </x:row>
    <x:row r="20">
      <x:c r="A20" s="1" t="str">
        <x:v>The current heating quotation supersedes the earlier quotation. Asbestos remains an unapproved option outside the current cost limit. No consultant fees or VAT are added.</x:v>
      </x:c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45" hidden="0" customWidth="1"/>
    <x:col min="6" max="6" width="45" hidden="0" customWidth="1"/>
    <x:col min="7" max="7" width="9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Elemental analysis, PDF page 5. Source dashes remain unpriced; working zero is a summation convention.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Printed rate</x:v>
      </x:c>
      <x:c r="D4" s="4" t="str">
        <x:v>Working amount</x:v>
      </x:c>
      <x:c r="E4" s="4" t="str">
        <x:v>Scope</x:v>
      </x:c>
      <x:c r="F4" s="4" t="str">
        <x:v>Source</x:v>
      </x:c>
      <x:c r="G4" s="4" t="str">
        <x:v>Page</x:v>
      </x:c>
      <x:c r="H4" s="4"/>
      <x:c r="I4" s="4"/>
    </x:row>
    <x:row r="5">
      <x:c r="A5" s="1" t="str">
        <x:v>Grade 2 Listing</x:v>
      </x:c>
      <x:c r="B5" s="5" t="str">
        <x:v>-</x:v>
      </x:c>
      <x:c r="C5" s="6" t="n">
        <x:v>0</x:v>
      </x:c>
      <x:c r="D5" s="7" t="n">
        <x:v>0</x:v>
      </x:c>
      <x:c r="E5" s="1" t="str">
        <x:v>Source dash; not separately priced</x:v>
      </x:c>
      <x:c r="F5" s="1" t="str">
        <x:v>Falmouth_OCE_October2024_RevA.pdf</x:v>
      </x:c>
      <x:c r="G5" s="1" t="n">
        <x:v>5</x:v>
      </x:c>
      <x:c r="H5" s="1"/>
      <x:c r="I5" s="1"/>
    </x:row>
    <x:row r="6">
      <x:c r="A6" s="1" t="str">
        <x:v>Pitched Roof</x:v>
      </x:c>
      <x:c r="B6" s="5" t="n">
        <x:v>418900</x:v>
      </x:c>
      <x:c r="C6" s="6" t="n">
        <x:v>0.2929</x:v>
      </x:c>
      <x:c r="D6" s="7" t="n">
        <x:f>B6</x:f>
      </x:c>
      <x:c r="E6" s="1" t="str">
        <x:v>Elemental cost</x:v>
      </x:c>
      <x:c r="F6" s="1" t="str">
        <x:v>Falmouth_OCE_October2024_RevA.pdf</x:v>
      </x:c>
      <x:c r="G6" s="1" t="n">
        <x:v>5</x:v>
      </x:c>
      <x:c r="H6" s="1"/>
      <x:c r="I6" s="1"/>
    </x:row>
    <x:row r="7">
      <x:c r="A7" s="1" t="str">
        <x:v>Central Lantern Feature</x:v>
      </x:c>
      <x:c r="B7" s="5" t="n">
        <x:v>9600</x:v>
      </x:c>
      <x:c r="C7" s="6" t="n">
        <x:v>0.0067</x:v>
      </x:c>
      <x:c r="D7" s="7" t="n">
        <x:f>B7</x:f>
      </x:c>
      <x:c r="E7" s="1" t="str">
        <x:v>Elemental cost</x:v>
      </x:c>
      <x:c r="F7" s="1" t="str">
        <x:v>Falmouth_OCE_October2024_RevA.pdf</x:v>
      </x:c>
      <x:c r="G7" s="1" t="n">
        <x:v>5</x:v>
      </x:c>
      <x:c r="H7" s="1"/>
      <x:c r="I7" s="1"/>
    </x:row>
    <x:row r="8">
      <x:c r="A8" s="1" t="str">
        <x:v>Rear Roof (refer to Pitched Roof for costs)</x:v>
      </x:c>
      <x:c r="B8" s="5" t="n">
        <x:v>400</x:v>
      </x:c>
      <x:c r="C8" s="6" t="n">
        <x:v>0.0003</x:v>
      </x:c>
      <x:c r="D8" s="7" t="n">
        <x:f>B8</x:f>
      </x:c>
      <x:c r="E8" s="1" t="str">
        <x:v>Elemental cost</x:v>
      </x:c>
      <x:c r="F8" s="1" t="str">
        <x:v>Falmouth_OCE_October2024_RevA.pdf</x:v>
      </x:c>
      <x:c r="G8" s="1" t="n">
        <x:v>5</x:v>
      </x:c>
      <x:c r="H8" s="1"/>
      <x:c r="I8" s="1"/>
    </x:row>
    <x:row r="9">
      <x:c r="A9" s="1" t="str">
        <x:v>Valley and Parapet Gutters</x:v>
      </x:c>
      <x:c r="B9" s="5" t="n">
        <x:v>16700</x:v>
      </x:c>
      <x:c r="C9" s="6" t="n">
        <x:v>0.0117</x:v>
      </x:c>
      <x:c r="D9" s="7" t="n">
        <x:f>B9</x:f>
      </x:c>
      <x:c r="E9" s="1" t="str">
        <x:v>Elemental cost</x:v>
      </x:c>
      <x:c r="F9" s="1" t="str">
        <x:v>Falmouth_OCE_October2024_RevA.pdf</x:v>
      </x:c>
      <x:c r="G9" s="1" t="n">
        <x:v>5</x:v>
      </x:c>
      <x:c r="H9" s="1"/>
      <x:c r="I9" s="1"/>
    </x:row>
    <x:row r="10">
      <x:c r="A10" s="1" t="str">
        <x:v>Parapet Walls</x:v>
      </x:c>
      <x:c r="B10" s="5" t="n">
        <x:v>13800</x:v>
      </x:c>
      <x:c r="C10" s="6" t="n">
        <x:v>0.0096</x:v>
      </x:c>
      <x:c r="D10" s="7" t="n">
        <x:f>B10</x:f>
      </x:c>
      <x:c r="E10" s="1" t="str">
        <x:v>Elemental cost</x:v>
      </x:c>
      <x:c r="F10" s="1" t="str">
        <x:v>Falmouth_OCE_October2024_RevA.pdf</x:v>
      </x:c>
      <x:c r="G10" s="1" t="n">
        <x:v>5</x:v>
      </x:c>
      <x:c r="H10" s="1"/>
      <x:c r="I10" s="1"/>
    </x:row>
    <x:row r="11">
      <x:c r="A11" s="1" t="str">
        <x:v>Rainwater Goods</x:v>
      </x:c>
      <x:c r="B11" s="5" t="n">
        <x:v>47950</x:v>
      </x:c>
      <x:c r="C11" s="6" t="n">
        <x:v>0.0335</x:v>
      </x:c>
      <x:c r="D11" s="7" t="n">
        <x:f>B11</x:f>
      </x:c>
      <x:c r="E11" s="1" t="str">
        <x:v>Elemental cost</x:v>
      </x:c>
      <x:c r="F11" s="1" t="str">
        <x:v>Falmouth_OCE_October2024_RevA.pdf</x:v>
      </x:c>
      <x:c r="G11" s="1" t="n">
        <x:v>5</x:v>
      </x:c>
      <x:c r="H11" s="1"/>
      <x:c r="I11" s="1"/>
    </x:row>
    <x:row r="12">
      <x:c r="A12" s="1" t="str">
        <x:v>Masonry</x:v>
      </x:c>
      <x:c r="B12" s="5" t="n">
        <x:v>110725</x:v>
      </x:c>
      <x:c r="C12" s="6" t="n">
        <x:v>0.0774</x:v>
      </x:c>
      <x:c r="D12" s="7" t="n">
        <x:f>B12</x:f>
      </x:c>
      <x:c r="E12" s="1" t="str">
        <x:v>Elemental cost</x:v>
      </x:c>
      <x:c r="F12" s="1" t="str">
        <x:v>Falmouth_OCE_October2024_RevA.pdf</x:v>
      </x:c>
      <x:c r="G12" s="1" t="n">
        <x:v>5</x:v>
      </x:c>
      <x:c r="H12" s="1"/>
      <x:c r="I12" s="1"/>
    </x:row>
    <x:row r="13">
      <x:c r="A13" s="1" t="str">
        <x:v>Rendered Masonry</x:v>
      </x:c>
      <x:c r="B13" s="5" t="n">
        <x:v>7200</x:v>
      </x:c>
      <x:c r="C13" s="6" t="n">
        <x:v>0.005</x:v>
      </x:c>
      <x:c r="D13" s="7" t="n">
        <x:f>B13</x:f>
      </x:c>
      <x:c r="E13" s="1" t="str">
        <x:v>Elemental cost</x:v>
      </x:c>
      <x:c r="F13" s="1" t="str">
        <x:v>Falmouth_OCE_October2024_RevA.pdf</x:v>
      </x:c>
      <x:c r="G13" s="1" t="n">
        <x:v>5</x:v>
      </x:c>
      <x:c r="H13" s="1"/>
      <x:c r="I13" s="1"/>
    </x:row>
    <x:row r="14">
      <x:c r="A14" s="1" t="str">
        <x:v>Windows</x:v>
      </x:c>
      <x:c r="B14" s="5" t="n">
        <x:v>89450</x:v>
      </x:c>
      <x:c r="C14" s="6" t="n">
        <x:v>0.0625</x:v>
      </x:c>
      <x:c r="D14" s="7" t="n">
        <x:f>B14</x:f>
      </x:c>
      <x:c r="E14" s="1" t="str">
        <x:v>Elemental cost</x:v>
      </x:c>
      <x:c r="F14" s="1" t="str">
        <x:v>Falmouth_OCE_October2024_RevA.pdf</x:v>
      </x:c>
      <x:c r="G14" s="1" t="n">
        <x:v>5</x:v>
      </x:c>
      <x:c r="H14" s="1"/>
      <x:c r="I14" s="1"/>
    </x:row>
    <x:row r="15">
      <x:c r="A15" s="1" t="str">
        <x:v>Rooflights</x:v>
      </x:c>
      <x:c r="B15" s="5" t="n">
        <x:v>16100</x:v>
      </x:c>
      <x:c r="C15" s="6" t="n">
        <x:v>0.0113</x:v>
      </x:c>
      <x:c r="D15" s="7" t="n">
        <x:f>B15</x:f>
      </x:c>
      <x:c r="E15" s="1" t="str">
        <x:v>Elemental cost</x:v>
      </x:c>
      <x:c r="F15" s="1" t="str">
        <x:v>Falmouth_OCE_October2024_RevA.pdf</x:v>
      </x:c>
      <x:c r="G15" s="1" t="n">
        <x:v>5</x:v>
      </x:c>
      <x:c r="H15" s="1"/>
      <x:c r="I15" s="1"/>
    </x:row>
    <x:row r="16">
      <x:c r="A16" s="1" t="str">
        <x:v>Lantern Light and Skylight</x:v>
      </x:c>
      <x:c r="B16" s="5" t="n">
        <x:v>46950</x:v>
      </x:c>
      <x:c r="C16" s="6" t="n">
        <x:v>0.0328</x:v>
      </x:c>
      <x:c r="D16" s="7" t="n">
        <x:f>B16</x:f>
      </x:c>
      <x:c r="E16" s="1" t="str">
        <x:v>Elemental cost</x:v>
      </x:c>
      <x:c r="F16" s="1" t="str">
        <x:v>Falmouth_OCE_October2024_RevA.pdf</x:v>
      </x:c>
      <x:c r="G16" s="1" t="n">
        <x:v>5</x:v>
      </x:c>
      <x:c r="H16" s="1"/>
      <x:c r="I16" s="1"/>
    </x:row>
    <x:row r="17">
      <x:c r="A17" s="1" t="str">
        <x:v>Doors</x:v>
      </x:c>
      <x:c r="B17" s="5" t="n">
        <x:v>15000</x:v>
      </x:c>
      <x:c r="C17" s="6" t="n">
        <x:v>0.0105</x:v>
      </x:c>
      <x:c r="D17" s="7" t="n">
        <x:f>B17</x:f>
      </x:c>
      <x:c r="E17" s="1" t="str">
        <x:v>Elemental cost</x:v>
      </x:c>
      <x:c r="F17" s="1" t="str">
        <x:v>Falmouth_OCE_October2024_RevA.pdf</x:v>
      </x:c>
      <x:c r="G17" s="1" t="n">
        <x:v>5</x:v>
      </x:c>
      <x:c r="H17" s="1"/>
      <x:c r="I17" s="1"/>
    </x:row>
    <x:row r="18">
      <x:c r="A18" s="1" t="str">
        <x:v>Walls</x:v>
      </x:c>
      <x:c r="B18" s="5" t="n">
        <x:v>18200</x:v>
      </x:c>
      <x:c r="C18" s="6" t="n">
        <x:v>0.0127</x:v>
      </x:c>
      <x:c r="D18" s="7" t="n">
        <x:f>B18</x:f>
      </x:c>
      <x:c r="E18" s="1" t="str">
        <x:v>Elemental cost</x:v>
      </x:c>
      <x:c r="F18" s="1" t="str">
        <x:v>Falmouth_OCE_October2024_RevA.pdf</x:v>
      </x:c>
      <x:c r="G18" s="1" t="n">
        <x:v>5</x:v>
      </x:c>
      <x:c r="H18" s="1"/>
      <x:c r="I18" s="1"/>
    </x:row>
    <x:row r="19">
      <x:c r="A19" s="1" t="str">
        <x:v>Mechanical and Electrical Services</x:v>
      </x:c>
      <x:c r="B19" s="5" t="n">
        <x:v>619250</x:v>
      </x:c>
      <x:c r="C19" s="6" t="n">
        <x:v>0.433</x:v>
      </x:c>
      <x:c r="D19" s="7" t="n">
        <x:f>B19-'Provisional sums'!B15+'Review decisions'!C5</x:f>
      </x:c>
      <x:c r="E19" s="1" t="str">
        <x:v>Elemental cost</x:v>
      </x:c>
      <x:c r="F19" s="1" t="str">
        <x:v>Falmouth_OCE_October2024_RevA.pdf</x:v>
      </x:c>
      <x:c r="G19" s="1" t="n">
        <x:v>5</x:v>
      </x:c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Basis of estimate, PDF page 4. These amounts are already within elemental costs.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Structural appraisal of existing timbers</x:v>
      </x:c>
      <x:c r="B5" s="11" t="n">
        <x:v>2000</x:v>
      </x:c>
      <x:c r="C5" s="10" t="str">
        <x:v>Included within elemental costs; memorandum only</x:v>
      </x:c>
      <x:c r="D5" s="10" t="str">
        <x:v>Falmouth_OCE_October2024_RevA.pdf</x:v>
      </x:c>
      <x:c r="E5" s="10" t="n">
        <x:v>4</x:v>
      </x:c>
      <x:c r="F5" s="1"/>
      <x:c r="G5" s="1"/>
      <x:c r="H5" s="1"/>
      <x:c r="I5" s="1"/>
    </x:row>
    <x:row r="6" ht="32" customHeight="1">
      <x:c r="A6" s="10" t="str">
        <x:v>Improve ventilation to opening vents on central lantern</x:v>
      </x:c>
      <x:c r="B6" s="11" t="n">
        <x:v>1000</x:v>
      </x:c>
      <x:c r="C6" s="10" t="str">
        <x:v>Included within elemental costs; memorandum only</x:v>
      </x:c>
      <x:c r="D6" s="10" t="str">
        <x:v>Falmouth_OCE_October2024_RevA.pdf</x:v>
      </x:c>
      <x:c r="E6" s="10" t="n">
        <x:v>4</x:v>
      </x:c>
      <x:c r="F6" s="1"/>
      <x:c r="G6" s="1"/>
      <x:c r="H6" s="1"/>
      <x:c r="I6" s="1"/>
    </x:row>
    <x:row r="7" ht="32" customHeight="1">
      <x:c r="A7" s="10" t="str">
        <x:v>General repairs to central lantern</x:v>
      </x:c>
      <x:c r="B7" s="11" t="n">
        <x:v>2000</x:v>
      </x:c>
      <x:c r="C7" s="10" t="str">
        <x:v>Included within elemental costs; memorandum only</x:v>
      </x:c>
      <x:c r="D7" s="10" t="str">
        <x:v>Falmouth_OCE_October2024_RevA.pdf</x:v>
      </x:c>
      <x:c r="E7" s="10" t="n">
        <x:v>4</x:v>
      </x:c>
      <x:c r="F7" s="1"/>
      <x:c r="G7" s="1"/>
      <x:c r="H7" s="1"/>
      <x:c r="I7" s="1"/>
    </x:row>
    <x:row r="8" ht="32" customHeight="1">
      <x:c r="A8" s="10" t="str">
        <x:v>Venturi System</x:v>
      </x:c>
      <x:c r="B8" s="11" t="n">
        <x:v>10000</x:v>
      </x:c>
      <x:c r="C8" s="10" t="str">
        <x:v>Included within elemental costs; memorandum only</x:v>
      </x:c>
      <x:c r="D8" s="10" t="str">
        <x:v>Falmouth_OCE_October2024_RevA.pdf</x:v>
      </x:c>
      <x:c r="E8" s="10" t="n">
        <x:v>4</x:v>
      </x:c>
      <x:c r="F8" s="1"/>
      <x:c r="G8" s="1"/>
      <x:c r="H8" s="1"/>
      <x:c r="I8" s="1"/>
    </x:row>
    <x:row r="9" ht="32" customHeight="1">
      <x:c r="A9" s="10" t="str">
        <x:v>Bird deterrent measures</x:v>
      </x:c>
      <x:c r="B9" s="11" t="n">
        <x:v>25000</x:v>
      </x:c>
      <x:c r="C9" s="10" t="str">
        <x:v>Included within elemental costs; memorandum only</x:v>
      </x:c>
      <x:c r="D9" s="10" t="str">
        <x:v>Falmouth_OCE_October2024_RevA.pdf</x:v>
      </x:c>
      <x:c r="E9" s="10" t="n">
        <x:v>4</x:v>
      </x:c>
      <x:c r="F9" s="1"/>
      <x:c r="G9" s="1"/>
      <x:c r="H9" s="1"/>
      <x:c r="I9" s="1"/>
    </x:row>
    <x:row r="10" ht="32" customHeight="1">
      <x:c r="A10" s="10" t="str">
        <x:v>Repairs to external cills</x:v>
      </x:c>
      <x:c r="B10" s="11" t="n">
        <x:v>1500</x:v>
      </x:c>
      <x:c r="C10" s="10" t="str">
        <x:v>Included within elemental costs; memorandum only</x:v>
      </x:c>
      <x:c r="D10" s="10" t="str">
        <x:v>Falmouth_OCE_October2024_RevA.pdf</x:v>
      </x:c>
      <x:c r="E10" s="10" t="n">
        <x:v>4</x:v>
      </x:c>
      <x:c r="F10" s="1"/>
      <x:c r="G10" s="1"/>
      <x:c r="H10" s="1"/>
      <x:c r="I10" s="1"/>
    </x:row>
    <x:row r="11" ht="32" customHeight="1">
      <x:c r="A11" s="10" t="str">
        <x:v>External doors (pair of) - 3nr</x:v>
      </x:c>
      <x:c r="B11" s="11" t="n">
        <x:v>15000</x:v>
      </x:c>
      <x:c r="C11" s="10" t="str">
        <x:v>Included within elemental costs; memorandum only</x:v>
      </x:c>
      <x:c r="D11" s="10" t="str">
        <x:v>Falmouth_OCE_October2024_RevA.pdf</x:v>
      </x:c>
      <x:c r="E11" s="10" t="n">
        <x:v>4</x:v>
      </x:c>
      <x:c r="F11" s="1"/>
      <x:c r="G11" s="1"/>
      <x:c r="H11" s="1"/>
      <x:c r="I11" s="1"/>
    </x:row>
    <x:row r="12" ht="32" customHeight="1">
      <x:c r="A12" s="10" t="str">
        <x:v>External area for heating plant</x:v>
      </x:c>
      <x:c r="B12" s="11" t="n">
        <x:v>2500</x:v>
      </x:c>
      <x:c r="C12" s="10" t="str">
        <x:v>Included within elemental costs; memorandum only</x:v>
      </x:c>
      <x:c r="D12" s="10" t="str">
        <x:v>Falmouth_OCE_October2024_RevA.pdf</x:v>
      </x:c>
      <x:c r="E12" s="10" t="n">
        <x:v>4</x:v>
      </x:c>
      <x:c r="F12" s="1"/>
      <x:c r="G12" s="1"/>
      <x:c r="H12" s="1"/>
      <x:c r="I12" s="1"/>
    </x:row>
    <x:row r="13" ht="32" customHeight="1">
      <x:c r="A13" s="10" t="str">
        <x:v>Electrical Power and Lighting</x:v>
      </x:c>
      <x:c r="B13" s="11" t="n">
        <x:v>85750</x:v>
      </x:c>
      <x:c r="C13" s="10" t="str">
        <x:v>Included within elemental costs; memorandum only</x:v>
      </x:c>
      <x:c r="D13" s="10" t="str">
        <x:v>Falmouth_OCE_October2024_RevA.pdf</x:v>
      </x:c>
      <x:c r="E13" s="10" t="n">
        <x:v>4</x:v>
      </x:c>
      <x:c r="F13" s="1"/>
      <x:c r="G13" s="1"/>
      <x:c r="H13" s="1"/>
      <x:c r="I13" s="1"/>
    </x:row>
    <x:row r="14" ht="32" customHeight="1">
      <x:c r="A14" s="10" t="str">
        <x:v>Water Services</x:v>
      </x:c>
      <x:c r="B14" s="11" t="n">
        <x:v>43500</x:v>
      </x:c>
      <x:c r="C14" s="10" t="str">
        <x:v>Included within elemental costs; memorandum only</x:v>
      </x:c>
      <x:c r="D14" s="10" t="str">
        <x:v>Falmouth_OCE_October2024_RevA.pdf</x:v>
      </x:c>
      <x:c r="E14" s="10" t="n">
        <x:v>4</x:v>
      </x:c>
      <x:c r="F14" s="1"/>
      <x:c r="G14" s="1"/>
      <x:c r="H14" s="1"/>
      <x:c r="I14" s="1"/>
    </x:row>
    <x:row r="15" ht="32" customHeight="1">
      <x:c r="A15" s="10" t="str">
        <x:v>Heating</x:v>
      </x:c>
      <x:c r="B15" s="11" t="n">
        <x:v>432000</x:v>
      </x:c>
      <x:c r="C15" s="10" t="str">
        <x:v>Included within elemental costs; memorandum only</x:v>
      </x:c>
      <x:c r="D15" s="10" t="str">
        <x:v>Falmouth_OCE_October2024_RevA.pdf</x:v>
      </x:c>
      <x:c r="E15" s="10" t="n">
        <x:v>4</x:v>
      </x:c>
      <x:c r="F15" s="1"/>
      <x:c r="G15" s="1"/>
      <x:c r="H15" s="1"/>
      <x:c r="I15" s="1"/>
    </x:row>
    <x:row r="16" ht="32" customHeight="1">
      <x:c r="A16" s="10" t="str">
        <x:v>Ventilation</x:v>
      </x:c>
      <x:c r="B16" s="11" t="n">
        <x:v>55000</x:v>
      </x:c>
      <x:c r="C16" s="10" t="str">
        <x:v>Included within elemental costs; memorandum only</x:v>
      </x:c>
      <x:c r="D16" s="10" t="str">
        <x:v>Falmouth_OCE_October2024_RevA.pdf</x:v>
      </x:c>
      <x:c r="E16" s="10" t="n">
        <x:v>4</x:v>
      </x:c>
      <x:c r="F16" s="1"/>
      <x:c r="G16" s="1"/>
      <x:c r="H16" s="1"/>
      <x:c r="I16" s="1"/>
    </x:row>
    <x:row r="17" ht="32" customHeight="1">
      <x:c r="A17" s="10" t="str">
        <x:v>Scaffolding (enclosed)</x:v>
      </x:c>
      <x:c r="B17" s="11" t="n">
        <x:v>160000</x:v>
      </x:c>
      <x:c r="C17" s="10" t="str">
        <x:v>Included within elemental costs; memorandum only</x:v>
      </x:c>
      <x:c r="D17" s="10" t="str">
        <x:v>Falmouth_OCE_October2024_RevA.pdf</x:v>
      </x:c>
      <x:c r="E17" s="10" t="n">
        <x:v>4</x:v>
      </x:c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Explicit exclusions, PDF pages 3 and 4. No zero-priced offers are implied.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Objets d'art &amp; all other art/decorative installations</x:v>
      </x:c>
      <x:c r="B5" s="11" t="str">
        <x:v>Excluded</x:v>
      </x:c>
      <x:c r="C5" s="10" t="str">
        <x:v>Excluded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Additional fit out items including specialist joinery</x:v>
      </x:c>
      <x:c r="B6" s="11" t="str">
        <x:v>Excluded</x:v>
      </x:c>
      <x:c r="C6" s="10" t="str">
        <x:v>Excluded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CCTV, smart systems</x:v>
      </x:c>
      <x:c r="B7" s="11" t="str">
        <x:v>Excluded</x:v>
      </x:c>
      <x:c r="C7" s="10" t="str">
        <x:v>Excluded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Specialist lighting installations and light fittings above standard</x:v>
      </x:c>
      <x:c r="B8" s="11" t="str">
        <x:v>Excluded</x:v>
      </x:c>
      <x:c r="C8" s="10" t="str">
        <x:v>Excluded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Soil investigation/contamination reports and resulting requirements</x:v>
      </x:c>
      <x:c r="B9" s="11" t="str">
        <x:v>Excluded</x:v>
      </x:c>
      <x:c r="C9" s="10" t="str">
        <x:v>Excluded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De-canting of building/rooms and re-install</x:v>
      </x:c>
      <x:c r="B10" s="11" t="str">
        <x:v>Excluded</x:v>
      </x:c>
      <x:c r="C10" s="10" t="str">
        <x:v>Excluded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M &amp; E consultants or structural engineer design/specification/reports</x:v>
      </x:c>
      <x:c r="B11" s="11" t="str">
        <x:v>Excluded</x:v>
      </x:c>
      <x:c r="C11" s="10" t="str">
        <x:v>Excluded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 t="str">
        <x:v>Works/costs with onerous planning conditions particularly material specification</x:v>
      </x:c>
      <x:c r="B12" s="11" t="str">
        <x:v>Excluded</x:v>
      </x:c>
      <x:c r="C12" s="10" t="str">
        <x:v>Excluded</x:v>
      </x:c>
      <x:c r="D12" s="10" t="str">
        <x:v>Falmouth_OCE_October2024_RevA.pdf</x:v>
      </x:c>
      <x:c r="E12" s="10" t="n">
        <x:v>3</x:v>
      </x:c>
      <x:c r="F12" s="1"/>
      <x:c r="G12" s="1"/>
      <x:c r="H12" s="1"/>
      <x:c r="I12" s="1"/>
    </x:row>
    <x:row r="13" ht="32" customHeight="1">
      <x:c r="A13" s="10" t="str">
        <x:v>Professional Fees: Architect, Structural Engineer, Quantity Surveyor</x:v>
      </x:c>
      <x:c r="B13" s="11" t="str">
        <x:v>Excluded</x:v>
      </x:c>
      <x:c r="C13" s="10" t="str">
        <x:v>Excluded</x:v>
      </x:c>
      <x:c r="D13" s="10" t="str">
        <x:v>Falmouth_OCE_October2024_RevA.pdf</x:v>
      </x:c>
      <x:c r="E13" s="10" t="n">
        <x:v>3</x:v>
      </x:c>
      <x:c r="F13" s="1"/>
      <x:c r="G13" s="1"/>
      <x:c r="H13" s="1"/>
      <x:c r="I13" s="1"/>
    </x:row>
    <x:row r="14" ht="32" customHeight="1">
      <x:c r="A14" s="10" t="str">
        <x:v>Ecologist fees</x:v>
      </x:c>
      <x:c r="B14" s="11" t="str">
        <x:v>Excluded</x:v>
      </x:c>
      <x:c r="C14" s="10" t="str">
        <x:v>Excluded</x:v>
      </x:c>
      <x:c r="D14" s="10" t="str">
        <x:v>Falmouth_OCE_October2024_RevA.pdf</x:v>
      </x:c>
      <x:c r="E14" s="10" t="n">
        <x:v>3</x:v>
      </x:c>
      <x:c r="F14" s="1"/>
      <x:c r="G14" s="1"/>
      <x:c r="H14" s="1"/>
      <x:c r="I14" s="1"/>
    </x:row>
    <x:row r="15" ht="32" customHeight="1">
      <x:c r="A15" s="10" t="str">
        <x:v>CC Planning/Building Regulations Application/Inspection Fees</x:v>
      </x:c>
      <x:c r="B15" s="11" t="str">
        <x:v>Excluded</x:v>
      </x:c>
      <x:c r="C15" s="10" t="str">
        <x:v>Excluded</x:v>
      </x:c>
      <x:c r="D15" s="10" t="str">
        <x:v>Falmouth_OCE_October2024_RevA.pdf</x:v>
      </x:c>
      <x:c r="E15" s="10" t="n">
        <x:v>3</x:v>
      </x:c>
      <x:c r="F15" s="1"/>
      <x:c r="G15" s="1"/>
      <x:c r="H15" s="1"/>
      <x:c r="I15" s="1"/>
    </x:row>
    <x:row r="16" ht="32" customHeight="1">
      <x:c r="A16" s="10" t="str">
        <x:v>Legal fees</x:v>
      </x:c>
      <x:c r="B16" s="11" t="str">
        <x:v>Excluded</x:v>
      </x:c>
      <x:c r="C16" s="10" t="str">
        <x:v>Excluded</x:v>
      </x:c>
      <x:c r="D16" s="10" t="str">
        <x:v>Falmouth_OCE_October2024_RevA.pdf</x:v>
      </x:c>
      <x:c r="E16" s="10" t="n">
        <x:v>3</x:v>
      </x:c>
      <x:c r="F16" s="1"/>
      <x:c r="G16" s="1"/>
      <x:c r="H16" s="1"/>
      <x:c r="I16" s="1"/>
    </x:row>
    <x:row r="17" ht="32" customHeight="1">
      <x:c r="A17" s="10" t="str">
        <x:v>Interest and other financing costs</x:v>
      </x:c>
      <x:c r="B17" s="11" t="str">
        <x:v>Excluded</x:v>
      </x:c>
      <x:c r="C17" s="10" t="str">
        <x:v>Excluded</x:v>
      </x:c>
      <x:c r="D17" s="10" t="str">
        <x:v>Falmouth_OCE_October2024_RevA.pdf</x:v>
      </x:c>
      <x:c r="E17" s="10" t="n">
        <x:v>3</x:v>
      </x:c>
      <x:c r="F17" s="1"/>
      <x:c r="G17" s="1"/>
      <x:c r="H17" s="1"/>
      <x:c r="I17" s="1"/>
    </x:row>
    <x:row r="18" ht="32" customHeight="1">
      <x:c r="A18" s="10" t="str">
        <x:v>Increased foreign trade tariff costs surrounding UK withdrawal from EU</x:v>
      </x:c>
      <x:c r="B18" s="11" t="str">
        <x:v>Excluded</x:v>
      </x:c>
      <x:c r="C18" s="10" t="str">
        <x:v>Excluded</x:v>
      </x:c>
      <x:c r="D18" s="10" t="str">
        <x:v>Falmouth_OCE_October2024_RevA.pdf</x:v>
      </x:c>
      <x:c r="E18" s="10" t="n">
        <x:v>3</x:v>
      </x:c>
      <x:c r="F18" s="1"/>
      <x:c r="G18" s="1"/>
      <x:c r="H18" s="1"/>
      <x:c r="I18" s="1"/>
    </x:row>
    <x:row r="19" ht="32" customHeight="1">
      <x:c r="A19" s="10" t="str">
        <x:v>Increased costs from conflict in Ukraine and Middle East</x:v>
      </x:c>
      <x:c r="B19" s="11" t="str">
        <x:v>Excluded</x:v>
      </x:c>
      <x:c r="C19" s="10" t="str">
        <x:v>Excluded</x:v>
      </x:c>
      <x:c r="D19" s="10" t="str">
        <x:v>Falmouth_OCE_October2024_RevA.pdf</x:v>
      </x:c>
      <x:c r="E19" s="10" t="n">
        <x:v>3</x:v>
      </x:c>
      <x:c r="F19" s="1"/>
      <x:c r="G19" s="1"/>
      <x:c r="H19" s="1"/>
      <x:c r="I19" s="1"/>
    </x:row>
    <x:row r="20" ht="32" customHeight="1">
      <x:c r="A20" s="10" t="str">
        <x:v>Value Added Tax where applicable</x:v>
      </x:c>
      <x:c r="B20" s="11" t="str">
        <x:v>Excluded</x:v>
      </x:c>
      <x:c r="C20" s="10" t="str">
        <x:v>Excluded</x:v>
      </x:c>
      <x:c r="D20" s="10" t="str">
        <x:v>Falmouth_OCE_October2024_RevA.pdf</x:v>
      </x:c>
      <x:c r="E20" s="10" t="n">
        <x:v>3</x:v>
      </x:c>
      <x:c r="F20" s="1"/>
      <x:c r="G20" s="1"/>
      <x:c r="H20" s="1"/>
      <x:c r="I20" s="1"/>
    </x:row>
    <x:row r="21" ht="32" customHeight="1">
      <x:c r="A21" s="10" t="str">
        <x:v>Dry rot treatment</x:v>
      </x:c>
      <x:c r="B21" s="11" t="str">
        <x:v>Excluded</x:v>
      </x:c>
      <x:c r="C21" s="10" t="str">
        <x:v>Excluded</x:v>
      </x:c>
      <x:c r="D21" s="10" t="str">
        <x:v>Falmouth_OCE_October2024_RevA.pdf</x:v>
      </x:c>
      <x:c r="E21" s="10" t="n">
        <x:v>3</x:v>
      </x:c>
      <x:c r="F21" s="1"/>
      <x:c r="G21" s="1"/>
      <x:c r="H21" s="1"/>
      <x:c r="I21" s="1"/>
    </x:row>
    <x:row r="22" ht="32" customHeight="1">
      <x:c r="A22" s="10" t="str">
        <x:v>Asbestos removal</x:v>
      </x:c>
      <x:c r="B22" s="11" t="str">
        <x:v>Excluded</x:v>
      </x:c>
      <x:c r="C22" s="10" t="str">
        <x:v>Excluded</x:v>
      </x:c>
      <x:c r="D22" s="10" t="str">
        <x:v>Falmouth_OCE_October2024_RevA.pdf</x:v>
      </x:c>
      <x:c r="E22" s="10" t="n">
        <x:v>3</x:v>
      </x:c>
      <x:c r="F22" s="1"/>
      <x:c r="G22" s="1"/>
      <x:c r="H22" s="1"/>
      <x:c r="I22" s="1"/>
    </x:row>
    <x:row r="23" ht="32" customHeight="1">
      <x:c r="A23" s="10" t="str">
        <x:v>Above ground drainage</x:v>
      </x:c>
      <x:c r="B23" s="11" t="str">
        <x:v>Excluded</x:v>
      </x:c>
      <x:c r="C23" s="10" t="str">
        <x:v>Excluded</x:v>
      </x:c>
      <x:c r="D23" s="10" t="str">
        <x:v>Falmouth_OCE_October2024_RevA.pdf</x:v>
      </x:c>
      <x:c r="E23" s="10" t="n">
        <x:v>4</x:v>
      </x:c>
      <x:c r="F23" s="1"/>
      <x:c r="G23" s="1"/>
      <x:c r="H23" s="1"/>
      <x:c r="I23" s="1"/>
    </x:row>
    <x:row r="24" ht="32" customHeight="1">
      <x:c r="A24" s="10" t="str">
        <x:v>Fire Safety</x:v>
      </x:c>
      <x:c r="B24" s="11" t="str">
        <x:v>Excluded</x:v>
      </x:c>
      <x:c r="C24" s="10" t="str">
        <x:v>Excluded</x:v>
      </x:c>
      <x:c r="D24" s="10" t="str">
        <x:v>Falmouth_OCE_October2024_RevA.pdf</x:v>
      </x:c>
      <x:c r="E24" s="10" t="n">
        <x:v>4</x:v>
      </x:c>
      <x:c r="F24" s="1"/>
      <x:c r="G24" s="1"/>
      <x:c r="H24" s="1"/>
      <x:c r="I24" s="1"/>
    </x:row>
    <x:row r="25" ht="32" customHeight="1">
      <x:c r="A25" s="10" t="str">
        <x:v>Security/Access Control</x:v>
      </x:c>
      <x:c r="B25" s="11" t="str">
        <x:v>Excluded</x:v>
      </x:c>
      <x:c r="C25" s="10" t="str">
        <x:v>Excluded</x:v>
      </x:c>
      <x:c r="D25" s="10" t="str">
        <x:v>Falmouth_OCE_October2024_RevA.pdf</x:v>
      </x:c>
      <x:c r="E25" s="10" t="n">
        <x:v>4</x:v>
      </x:c>
      <x:c r="F25" s="1"/>
      <x:c r="G25" s="1"/>
      <x:c r="H25" s="1"/>
      <x:c r="I25" s="1"/>
    </x:row>
    <x:row r="26" ht="32" customHeight="1">
      <x:c r="A26" s="10" t="str">
        <x:v>AWC Call Alarms</x:v>
      </x:c>
      <x:c r="B26" s="11" t="str">
        <x:v>Excluded</x:v>
      </x:c>
      <x:c r="C26" s="10" t="str">
        <x:v>Excluded</x:v>
      </x:c>
      <x:c r="D26" s="10" t="str">
        <x:v>Falmouth_OCE_October2024_RevA.pdf</x:v>
      </x:c>
      <x:c r="E26" s="10" t="n">
        <x:v>4</x:v>
      </x:c>
      <x:c r="F26" s="1"/>
      <x:c r="G26" s="1"/>
      <x:c r="H26" s="1"/>
      <x:c r="I26" s="1"/>
    </x:row>
    <x:row r="27" ht="32" customHeight="1">
      <x:c r="A27" s="10" t="str">
        <x:v>Lightning Protection</x:v>
      </x:c>
      <x:c r="B27" s="11" t="str">
        <x:v>Excluded</x:v>
      </x:c>
      <x:c r="C27" s="10" t="str">
        <x:v>Excluded</x:v>
      </x:c>
      <x:c r="D27" s="10" t="str">
        <x:v>Falmouth_OCE_October2024_RevA.pdf</x:v>
      </x:c>
      <x:c r="E27" s="10" t="n">
        <x:v>4</x:v>
      </x:c>
      <x:c r="F27" s="1"/>
      <x:c r="G27" s="1"/>
      <x:c r="H27" s="1"/>
      <x:c r="I27" s="1"/>
    </x:row>
    <x:row r="28" ht="32" customHeight="1">
      <x:c r="A28" s="10" t="str">
        <x:v>Lift Works</x:v>
      </x:c>
      <x:c r="B28" s="11" t="str">
        <x:v>Excluded</x:v>
      </x:c>
      <x:c r="C28" s="10" t="str">
        <x:v>Excluded</x:v>
      </x:c>
      <x:c r="D28" s="10" t="str">
        <x:v>Falmouth_OCE_October2024_RevA.pdf</x:v>
      </x:c>
      <x:c r="E28" s="10" t="n">
        <x:v>4</x:v>
      </x:c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Notes and qualifications, PDF page 3.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Guide to probable current cost</x:v>
      </x:c>
      <x:c r="B5" s="11"/>
      <x:c r="C5" s="10" t="str">
        <x:v>Estimate is a guide only to probable current cost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Consultation with the Quantity Surveyor</x:v>
      </x:c>
      <x:c r="B6" s="11"/>
      <x:c r="C6" s="10" t="str">
        <x:v>Study in consultation with the Quantity Surveyor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Pre-planning drawings</x:v>
      </x:c>
      <x:c r="B7" s="11"/>
      <x:c r="C7" s="10" t="str">
        <x:v>Based on RTP pre-planning drawings; no input from another designer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Works as envisaged</x:v>
      </x:c>
      <x:c r="B8" s="11"/>
      <x:c r="C8" s="10" t="str">
        <x:v>Works as envisaged in drawings and specifications in Basis of Estimate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Single phase contractor</x:v>
      </x:c>
      <x:c r="B9" s="11"/>
      <x:c r="C9" s="10" t="str">
        <x:v>Single phase; local medium sized proficient contractor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Contract duration</x:v>
      </x:c>
      <x:c r="B10" s="11"/>
      <x:c r="C10" s="10" t="str">
        <x:v>Contract duration not to exceed 45 weeks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Price basis and inflation period</x:v>
      </x:c>
      <x:c r="B11" s="11"/>
      <x:c r="C11" s="10" t="str">
        <x:v>Rates at 4Q24 with inflation to 1Q25; BCIS indices not representative of Cornwall cost increases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/>
      <x:c r="B12" s="11"/>
      <x:c r="C12" s="10"/>
      <x:c r="D12" s="10"/>
      <x:c r="E12" s="10"/>
      <x:c r="F12" s="1"/>
      <x:c r="G12" s="1"/>
      <x:c r="H12" s="1"/>
      <x:c r="I12" s="1"/>
    </x:row>
    <x:row r="13" ht="32" customHeight="1">
      <x:c r="A13" s="10"/>
      <x:c r="B13" s="11"/>
      <x:c r="C13" s="10"/>
      <x:c r="D13" s="10"/>
      <x:c r="E13" s="10"/>
      <x:c r="F13" s="1"/>
      <x:c r="G13" s="1"/>
      <x:c r="H13" s="1"/>
      <x:c r="I13" s="1"/>
    </x:row>
    <x:row r="14" ht="32" customHeight="1">
      <x:c r="A14" s="10"/>
      <x:c r="B14" s="11"/>
      <x:c r="C14" s="10"/>
      <x:c r="D14" s="10"/>
      <x:c r="E14" s="10"/>
      <x:c r="F14" s="1"/>
      <x:c r="G14" s="1"/>
      <x:c r="H14" s="1"/>
      <x:c r="I14" s="1"/>
    </x:row>
    <x:row r="15" ht="32" customHeight="1">
      <x:c r="A15" s="10"/>
      <x:c r="B15" s="11"/>
      <x:c r="C15" s="10"/>
      <x:c r="D15" s="10"/>
      <x:c r="E15" s="10"/>
      <x:c r="F15" s="1"/>
      <x:c r="G15" s="1"/>
      <x:c r="H15" s="1"/>
      <x:c r="I15" s="1"/>
    </x:row>
    <x:row r="16" ht="32" customHeight="1">
      <x:c r="A16" s="10"/>
      <x:c r="B16" s="11"/>
      <x:c r="C16" s="10"/>
      <x:c r="D16" s="10"/>
      <x:c r="E16" s="10"/>
      <x:c r="F16" s="1"/>
      <x:c r="G16" s="1"/>
      <x:c r="H16" s="1"/>
      <x:c r="I16" s="1"/>
    </x:row>
    <x:row r="17" ht="32" customHeight="1">
      <x:c r="A17" s="10"/>
      <x:c r="B17" s="11"/>
      <x:c r="C17" s="10"/>
      <x:c r="D17" s="10"/>
      <x:c r="E17" s="10"/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82" hidden="0" customWidth="1"/>
    <x:col min="5" max="5" width="40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Project-authored review scenario. Prices share the estimate price date and exclude VAT and subsequent fee/allowance additions.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Working amount</x:v>
      </x:c>
      <x:c r="D4" s="4" t="str">
        <x:v>Scope</x:v>
      </x:c>
      <x:c r="E4" s="4" t="str">
        <x:v>Source</x:v>
      </x:c>
      <x:c r="F4" s="4"/>
      <x:c r="G4" s="4"/>
      <x:c r="H4" s="4"/>
      <x:c r="I4" s="4"/>
    </x:row>
    <x:row r="5" ht="54" customHeight="1">
      <x:c r="A5" s="10" t="str">
        <x:v>Current heating / ASHP quotation</x:v>
      </x:c>
      <x:c r="B5" s="11"/>
      <x:c r="C5" s="12" t="n">
        <x:v>458000</x:v>
      </x:c>
      <x:c r="D5" s="10" t="str">
        <x:v>Current same-scope replacement of the included original heating allowance; ventilation and all other works unchanged.</x:v>
      </x:c>
      <x:c r="E5" s="10" t="str">
        <x:v>review_correspondence.md</x:v>
      </x:c>
      <x:c r="F5" s="1"/>
      <x:c r="G5" s="1"/>
      <x:c r="H5" s="1"/>
      <x:c r="I5" s="1"/>
    </x:row>
    <x:row r="6" ht="54" customHeight="1">
      <x:c r="A6" s="10" t="str">
        <x:v>Earlier heating / ASHP quotation</x:v>
      </x:c>
      <x:c r="B6" s="11" t="n">
        <x:v>472000</x:v>
      </x:c>
      <x:c r="C6" s="11"/>
      <x:c r="D6" s="10" t="str">
        <x:v>Superseded by the current quotation; not an additional charge.</x:v>
      </x:c>
      <x:c r="E6" s="10" t="str">
        <x:v>review_correspondence.md</x:v>
      </x:c>
      <x:c r="F6" s="1"/>
      <x:c r="G6" s="1"/>
      <x:c r="H6" s="1"/>
      <x:c r="I6" s="1"/>
    </x:row>
    <x:row r="7" ht="54" customHeight="1">
      <x:c r="A7" s="10" t="str">
        <x:v>Asbestos removal option</x:v>
      </x:c>
      <x:c r="B7" s="11"/>
      <x:c r="C7" s="12" t="n">
        <x:v>18000</x:v>
      </x:c>
      <x:c r="D7" s="10" t="str">
        <x:v>Not approved; excluded from current cost limit. Option price is shown separately.</x:v>
      </x:c>
      <x:c r="E7" s="10" t="str">
        <x:v>review_correspondence.md</x:v>
      </x:c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