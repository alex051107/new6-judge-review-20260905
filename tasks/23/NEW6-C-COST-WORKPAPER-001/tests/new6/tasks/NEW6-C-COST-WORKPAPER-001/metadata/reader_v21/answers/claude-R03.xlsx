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Breakdown" sheetId="1" state="visible" r:id="rId1"/>
    <sheet xmlns:r="http://schemas.openxmlformats.org/officeDocument/2006/relationships" name="Working Calculation" sheetId="2" state="visible" r:id="rId2"/>
    <sheet xmlns:r="http://schemas.openxmlformats.org/officeDocument/2006/relationships" name="Reconciliation" sheetId="3" state="visible" r:id="rId3"/>
    <sheet xmlns:r="http://schemas.openxmlformats.org/officeDocument/2006/relationships" name="Source 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"/>
  </numFmts>
  <fonts count="8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color rgb="00FFFFFF"/>
      <sz val="11"/>
    </font>
    <font>
      <b val="1"/>
      <sz val="10"/>
    </font>
    <font>
      <b val="1"/>
      <sz val="11"/>
    </font>
    <font>
      <i val="1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B4C7E7"/>
        <bgColor rgb="00B4C7E7"/>
      </patternFill>
    </fill>
    <fill>
      <patternFill patternType="solid">
        <fgColor rgb="00FCE4D6"/>
        <bgColor rgb="00FCE4D6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pivotButton="0" quotePrefix="0" xfId="0"/>
    <xf numFmtId="164" fontId="0" fillId="0" borderId="0" pivotButton="0" quotePrefix="0" xfId="0"/>
    <xf numFmtId="164" fontId="0" fillId="4" borderId="0" pivotButton="0" quotePrefix="0" xfId="0"/>
    <xf numFmtId="0" fontId="4" fillId="5" borderId="0" pivotButton="0" quotePrefix="0" xfId="0"/>
    <xf numFmtId="164" fontId="4" fillId="5" borderId="0" pivotButton="0" quotePrefix="0" xfId="0"/>
    <xf numFmtId="0" fontId="4" fillId="6" borderId="0" pivotButton="0" quotePrefix="0" xfId="0"/>
    <xf numFmtId="164" fontId="4" fillId="6" borderId="0" pivotButton="0" quotePrefix="0" xfId="0"/>
    <xf numFmtId="0" fontId="3" fillId="2" borderId="0" pivotButton="0" quotePrefix="0" xfId="0"/>
    <xf numFmtId="164" fontId="3" fillId="2" borderId="0" pivotButton="0" quotePrefix="0" xfId="0"/>
    <xf numFmtId="0" fontId="4" fillId="7" borderId="0" pivotButton="0" quotePrefix="0" xfId="0"/>
    <xf numFmtId="0" fontId="0" fillId="7" borderId="0" pivotButton="0" quotePrefix="0" xfId="0"/>
    <xf numFmtId="164" fontId="0" fillId="7" borderId="0" pivotButton="0" quotePrefix="0" xfId="0"/>
    <xf numFmtId="0" fontId="6" fillId="0" borderId="0" pivotButton="0" quotePrefix="0" xfId="0"/>
    <xf numFmtId="164" fontId="0" fillId="8" borderId="0" pivotButton="0" quotePrefix="0" xfId="0"/>
    <xf numFmtId="10" fontId="0" fillId="0" borderId="0" pivotButton="0" quotePrefix="0" xfId="0"/>
    <xf numFmtId="10" fontId="0" fillId="8" borderId="0" pivotButton="0" quotePrefix="0" xfId="0"/>
    <xf numFmtId="164" fontId="7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7" fillId="5" borderId="0" pivotButton="0" quotePrefix="0" xfId="0"/>
    <xf numFmtId="164" fontId="7" fillId="5" borderId="0" pivotButton="0" quotePrefix="0" xfId="0"/>
    <xf numFmtId="0" fontId="5" fillId="6" borderId="0" pivotButton="0" quotePrefix="0" xfId="0"/>
    <xf numFmtId="164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5" customWidth="1" min="4" max="4"/>
    <col width="35" customWidth="1" min="5" max="5"/>
  </cols>
  <sheetData>
    <row r="1">
      <c r="A1" s="1" t="inlineStr">
        <is>
          <t>COST REVIEW WORKBOOK</t>
        </is>
      </c>
    </row>
    <row r="2">
      <c r="A2" s="2" t="inlineStr">
        <is>
          <t>Municipal Building, The Moor, Falmouth</t>
        </is>
      </c>
    </row>
    <row r="3">
      <c r="A3" s="2" t="inlineStr">
        <is>
          <t>October 2024 Revision A - Cost Review</t>
        </is>
      </c>
    </row>
    <row r="5">
      <c r="A5" s="3" t="inlineStr">
        <is>
          <t>Element / Package</t>
        </is>
      </c>
      <c r="B5" s="3" t="inlineStr">
        <is>
          <t>Original Estimate</t>
        </is>
      </c>
      <c r="C5" s="3" t="inlineStr">
        <is>
          <t>Current Review</t>
        </is>
      </c>
      <c r="D5" s="3" t="inlineStr">
        <is>
          <t>Movement</t>
        </is>
      </c>
      <c r="E5" s="3" t="inlineStr">
        <is>
          <t>Notes</t>
        </is>
      </c>
    </row>
    <row r="6">
      <c r="A6" s="4" t="inlineStr">
        <is>
          <t>BUILDING WORKS ESTIMATE</t>
        </is>
      </c>
    </row>
    <row r="7">
      <c r="A7" t="inlineStr">
        <is>
          <t>Grade 2 Listing</t>
        </is>
      </c>
      <c r="B7" s="5" t="n">
        <v>0</v>
      </c>
      <c r="C7" s="5" t="n">
        <v>0</v>
      </c>
      <c r="D7" s="5">
        <f>C7-B7</f>
        <v/>
      </c>
    </row>
    <row r="8">
      <c r="A8" t="inlineStr">
        <is>
          <t>Pitched Roof</t>
        </is>
      </c>
      <c r="B8" s="5" t="n">
        <v>418900</v>
      </c>
      <c r="C8" s="5" t="n">
        <v>418900</v>
      </c>
      <c r="D8" s="5">
        <f>C8-B8</f>
        <v/>
      </c>
    </row>
    <row r="9">
      <c r="A9" t="inlineStr">
        <is>
          <t>Rear Roof</t>
        </is>
      </c>
      <c r="B9" s="5" t="n">
        <v>9600</v>
      </c>
      <c r="C9" s="5" t="n">
        <v>9600</v>
      </c>
      <c r="D9" s="5">
        <f>C9-B9</f>
        <v/>
      </c>
    </row>
    <row r="10">
      <c r="A10" t="inlineStr">
        <is>
          <t>Rear Roof (refer to Pitched Roof for costs)</t>
        </is>
      </c>
      <c r="B10" s="5" t="n">
        <v>400</v>
      </c>
      <c r="C10" s="5" t="n">
        <v>400</v>
      </c>
      <c r="D10" s="5">
        <f>C10-B10</f>
        <v/>
      </c>
    </row>
    <row r="11">
      <c r="A11" t="inlineStr">
        <is>
          <t>Valley and Parapet Gutters</t>
        </is>
      </c>
      <c r="B11" s="5" t="n">
        <v>16700</v>
      </c>
      <c r="C11" s="5" t="n">
        <v>16700</v>
      </c>
      <c r="D11" s="5">
        <f>C11-B11</f>
        <v/>
      </c>
    </row>
    <row r="12">
      <c r="A12" t="inlineStr">
        <is>
          <t>Parapet Walls</t>
        </is>
      </c>
      <c r="B12" s="5" t="n">
        <v>13800</v>
      </c>
      <c r="C12" s="5" t="n">
        <v>13800</v>
      </c>
      <c r="D12" s="5">
        <f>C12-B12</f>
        <v/>
      </c>
    </row>
    <row r="13">
      <c r="A13" t="inlineStr">
        <is>
          <t>Rendered Masonry</t>
        </is>
      </c>
      <c r="B13" s="5" t="n">
        <v>47950</v>
      </c>
      <c r="C13" s="5" t="n">
        <v>47950</v>
      </c>
      <c r="D13" s="5">
        <f>C13-B13</f>
        <v/>
      </c>
    </row>
    <row r="14">
      <c r="A14" t="inlineStr">
        <is>
          <t>Rainwater Goods</t>
        </is>
      </c>
      <c r="B14" s="5" t="n">
        <v>110725</v>
      </c>
      <c r="C14" s="5" t="n">
        <v>110725</v>
      </c>
      <c r="D14" s="5">
        <f>C14-B14</f>
        <v/>
      </c>
    </row>
    <row r="15">
      <c r="A15" t="inlineStr">
        <is>
          <t>Rooflights</t>
        </is>
      </c>
      <c r="B15" s="5" t="n">
        <v>7200</v>
      </c>
      <c r="C15" s="5" t="n">
        <v>7200</v>
      </c>
      <c r="D15" s="5">
        <f>C15-B15</f>
        <v/>
      </c>
    </row>
    <row r="16">
      <c r="A16" t="inlineStr">
        <is>
          <t>Central Lantern Feature</t>
        </is>
      </c>
      <c r="B16" s="5" t="n">
        <v>89450</v>
      </c>
      <c r="C16" s="5" t="n">
        <v>89450</v>
      </c>
      <c r="D16" s="5">
        <f>C16-B16</f>
        <v/>
      </c>
    </row>
    <row r="17">
      <c r="A17" t="inlineStr">
        <is>
          <t>Lantern Light and Skylight</t>
        </is>
      </c>
      <c r="B17" s="5" t="n">
        <v>16100</v>
      </c>
      <c r="C17" s="5" t="n">
        <v>16100</v>
      </c>
      <c r="D17" s="5">
        <f>C17-B17</f>
        <v/>
      </c>
    </row>
    <row r="18">
      <c r="A18" t="inlineStr">
        <is>
          <t>Windows</t>
        </is>
      </c>
      <c r="B18" s="5" t="n">
        <v>46950</v>
      </c>
      <c r="C18" s="5" t="n">
        <v>46950</v>
      </c>
      <c r="D18" s="5">
        <f>C18-B18</f>
        <v/>
      </c>
    </row>
    <row r="19">
      <c r="A19" t="inlineStr">
        <is>
          <t>Doors</t>
        </is>
      </c>
      <c r="B19" s="5" t="n">
        <v>15000</v>
      </c>
      <c r="C19" s="5" t="n">
        <v>15000</v>
      </c>
      <c r="D19" s="5">
        <f>C19-B19</f>
        <v/>
      </c>
    </row>
    <row r="20">
      <c r="A20" t="inlineStr">
        <is>
          <t>Walls</t>
        </is>
      </c>
      <c r="B20" s="5" t="n">
        <v>18200</v>
      </c>
      <c r="C20" s="5" t="n">
        <v>18200</v>
      </c>
      <c r="D20" s="5">
        <f>C20-B20</f>
        <v/>
      </c>
    </row>
    <row r="21">
      <c r="A21" t="inlineStr">
        <is>
          <t>Mechanical and Electrical Services</t>
        </is>
      </c>
      <c r="B21" s="5" t="n">
        <v>619250</v>
      </c>
      <c r="C21" s="6" t="n">
        <v>645250</v>
      </c>
      <c r="D21" s="5">
        <f>C21-B21</f>
        <v/>
      </c>
      <c r="E21" t="inlineStr">
        <is>
          <t>Heating package updated</t>
        </is>
      </c>
    </row>
    <row r="22">
      <c r="A22" s="7" t="inlineStr">
        <is>
          <t>Building Works Estimate Total</t>
        </is>
      </c>
      <c r="B22" s="8" t="n">
        <v>1430225</v>
      </c>
      <c r="C22" s="8">
        <f>SUM(C7:C21)</f>
        <v/>
      </c>
      <c r="D22" s="8">
        <f>C22-B22</f>
        <v/>
      </c>
    </row>
    <row r="24">
      <c r="A24" s="4" t="inlineStr">
        <is>
          <t>MAIN CONTRACTOR ADDITIONS</t>
        </is>
      </c>
    </row>
    <row r="25">
      <c r="A25" t="inlineStr">
        <is>
          <t>Main Contractors Preliminaries</t>
        </is>
      </c>
      <c r="B25" s="5" t="n">
        <v>182800</v>
      </c>
      <c r="C25" s="5" t="n">
        <v>182800</v>
      </c>
      <c r="D25" s="5">
        <f>C25-B25</f>
        <v/>
      </c>
    </row>
    <row r="26">
      <c r="A26" t="inlineStr">
        <is>
          <t>Main Contractors Overheads &amp; Profit</t>
        </is>
      </c>
      <c r="B26" s="5" t="n">
        <v>161303</v>
      </c>
      <c r="C26" s="5">
        <f>ROUND((C22+C25)*0.10,0)</f>
        <v/>
      </c>
      <c r="D26" s="5">
        <f>C26-B26</f>
        <v/>
      </c>
      <c r="E26" t="inlineStr">
        <is>
          <t>10% of works + prelims</t>
        </is>
      </c>
    </row>
    <row r="27">
      <c r="A27" s="9" t="inlineStr">
        <is>
          <t>BUILDING WORKS TOTAL</t>
        </is>
      </c>
      <c r="B27" s="10" t="n">
        <v>1774328</v>
      </c>
      <c r="C27" s="10">
        <f>C22+C25+C26</f>
        <v/>
      </c>
      <c r="D27" s="10">
        <f>C27-B27</f>
        <v/>
      </c>
    </row>
    <row r="29">
      <c r="A29" t="inlineStr">
        <is>
          <t>Project Consultants Fees</t>
        </is>
      </c>
      <c r="B29" t="inlineStr">
        <is>
          <t>Excluded</t>
        </is>
      </c>
      <c r="C29" t="inlineStr">
        <is>
          <t>Excluded</t>
        </is>
      </c>
      <c r="E29" t="inlineStr">
        <is>
          <t>As per original estimate</t>
        </is>
      </c>
    </row>
    <row r="30">
      <c r="A30" s="9" t="inlineStr">
        <is>
          <t>COST LIMIT (VAT Excluded)</t>
        </is>
      </c>
      <c r="B30" s="10" t="n">
        <v>1774328</v>
      </c>
      <c r="C30" s="10">
        <f>C27</f>
        <v/>
      </c>
      <c r="D30" s="10">
        <f>C30-B30</f>
        <v/>
      </c>
    </row>
    <row r="32">
      <c r="A32" s="4" t="inlineStr">
        <is>
          <t>RISK ALLOWANCES</t>
        </is>
      </c>
    </row>
    <row r="33">
      <c r="A33" t="inlineStr">
        <is>
          <t>Design Development Risks</t>
        </is>
      </c>
      <c r="B33" s="5" t="n">
        <v>177433</v>
      </c>
      <c r="C33" s="6">
        <f>ROUND(C30*0.12,0)</f>
        <v/>
      </c>
      <c r="D33" s="5">
        <f>C33-B33</f>
        <v/>
      </c>
      <c r="E33" t="inlineStr">
        <is>
          <t>Orig 10%, Review 12%</t>
        </is>
      </c>
    </row>
    <row r="34">
      <c r="A34" t="inlineStr">
        <is>
          <t>Construction Risks</t>
        </is>
      </c>
      <c r="B34" s="5" t="n">
        <v>0</v>
      </c>
      <c r="C34" s="5" t="n">
        <v>0</v>
      </c>
      <c r="D34" s="5">
        <f>C34-B34</f>
        <v/>
      </c>
    </row>
    <row r="35">
      <c r="A35" t="inlineStr">
        <is>
          <t>Employer Change Risks</t>
        </is>
      </c>
      <c r="B35" s="5" t="n">
        <v>0</v>
      </c>
      <c r="C35" s="5" t="n">
        <v>0</v>
      </c>
      <c r="D35" s="5">
        <f>C35-B35</f>
        <v/>
      </c>
    </row>
    <row r="36">
      <c r="A36" s="9" t="inlineStr">
        <is>
          <t>COST LIMIT (Inflation Excluded)</t>
        </is>
      </c>
      <c r="B36" s="10" t="n">
        <v>1951760</v>
      </c>
      <c r="C36" s="10">
        <f>C30+C33+C34+C35</f>
        <v/>
      </c>
      <c r="D36" s="10">
        <f>C36-B36</f>
        <v/>
      </c>
    </row>
    <row r="38">
      <c r="A38" t="inlineStr">
        <is>
          <t>Inflation Allowance - 4Q24 to 1Q25</t>
        </is>
      </c>
      <c r="B38" s="5" t="n">
        <v>19518</v>
      </c>
      <c r="C38" s="5">
        <f>ROUND(C36*0.01,0)</f>
        <v/>
      </c>
      <c r="D38" s="5">
        <f>C38-B38</f>
        <v/>
      </c>
      <c r="E38" t="inlineStr">
        <is>
          <t>1.00% of cost limit</t>
        </is>
      </c>
    </row>
    <row r="39">
      <c r="A39" s="11" t="inlineStr">
        <is>
          <t>BASE COST ESTIMATE / COST LIMIT</t>
        </is>
      </c>
      <c r="B39" s="12" t="n">
        <v>1971278</v>
      </c>
      <c r="C39" s="12">
        <f>C36+C38</f>
        <v/>
      </c>
      <c r="D39" s="12">
        <f>C39-B39</f>
        <v/>
      </c>
    </row>
    <row r="42">
      <c r="A42" s="13" t="inlineStr">
        <is>
          <t>OPTIONS AWAITING DECISION</t>
        </is>
      </c>
    </row>
    <row r="43">
      <c r="A43" s="14" t="inlineStr">
        <is>
          <t>Asbestos Removal</t>
        </is>
      </c>
      <c r="B43" s="14" t="inlineStr">
        <is>
          <t>-</t>
        </is>
      </c>
      <c r="C43" s="15" t="n">
        <v>18000</v>
      </c>
      <c r="D43" s="14" t="inlineStr">
        <is>
          <t>N/A</t>
        </is>
      </c>
      <c r="E43" s="14" t="inlineStr">
        <is>
          <t>Not approved for inclusion</t>
        </is>
      </c>
    </row>
  </sheetData>
  <mergeCells count="4">
    <mergeCell ref="A6:E6"/>
    <mergeCell ref="A42:E42"/>
    <mergeCell ref="A32:E32"/>
    <mergeCell ref="A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35" customWidth="1" min="4" max="4"/>
  </cols>
  <sheetData>
    <row r="1">
      <c r="A1" s="1" t="inlineStr">
        <is>
          <t>WORKING CALCULATION</t>
        </is>
      </c>
    </row>
    <row r="2">
      <c r="A2" s="16" t="inlineStr">
        <is>
          <t>Editable prices and allowance rates</t>
        </is>
      </c>
    </row>
    <row r="4">
      <c r="A4" s="4" t="inlineStr">
        <is>
          <t>PACKAGE PRICES (excl. VAT, fees, allowances)</t>
        </is>
      </c>
    </row>
    <row r="5">
      <c r="A5" s="11" t="inlineStr">
        <is>
          <t>Package</t>
        </is>
      </c>
      <c r="B5" s="11" t="inlineStr">
        <is>
          <t>Original Price</t>
        </is>
      </c>
      <c r="C5" s="11" t="inlineStr">
        <is>
          <t>Review Price</t>
        </is>
      </c>
      <c r="D5" s="11" t="inlineStr">
        <is>
          <t>Notes</t>
        </is>
      </c>
    </row>
    <row r="6">
      <c r="A6" t="inlineStr">
        <is>
          <t>Heating &amp; ASHP</t>
        </is>
      </c>
      <c r="B6" s="5" t="n">
        <v>432000</v>
      </c>
      <c r="C6" s="17" t="n">
        <v>458000</v>
      </c>
      <c r="D6" t="inlineStr">
        <is>
          <t>Updated package price</t>
        </is>
      </c>
    </row>
    <row r="7">
      <c r="A7" t="inlineStr">
        <is>
          <t>Ventilation</t>
        </is>
      </c>
      <c r="B7" s="5" t="n">
        <v>55000</v>
      </c>
      <c r="C7" s="5" t="n">
        <v>55000</v>
      </c>
      <c r="D7" t="inlineStr">
        <is>
          <t>Unchanged</t>
        </is>
      </c>
    </row>
    <row r="8">
      <c r="A8" t="inlineStr">
        <is>
          <t>Electrical Power and Lighting</t>
        </is>
      </c>
      <c r="B8" s="5" t="n">
        <v>85750</v>
      </c>
      <c r="C8" s="5" t="n">
        <v>85750</v>
      </c>
      <c r="D8" t="inlineStr">
        <is>
          <t>Unchanged</t>
        </is>
      </c>
    </row>
    <row r="9">
      <c r="A9" t="inlineStr">
        <is>
          <t>Water Services</t>
        </is>
      </c>
      <c r="B9" s="5" t="n">
        <v>43500</v>
      </c>
      <c r="C9" s="5" t="n">
        <v>43500</v>
      </c>
      <c r="D9" t="inlineStr">
        <is>
          <t>Unchanged</t>
        </is>
      </c>
    </row>
    <row r="10">
      <c r="A10" t="inlineStr">
        <is>
          <t>Other M&amp;E (balance)</t>
        </is>
      </c>
      <c r="B10" s="5" t="n">
        <v>3000</v>
      </c>
      <c r="C10" s="5" t="n">
        <v>3000</v>
      </c>
      <c r="D10" t="inlineStr">
        <is>
          <t>Small items and rounding</t>
        </is>
      </c>
    </row>
    <row r="11">
      <c r="A11" s="7" t="inlineStr">
        <is>
          <t>Total M&amp;E Services</t>
        </is>
      </c>
      <c r="B11" s="8">
        <f>SUM(B6:B10)</f>
        <v/>
      </c>
      <c r="C11" s="8">
        <f>SUM(C6:C10)</f>
        <v/>
      </c>
    </row>
    <row r="14">
      <c r="A14" s="4" t="inlineStr">
        <is>
          <t>ALLOWANCE RATES</t>
        </is>
      </c>
    </row>
    <row r="15">
      <c r="A15" s="11" t="inlineStr">
        <is>
          <t>Allowance Type</t>
        </is>
      </c>
      <c r="B15" s="11" t="inlineStr">
        <is>
          <t>Original Rate</t>
        </is>
      </c>
      <c r="C15" s="11" t="inlineStr">
        <is>
          <t>Review Rate</t>
        </is>
      </c>
      <c r="D15" s="11" t="inlineStr">
        <is>
          <t>Notes</t>
        </is>
      </c>
    </row>
    <row r="16">
      <c r="A16" t="inlineStr">
        <is>
          <t>Main Contractor OH&amp;P</t>
        </is>
      </c>
      <c r="B16" s="18" t="n">
        <v>0.1</v>
      </c>
      <c r="C16" s="18" t="n">
        <v>0.1</v>
      </c>
      <c r="D16" t="inlineStr">
        <is>
          <t>% of works + prelims</t>
        </is>
      </c>
    </row>
    <row r="17">
      <c r="A17" t="inlineStr">
        <is>
          <t>Design Development Risk</t>
        </is>
      </c>
      <c r="B17" s="18" t="n">
        <v>0.1</v>
      </c>
      <c r="C17" s="19" t="n">
        <v>0.12</v>
      </c>
      <c r="D17" t="inlineStr">
        <is>
          <t>Updated from 10% to 12%</t>
        </is>
      </c>
    </row>
    <row r="18">
      <c r="A18" t="inlineStr">
        <is>
          <t>Inflation Allowance</t>
        </is>
      </c>
      <c r="B18" s="18" t="n">
        <v>0.01</v>
      </c>
      <c r="C18" s="18" t="n">
        <v>0.01</v>
      </c>
      <c r="D18" t="inlineStr">
        <is>
          <t>4Q24 to 1Q25</t>
        </is>
      </c>
    </row>
    <row r="21">
      <c r="A21" s="4" t="inlineStr">
        <is>
          <t>SUMMARY RECONCILIATION</t>
        </is>
      </c>
    </row>
    <row r="22">
      <c r="A22" s="11" t="inlineStr">
        <is>
          <t>Description</t>
        </is>
      </c>
      <c r="B22" s="11" t="inlineStr">
        <is>
          <t>Original</t>
        </is>
      </c>
      <c r="C22" s="11" t="inlineStr">
        <is>
          <t>Review</t>
        </is>
      </c>
      <c r="D22" s="11" t="inlineStr">
        <is>
          <t>Movement</t>
        </is>
      </c>
    </row>
    <row r="23">
      <c r="A23" t="inlineStr">
        <is>
          <t>Heating &amp; ASHP package change</t>
        </is>
      </c>
      <c r="B23" s="5">
        <f>B6</f>
        <v/>
      </c>
      <c r="C23" s="5">
        <f>C6</f>
        <v/>
      </c>
      <c r="D23" s="5">
        <f>C23-B23</f>
        <v/>
      </c>
    </row>
    <row r="24">
      <c r="A24" t="inlineStr">
        <is>
          <t>Impact on Building Works Total</t>
        </is>
      </c>
      <c r="B24" s="5" t="n">
        <v>1430225</v>
      </c>
      <c r="C24" s="5">
        <f>B24+D23</f>
        <v/>
      </c>
      <c r="D24" s="5">
        <f>C24-B24</f>
        <v/>
      </c>
    </row>
    <row r="25">
      <c r="A25" t="inlineStr">
        <is>
          <t>After Prelims &amp; OH&amp;P</t>
        </is>
      </c>
      <c r="B25" s="5" t="n">
        <v>1774328</v>
      </c>
      <c r="C25" s="5">
        <f>ROUND((C24+182800)*1.10,0)</f>
        <v/>
      </c>
      <c r="D25" s="5">
        <f>C25-B25</f>
        <v/>
      </c>
    </row>
    <row r="26">
      <c r="A26" t="inlineStr">
        <is>
          <t>Design Development Risk @ review rate</t>
        </is>
      </c>
      <c r="B26" s="5" t="n">
        <v>177433</v>
      </c>
      <c r="C26" s="5">
        <f>ROUND(C25*C17,0)</f>
        <v/>
      </c>
      <c r="D26" s="5">
        <f>C26-B26</f>
        <v/>
      </c>
    </row>
    <row r="27">
      <c r="A27" t="inlineStr">
        <is>
          <t>Cost Limit (Inflation Excluded)</t>
        </is>
      </c>
      <c r="B27" s="5" t="n">
        <v>1951760</v>
      </c>
      <c r="C27" s="5">
        <f>C25+C26</f>
        <v/>
      </c>
      <c r="D27" s="5">
        <f>C27-B27</f>
        <v/>
      </c>
    </row>
    <row r="28">
      <c r="A28" t="inlineStr">
        <is>
          <t>Inflation Allowance (1.00%)</t>
        </is>
      </c>
      <c r="B28" s="5" t="n">
        <v>19518</v>
      </c>
      <c r="C28" s="5">
        <f>ROUND(C27*0.01,0)</f>
        <v/>
      </c>
      <c r="D28" s="5">
        <f>C28-B28</f>
        <v/>
      </c>
    </row>
    <row r="29">
      <c r="A29" s="11" t="inlineStr">
        <is>
          <t>COST LIMIT</t>
        </is>
      </c>
      <c r="B29" s="12" t="n">
        <v>1971278</v>
      </c>
      <c r="C29" s="12">
        <f>C27+C28</f>
        <v/>
      </c>
      <c r="D29" s="12">
        <f>C29-B29</f>
        <v/>
      </c>
    </row>
  </sheetData>
  <mergeCells count="3">
    <mergeCell ref="A21:D21"/>
    <mergeCell ref="A4:D4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35" customWidth="1" min="3" max="3"/>
  </cols>
  <sheetData>
    <row r="1">
      <c r="A1" s="1" t="inlineStr">
        <is>
          <t>COST LIMIT RECONCILIATION</t>
        </is>
      </c>
    </row>
    <row r="2">
      <c r="A2" s="16" t="inlineStr">
        <is>
          <t>Movement from Original Estimate to Current Review Position</t>
        </is>
      </c>
    </row>
    <row r="4">
      <c r="A4" t="inlineStr">
        <is>
          <t>Original Cost Limit (October 2024 Rev A)</t>
        </is>
      </c>
      <c r="B4" s="20" t="n">
        <v>1971278</v>
      </c>
    </row>
    <row r="6">
      <c r="A6" s="21" t="inlineStr">
        <is>
          <t>ADJUSTMENTS:</t>
        </is>
      </c>
    </row>
    <row r="7">
      <c r="A7" s="22" t="inlineStr">
        <is>
          <t>Changes to Package Prices:</t>
        </is>
      </c>
    </row>
    <row r="8">
      <c r="A8" t="inlineStr">
        <is>
          <t xml:space="preserve">  Heating &amp; ASHP package</t>
        </is>
      </c>
      <c r="B8" s="5">
        <f>458000-432000</f>
        <v/>
      </c>
      <c r="C8" t="inlineStr">
        <is>
          <t>Updated supplier price</t>
        </is>
      </c>
    </row>
    <row r="9">
      <c r="A9" t="inlineStr">
        <is>
          <t xml:space="preserve">  Ventilation (no change)</t>
        </is>
      </c>
      <c r="B9" s="5" t="n">
        <v>0</v>
      </c>
    </row>
    <row r="10">
      <c r="A10" t="inlineStr">
        <is>
          <t xml:space="preserve">  Other M&amp;E packages (no change)</t>
        </is>
      </c>
      <c r="B10" s="5" t="n">
        <v>0</v>
      </c>
    </row>
    <row r="11">
      <c r="A11" s="23" t="inlineStr">
        <is>
          <t>Net Package Price Adjustment</t>
        </is>
      </c>
      <c r="B11" s="24">
        <f>B8</f>
        <v/>
      </c>
    </row>
    <row r="13">
      <c r="A13" s="22" t="inlineStr">
        <is>
          <t>Flow-through Effects:</t>
        </is>
      </c>
    </row>
    <row r="14">
      <c r="A14" t="inlineStr">
        <is>
          <t xml:space="preserve">  Main Contractor OH&amp;P (10%)</t>
        </is>
      </c>
      <c r="B14" s="5">
        <f>ROUND(B11*0.10,0)</f>
        <v/>
      </c>
      <c r="C14" t="inlineStr">
        <is>
          <t>10% of package change</t>
        </is>
      </c>
    </row>
    <row r="15">
      <c r="A15" s="23" t="inlineStr">
        <is>
          <t>Building Works Total after flow-through</t>
        </is>
      </c>
      <c r="B15" s="24">
        <f>B11+B14</f>
        <v/>
      </c>
    </row>
    <row r="17">
      <c r="A17" s="22" t="inlineStr">
        <is>
          <t>Changes to Allowance Rates:</t>
        </is>
      </c>
    </row>
    <row r="18">
      <c r="A18" t="inlineStr">
        <is>
          <t xml:space="preserve">  Design Development Risk rate change</t>
        </is>
      </c>
      <c r="B18" s="5">
        <f>ROUND((1774328+B15)*0.02,0)</f>
        <v/>
      </c>
      <c r="C18" t="inlineStr">
        <is>
          <t>10% to 12% on updated base</t>
        </is>
      </c>
    </row>
    <row r="19">
      <c r="A19" t="inlineStr">
        <is>
          <t xml:space="preserve">  Inflation rate (no change)</t>
        </is>
      </c>
      <c r="B19" s="5" t="n">
        <v>0</v>
      </c>
      <c r="C19" t="inlineStr">
        <is>
          <t>Remains 1.00%</t>
        </is>
      </c>
    </row>
    <row r="20">
      <c r="A20" s="23" t="inlineStr">
        <is>
          <t>Allowance Rate Changes</t>
        </is>
      </c>
      <c r="B20" s="24">
        <f>B18</f>
        <v/>
      </c>
    </row>
    <row r="21">
      <c r="A21" t="inlineStr">
        <is>
          <t xml:space="preserve">  Inflation on revised cost limit</t>
        </is>
      </c>
      <c r="B21" s="5">
        <f>ROUND((1951760+B15+B20)*0.01,0)-19518</f>
        <v/>
      </c>
      <c r="C21" t="inlineStr">
        <is>
          <t>1% on higher base</t>
        </is>
      </c>
    </row>
    <row r="23">
      <c r="A23" s="25" t="inlineStr">
        <is>
          <t>TOTAL MOVEMENT</t>
        </is>
      </c>
      <c r="B23" s="26">
        <f>B15+B20+B21</f>
        <v/>
      </c>
    </row>
    <row r="25">
      <c r="A25" s="11" t="inlineStr">
        <is>
          <t>Current Review Cost Limit</t>
        </is>
      </c>
      <c r="B25" s="12">
        <f>B4+B23</f>
        <v/>
      </c>
    </row>
    <row r="27">
      <c r="A27" s="4" t="inlineStr">
        <is>
          <t>VERIFICATION</t>
        </is>
      </c>
    </row>
    <row r="28">
      <c r="A28" t="inlineStr">
        <is>
          <t>Reconciled Cost Limit</t>
        </is>
      </c>
      <c r="B28" s="5">
        <f>B26</f>
        <v/>
      </c>
    </row>
    <row r="29">
      <c r="A29" t="inlineStr">
        <is>
          <t>Direct Calculation (from Working Calculation sheet)</t>
        </is>
      </c>
      <c r="B29" s="5">
        <f>'Working Calculation'!C42</f>
        <v/>
      </c>
    </row>
    <row r="30">
      <c r="A30" t="inlineStr">
        <is>
          <t>Difference (should be zero or rounding)</t>
        </is>
      </c>
      <c r="B30" s="20">
        <f>B29-B28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60" customWidth="1" min="3" max="3"/>
  </cols>
  <sheetData>
    <row r="1">
      <c r="A1" s="1" t="inlineStr">
        <is>
          <t>SOURCE REFERENCES</t>
        </is>
      </c>
    </row>
    <row r="2">
      <c r="A2" s="16" t="inlineStr">
        <is>
          <t>Traceability of amounts and qualifications</t>
        </is>
      </c>
    </row>
    <row r="4">
      <c r="A4" s="4" t="inlineStr">
        <is>
          <t>SOURCE DOCUMENTS</t>
        </is>
      </c>
    </row>
    <row r="5">
      <c r="A5" s="11" t="inlineStr">
        <is>
          <t>Reference</t>
        </is>
      </c>
      <c r="B5" s="11" t="inlineStr">
        <is>
          <t>Document</t>
        </is>
      </c>
      <c r="C5" s="11" t="inlineStr">
        <is>
          <t>Date</t>
        </is>
      </c>
    </row>
    <row r="6">
      <c r="A6" t="inlineStr">
        <is>
          <t>OCE-A</t>
        </is>
      </c>
      <c r="B6" t="inlineStr">
        <is>
          <t>Order of Cost Estimate - Revision A</t>
        </is>
      </c>
      <c r="C6" t="inlineStr">
        <is>
          <t>October 2024</t>
        </is>
      </c>
    </row>
    <row r="7">
      <c r="A7" t="inlineStr">
        <is>
          <t>RC</t>
        </is>
      </c>
      <c r="B7" t="inlineStr">
        <is>
          <t>Review Correspondence</t>
        </is>
      </c>
      <c r="C7" t="inlineStr">
        <is>
          <t>Current</t>
        </is>
      </c>
    </row>
    <row r="9">
      <c r="A9" s="4" t="inlineStr">
        <is>
          <t>ORIGINAL ESTIMATE AMOUNTS (OCE-A)</t>
        </is>
      </c>
    </row>
    <row r="10">
      <c r="A10" s="11" t="inlineStr">
        <is>
          <t>Item</t>
        </is>
      </c>
      <c r="B10" s="11" t="inlineStr">
        <is>
          <t>Amount (£)</t>
        </is>
      </c>
      <c r="C10" s="11" t="inlineStr">
        <is>
          <t>Source</t>
        </is>
      </c>
    </row>
    <row r="11">
      <c r="A11" t="inlineStr">
        <is>
          <t>Building Works Estimate</t>
        </is>
      </c>
      <c r="B11" s="5" t="n">
        <v>1430225</v>
      </c>
      <c r="C11" t="inlineStr">
        <is>
          <t>OCE-A Page 5, Elemental Total</t>
        </is>
      </c>
    </row>
    <row r="12">
      <c r="A12" t="inlineStr">
        <is>
          <t>Main Contractors Preliminaries</t>
        </is>
      </c>
      <c r="B12" s="5" t="n">
        <v>182800</v>
      </c>
      <c r="C12" t="inlineStr">
        <is>
          <t>OCE-A Page 2, Summary</t>
        </is>
      </c>
    </row>
    <row r="13">
      <c r="A13" t="inlineStr">
        <is>
          <t>Main Contractors OH&amp;P (10%)</t>
        </is>
      </c>
      <c r="B13" s="5" t="n">
        <v>161303</v>
      </c>
      <c r="C13" t="inlineStr">
        <is>
          <t>OCE-A Page 2, Summary</t>
        </is>
      </c>
    </row>
    <row r="14">
      <c r="A14" t="inlineStr">
        <is>
          <t>Building Works Total</t>
        </is>
      </c>
      <c r="B14" s="5" t="n">
        <v>1774328</v>
      </c>
      <c r="C14" t="inlineStr">
        <is>
          <t>OCE-A Page 2, Summary</t>
        </is>
      </c>
    </row>
    <row r="15">
      <c r="A15" t="inlineStr">
        <is>
          <t>Design Development Risk (10%)</t>
        </is>
      </c>
      <c r="B15" s="5" t="n">
        <v>177433</v>
      </c>
      <c r="C15" t="inlineStr">
        <is>
          <t>OCE-A Page 2, Summary</t>
        </is>
      </c>
    </row>
    <row r="16">
      <c r="A16" t="inlineStr">
        <is>
          <t>Cost Limit (Inflation Excluded)</t>
        </is>
      </c>
      <c r="B16" s="5" t="n">
        <v>1951760</v>
      </c>
      <c r="C16" t="inlineStr">
        <is>
          <t>OCE-A Page 2, Summary</t>
        </is>
      </c>
    </row>
    <row r="17">
      <c r="A17" t="inlineStr">
        <is>
          <t>Inflation Allowance (1.00%)</t>
        </is>
      </c>
      <c r="B17" s="5" t="n">
        <v>19518</v>
      </c>
      <c r="C17" t="inlineStr">
        <is>
          <t>OCE-A Page 2, Summary</t>
        </is>
      </c>
    </row>
    <row r="18">
      <c r="A18" t="inlineStr">
        <is>
          <t>Base Cost Estimate</t>
        </is>
      </c>
      <c r="B18" s="5" t="n">
        <v>1971278</v>
      </c>
      <c r="C18" t="inlineStr">
        <is>
          <t>OCE-A Page 2, Summary</t>
        </is>
      </c>
    </row>
    <row r="20">
      <c r="A20" s="4" t="inlineStr">
        <is>
          <t>M&amp;E PACKAGE BREAKDOWN (OCE-A)</t>
        </is>
      </c>
    </row>
    <row r="21">
      <c r="A21" s="11" t="inlineStr">
        <is>
          <t>Package</t>
        </is>
      </c>
      <c r="B21" s="11" t="inlineStr">
        <is>
          <t>Amount (£)</t>
        </is>
      </c>
      <c r="C21" s="11" t="inlineStr">
        <is>
          <t>Source</t>
        </is>
      </c>
    </row>
    <row r="22">
      <c r="A22" t="inlineStr">
        <is>
          <t>Heating (incl. ASHP)</t>
        </is>
      </c>
      <c r="B22" s="5" t="n">
        <v>432000</v>
      </c>
      <c r="C22" t="inlineStr">
        <is>
          <t>OCE-A Page 4, Provisional Sum / ZLC Energy Ltd</t>
        </is>
      </c>
    </row>
    <row r="23">
      <c r="A23" t="inlineStr">
        <is>
          <t>Ventilation</t>
        </is>
      </c>
      <c r="B23" s="5" t="n">
        <v>55000</v>
      </c>
      <c r="C23" t="inlineStr">
        <is>
          <t>OCE-A Page 4, Provisional Sum / PMS March 2024</t>
        </is>
      </c>
    </row>
    <row r="24">
      <c r="A24" t="inlineStr">
        <is>
          <t>Electrical Power and Lighting</t>
        </is>
      </c>
      <c r="B24" s="5" t="n">
        <v>85750</v>
      </c>
      <c r="C24" t="inlineStr">
        <is>
          <t>OCE-A Page 4, Provisional Sum / PMS March 2024</t>
        </is>
      </c>
    </row>
    <row r="25">
      <c r="A25" t="inlineStr">
        <is>
          <t>Water Services</t>
        </is>
      </c>
      <c r="B25" s="5" t="n">
        <v>43500</v>
      </c>
      <c r="C25" t="inlineStr">
        <is>
          <t>OCE-A Page 4, Provisional Sum / PMS March 2024</t>
        </is>
      </c>
    </row>
    <row r="26">
      <c r="A26" t="inlineStr">
        <is>
          <t>Other M&amp;E (balance to element total)</t>
        </is>
      </c>
      <c r="B26" s="5" t="n">
        <v>3000</v>
      </c>
      <c r="C26" t="inlineStr">
        <is>
          <t>OCE-A Page 5, Element total £619,250 less itemised sums</t>
        </is>
      </c>
    </row>
    <row r="28">
      <c r="A28" s="4" t="inlineStr">
        <is>
          <t>REVIEW ADJUSTMENTS (RC)</t>
        </is>
      </c>
    </row>
    <row r="29">
      <c r="A29" s="11" t="inlineStr">
        <is>
          <t>Adjustment</t>
        </is>
      </c>
      <c r="B29" s="11" t="inlineStr">
        <is>
          <t>New Value</t>
        </is>
      </c>
      <c r="C29" s="11" t="inlineStr">
        <is>
          <t>Source / Notes</t>
        </is>
      </c>
    </row>
    <row r="30">
      <c r="A30" t="inlineStr">
        <is>
          <t>Heating &amp; ASHP package price</t>
        </is>
      </c>
      <c r="B30" s="5" t="n">
        <v>458000</v>
      </c>
      <c r="C30" t="inlineStr">
        <is>
          <t>RC: Current package price superseding £472,000 earlier review</t>
        </is>
      </c>
    </row>
    <row r="31">
      <c r="A31" t="inlineStr">
        <is>
          <t>Design Development Risk rate</t>
        </is>
      </c>
      <c r="B31" t="inlineStr">
        <is>
          <t>12%</t>
        </is>
      </c>
      <c r="C31" t="inlineStr">
        <is>
          <t>RC: Updated from 10% in original estimate</t>
        </is>
      </c>
    </row>
    <row r="32">
      <c r="A32" t="inlineStr">
        <is>
          <t>Asbestos removal option</t>
        </is>
      </c>
      <c r="B32" s="5" t="n">
        <v>18000</v>
      </c>
      <c r="C32" t="inlineStr">
        <is>
          <t>RC: Awaiting decision, not approved for inclusion in cost limit</t>
        </is>
      </c>
    </row>
    <row r="34">
      <c r="A34" s="4" t="inlineStr">
        <is>
          <t>QUALIFICATIONS &amp; EXCLUSIONS</t>
        </is>
      </c>
    </row>
    <row r="35">
      <c r="A35" s="11" t="inlineStr">
        <is>
          <t>Item</t>
        </is>
      </c>
      <c r="B35" s="11" t="inlineStr">
        <is>
          <t>Status</t>
        </is>
      </c>
      <c r="C35" s="11" t="inlineStr">
        <is>
          <t>Source</t>
        </is>
      </c>
    </row>
    <row r="36">
      <c r="A36" t="inlineStr">
        <is>
          <t>VAT</t>
        </is>
      </c>
      <c r="B36" t="inlineStr">
        <is>
          <t>Excluded</t>
        </is>
      </c>
      <c r="C36" t="inlineStr">
        <is>
          <t>OCE-A Page 2, Summary; RC confirmation</t>
        </is>
      </c>
    </row>
    <row r="37">
      <c r="A37" t="inlineStr">
        <is>
          <t>Professional Fees (Architect, Engineer, QS)</t>
        </is>
      </c>
      <c r="B37" t="inlineStr">
        <is>
          <t>Excluded</t>
        </is>
      </c>
      <c r="C37" t="inlineStr">
        <is>
          <t>OCE-A Page 3, Exclusions</t>
        </is>
      </c>
    </row>
    <row r="38">
      <c r="A38" t="inlineStr">
        <is>
          <t>Planning/Building Regs Fees</t>
        </is>
      </c>
      <c r="B38" t="inlineStr">
        <is>
          <t>Excluded</t>
        </is>
      </c>
      <c r="C38" t="inlineStr">
        <is>
          <t>OCE-A Page 3, Exclusions</t>
        </is>
      </c>
    </row>
    <row r="39">
      <c r="A39" t="inlineStr">
        <is>
          <t>Price Date</t>
        </is>
      </c>
      <c r="B39" t="inlineStr">
        <is>
          <t>4Q24</t>
        </is>
      </c>
      <c r="C39" t="inlineStr">
        <is>
          <t>OCE-A Page 2; RC: all prices use original price date</t>
        </is>
      </c>
    </row>
    <row r="40">
      <c r="A40" t="inlineStr">
        <is>
          <t>Inflation Allowance</t>
        </is>
      </c>
      <c r="B40" t="inlineStr">
        <is>
          <t>To 1Q25</t>
        </is>
      </c>
      <c r="C40" t="inlineStr">
        <is>
          <t>OCE-A Page 2, Summary</t>
        </is>
      </c>
    </row>
    <row r="41">
      <c r="A41" t="inlineStr">
        <is>
          <t>Project Duration</t>
        </is>
      </c>
      <c r="B41" t="inlineStr">
        <is>
          <t>Max 45 weeks</t>
        </is>
      </c>
      <c r="C41" t="inlineStr">
        <is>
          <t>OCE-A Page 3, Note c)</t>
        </is>
      </c>
    </row>
    <row r="42">
      <c r="A42" t="inlineStr">
        <is>
          <t>Contract Delivery</t>
        </is>
      </c>
      <c r="B42" t="inlineStr">
        <is>
          <t>Single phase, local medium contractor</t>
        </is>
      </c>
      <c r="C42" t="inlineStr">
        <is>
          <t>OCE-A Page 3, Note b)</t>
        </is>
      </c>
    </row>
    <row r="43">
      <c r="A43" t="inlineStr">
        <is>
          <t>Asbestos removal</t>
        </is>
      </c>
      <c r="B43" t="inlineStr">
        <is>
          <t>Excluded from cost limit</t>
        </is>
      </c>
      <c r="C43" t="inlineStr">
        <is>
          <t>OCE-A Page 3 item n); RC: option awaiting approval</t>
        </is>
      </c>
    </row>
    <row r="45">
      <c r="A45" s="4" t="inlineStr">
        <is>
          <t>NOTES</t>
        </is>
      </c>
    </row>
    <row r="46">
      <c r="A46" t="inlineStr">
        <is>
          <t>1. All amounts retain full precision in calculations and display rounded to whole pounds.</t>
        </is>
      </c>
    </row>
    <row r="47">
      <c r="A47" t="inlineStr">
        <is>
          <t>2. Review correspondence preserves original estimate's allowance rates except Design Development Risk.</t>
        </is>
      </c>
    </row>
    <row r="48">
      <c r="A48" t="inlineStr">
        <is>
          <t>3. Package prices exclude VAT and subsequent fee or allowance additions (per RC).</t>
        </is>
      </c>
    </row>
    <row r="49">
      <c r="A49" t="inlineStr">
        <is>
          <t>4. Options awaiting decision remain outside the current cost limit when only price changes.</t>
        </is>
      </c>
    </row>
    <row r="50">
      <c r="A50" t="inlineStr">
        <is>
          <t>5. This remains an estimate subject to source document qualifications and exclusions.</t>
        </is>
      </c>
    </row>
  </sheetData>
  <mergeCells count="11">
    <mergeCell ref="A28:C28"/>
    <mergeCell ref="A49:C49"/>
    <mergeCell ref="A47:C47"/>
    <mergeCell ref="A45:C45"/>
    <mergeCell ref="A46:C46"/>
    <mergeCell ref="A9:C9"/>
    <mergeCell ref="A34:C34"/>
    <mergeCell ref="A50:C50"/>
    <mergeCell ref="A4:C4"/>
    <mergeCell ref="A48:C48"/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2026-09-05T22:08:59Z</dcterms:created>
  <dcterms:modified xmlns:dcterms="http://purl.org/dc/terms/" xmlns:xsi="http://www.w3.org/2001/XMLSchema-instance" xsi:type="dcterms:W3CDTF">2026-09-05T22:08:59Z</dcterms:modified>
</cp:coreProperties>
</file>