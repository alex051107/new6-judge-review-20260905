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Rates" sheetId="1" state="visible" ns1:id="rId3"/>
    <ns0:sheet name="Quotations" sheetId="2" state="visible" ns1:id="rId4"/>
  </ns0:sheets>
  <ns0:calcPr iterateCount="100" refMode="A1" iterate="false" iterateDelta="0.0001" calcMode="auto" fullCalcOnLoad="1" forceFullCalc="1" calcId="0"/>
  <ns0:extLst>
    <ns0:ext uri="{7626C862-2A13-11E5-B345-FEFF819CDC9F}">
      <ns2:extCalcPr stringRefSyntax="ExcelA1"/>
    </ns0:ext>
  </ns0:extLst>
</ns0:workbook>
</file>

<file path=xl/sharedStrings.xml><?xml version="1.0" encoding="utf-8"?>
<sst xmlns="http://schemas.openxmlformats.org/spreadsheetml/2006/main" count="73" uniqueCount="51">
  <si>
    <t xml:space="preserve">Priority Mail Retail</t>
  </si>
  <si>
    <t xml:space="preserve">Notice 123 - Effective July 12, 2026</t>
  </si>
  <si>
    <t xml:space="preserve">Weight (lbs)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</si>
  <si>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</si>
  <si>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</si>
  <si>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</si>
  <si>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</si>
  <si>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</si>
  <si>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Zone 6</t>
  </si>
  <si>
    <t xml:space="preserve">Zone 7</t>
  </si>
  <si>
    <t xml:space="preserve">Zone 8</t>
  </si>
  <si>
    <t xml:space="preserve">USPS Ground Advantage Retail</t>
  </si>
  <si>
    <t xml:space="preserve">Weight</t>
  </si>
  <si>
    <t xml:space="preserve">0-4 oz</t>
  </si>
  <si>
    <t xml:space="preserve">4-8 oz</t>
  </si>
  <si>
    <t xml:space="preserve">8-12 oz</t>
  </si>
  <si>
    <t xml:space="preserve">12-15.999 oz</t>
  </si>
  <si>
    <t xml:space="preserve">1 lb</t>
  </si>
  <si>
    <t xml:space="preserve">2 lbs</t>
  </si>
  <si>
    <t xml:space="preserve">3 lbs</t>
  </si>
  <si>
    <t xml:space="preserve">4 lbs</t>
  </si>
  <si>
    <t xml:space="preserve">5 lbs</t>
  </si>
  <si>
    <t xml:space="preserve">6 lbs</t>
  </si>
  <si>
    <t xml:space="preserve">7 lbs</t>
  </si>
  <si>
    <t xml:space="preserve">8 lbs</t>
  </si>
  <si>
    <t xml:space="preserve">9 lbs</t>
  </si>
  <si>
    <t xml:space="preserve">10 lbs</t>
  </si>
  <si>
    <t xml:space="preserve">USPS Parcel Quotations</t>
  </si>
  <si>
    <t xml:space="preserve">Request ID</t>
  </si>
  <si>
    <t xml:space="preserve">Unit</t>
  </si>
  <si>
    <t xml:space="preserve">Zone</t>
  </si>
  <si>
    <t xml:space="preserve">Priority Mail</t>
  </si>
  <si>
    <t xml:space="preserve">Ground Advantage</t>
  </si>
  <si>
    <t xml:space="preserve">Selected Service</t>
  </si>
  <si>
    <t xml:space="preserve">Selected Price</t>
  </si>
  <si>
    <t xml:space="preserve">Notes</t>
  </si>
  <si>
    <t xml:space="preserve">Q01</t>
  </si>
  <si>
    <t xml:space="preserve">oz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</si>
  <si>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</si>
  <si>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</si>
  <si>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</si>
  <si>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</si>
  <si>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</si>
  <si>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</si>
  <si>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</si>
  <si>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lb</t>
  </si>
  <si>
    <t xml:space="preserve">Q09</t>
  </si>
  <si>
    <t xml:space="preserve">Q10</t>
  </si>
  <si>
    <t xml:space="preserve">Q11</t>
  </si>
  <si>
    <t xml:space="preserve">Q12</t>
  </si>
  <si>
    <t xml:space="preserve">BATCH 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</si>
</sst>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I34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6"/>
    <ns0:col collapsed="false" customWidth="true" hidden="false" outlineLevel="0" max="9" min="2" style="0" width="11"/>
  </ns0:cols>
  <ns0:sheetData>
    <ns0:row r="1" customFormat="false" ht="17.35" hidden="false" customHeight="false" outlineLevel="0" collapsed="false">
      <ns0:c r="A1" s="1" t="s">
        <ns0:v>0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15" hidden="false" customHeight="false" outlineLevel="0" collapsed="false">
      <ns0:c r="A4" s="3" t="s">
        <ns0:v>2</ns0:v>
      </ns0:c>
      <ns0:c r="B4" s="4" t="s">
        <ns0:v>3</ns0:v>
      </ns0:c>
      <ns0:c r="C4" s="4" t="s">
        <ns0:v>4</ns0:v>
      </ns0:c>
      <ns0:c r="D4" s="4" t="s">
        <ns0:v>5</ns0:v>
      </ns0:c>
      <ns0:c r="E4" s="4" t="s">
        <ns0:v>6</ns0:v>
      </ns0:c>
      <ns0:c r="F4" s="4" t="s">
        <ns0:v>7</ns0:v>
      </ns0:c>
      <ns0:c r="G4" s="4" t="s">
        <ns0:v>8</ns0:v>
      </ns0:c>
      <ns0:c r="H4" s="4" t="s">
        <ns0:v>9</ns0:v>
      </ns0:c>
      <ns0:c r="I4" s="4" t="s">
        <ns0:v>10</ns0:v>
      </ns0:c>
    </ns0:row>
    <ns0:row r="5" customFormat="false" ht="15" hidden="false" customHeight="false" outlineLevel="0" collapsed="false">
      <ns0:c r="A5" s="0" t="n">
        <ns0:v>1</ns0:v>
      </ns0:c>
      <ns0:c r="B5" s="5" t="n">
        <ns0:v>11</ns0:v>
      </ns0:c>
      <ns0:c r="C5" s="5" t="n">
        <ns0:v>11.5</ns0:v>
      </ns0:c>
      <ns0:c r="D5" s="5" t="n">
        <ns0:v>11.65</ns0:v>
      </ns0:c>
      <ns0:c r="E5" s="5" t="n">
        <ns0:v>11.9</ns0:v>
      </ns0:c>
      <ns0:c r="F5" s="5" t="n">
        <ns0:v>13.05</ns0:v>
      </ns0:c>
      <ns0:c r="G5" s="5" t="n">
        <ns0:v>14.5</ns0:v>
      </ns0:c>
      <ns0:c r="H5" s="5" t="n">
        <ns0:v>15.6</ns0:v>
      </ns0:c>
      <ns0:c r="I5" s="5" t="n">
        <ns0:v>16.95</ns0:v>
      </ns0:c>
    </ns0:row>
    <ns0:row r="6" customFormat="false" ht="15" hidden="false" customHeight="false" outlineLevel="0" collapsed="false">
      <ns0:c r="A6" s="0" t="n">
        <ns0:v>2</ns0:v>
      </ns0:c>
      <ns0:c r="B6" s="5" t="n">
        <ns0:v>11.95</ns0:v>
      </ns0:c>
      <ns0:c r="C6" s="5" t="n">
        <ns0:v>12.65</ns0:v>
      </ns0:c>
      <ns0:c r="D6" s="5" t="n">
        <ns0:v>13.45</ns0:v>
      </ns0:c>
      <ns0:c r="E6" s="5" t="n">
        <ns0:v>14.35</ns0:v>
      </ns0:c>
      <ns0:c r="F6" s="5" t="n">
        <ns0:v>16.85</ns0:v>
      </ns0:c>
      <ns0:c r="G6" s="5" t="n">
        <ns0:v>18.15</ns0:v>
      </ns0:c>
      <ns0:c r="H6" s="5" t="n">
        <ns0:v>19.45</ns0:v>
      </ns0:c>
      <ns0:c r="I6" s="5" t="n">
        <ns0:v>21.35</ns0:v>
      </ns0:c>
    </ns0:row>
    <ns0:row r="7" customFormat="false" ht="15" hidden="false" customHeight="false" outlineLevel="0" collapsed="false">
      <ns0:c r="A7" s="0" t="n">
        <ns0:v>3</ns0:v>
      </ns0:c>
      <ns0:c r="B7" s="5" t="n">
        <ns0:v>12.45</ns0:v>
      </ns0:c>
      <ns0:c r="C7" s="5" t="n">
        <ns0:v>13.3</ns0:v>
      </ns0:c>
      <ns0:c r="D7" s="5" t="n">
        <ns0:v>14</ns0:v>
      </ns0:c>
      <ns0:c r="E7" s="5" t="n">
        <ns0:v>15.15</ns0:v>
      </ns0:c>
      <ns0:c r="F7" s="5" t="n">
        <ns0:v>18.05</ns0:v>
      </ns0:c>
      <ns0:c r="G7" s="5" t="n">
        <ns0:v>20.95</ns0:v>
      </ns0:c>
      <ns0:c r="H7" s="5" t="n">
        <ns0:v>23.85</ns0:v>
      </ns0:c>
      <ns0:c r="I7" s="5" t="n">
        <ns0:v>27.1</ns0:v>
      </ns0:c>
    </ns0:row>
    <ns0:row r="8" customFormat="false" ht="15" hidden="false" customHeight="false" outlineLevel="0" collapsed="false">
      <ns0:c r="A8" s="0" t="n">
        <ns0:v>4</ns0:v>
      </ns0:c>
      <ns0:c r="B8" s="5" t="n">
        <ns0:v>13.45</ns0:v>
      </ns0:c>
      <ns0:c r="C8" s="5" t="n">
        <ns0:v>14.05</ns0:v>
      </ns0:c>
      <ns0:c r="D8" s="5" t="n">
        <ns0:v>15.05</ns0:v>
      </ns0:c>
      <ns0:c r="E8" s="5" t="n">
        <ns0:v>16.35</ns0:v>
      </ns0:c>
      <ns0:c r="F8" s="5" t="n">
        <ns0:v>20.75</ns0:v>
      </ns0:c>
      <ns0:c r="G8" s="5" t="n">
        <ns0:v>25.35</ns0:v>
      </ns0:c>
      <ns0:c r="H8" s="5" t="n">
        <ns0:v>28.4</ns0:v>
      </ns0:c>
      <ns0:c r="I8" s="5" t="n">
        <ns0:v>31.85</ns0:v>
      </ns0:c>
    </ns0:row>
    <ns0:row r="9" customFormat="false" ht="15" hidden="false" customHeight="false" outlineLevel="0" collapsed="false">
      <ns0:c r="A9" s="0" t="n">
        <ns0:v>5</ns0:v>
      </ns0:c>
      <ns0:c r="B9" s="5" t="n">
        <ns0:v>14.3</ns0:v>
      </ns0:c>
      <ns0:c r="C9" s="5" t="n">
        <ns0:v>14.95</ns0:v>
      </ns0:c>
      <ns0:c r="D9" s="5" t="n">
        <ns0:v>16.05</ns0:v>
      </ns0:c>
      <ns0:c r="E9" s="5" t="n">
        <ns0:v>17.5</ns0:v>
      </ns0:c>
      <ns0:c r="F9" s="5" t="n">
        <ns0:v>22.1</ns0:v>
      </ns0:c>
      <ns0:c r="G9" s="5" t="n">
        <ns0:v>27</ns0:v>
      </ns0:c>
      <ns0:c r="H9" s="5" t="n">
        <ns0:v>32.7</ns0:v>
      </ns0:c>
      <ns0:c r="I9" s="5" t="n">
        <ns0:v>36.9</ns0:v>
      </ns0:c>
    </ns0:row>
    <ns0:row r="10" customFormat="false" ht="15" hidden="false" customHeight="false" outlineLevel="0" collapsed="false">
      <ns0:c r="A10" s="0" t="n">
        <ns0:v>6</ns0:v>
      </ns0:c>
      <ns0:c r="B10" s="5" t="n">
        <ns0:v>14.9</ns0:v>
      </ns0:c>
      <ns0:c r="C10" s="5" t="n">
        <ns0:v>15.35</ns0:v>
      </ns0:c>
      <ns0:c r="D10" s="5" t="n">
        <ns0:v>16.45</ns0:v>
      </ns0:c>
      <ns0:c r="E10" s="5" t="n">
        <ns0:v>18.2</ns0:v>
      </ns0:c>
      <ns0:c r="F10" s="5" t="n">
        <ns0:v>23.25</ns0:v>
      </ns0:c>
      <ns0:c r="G10" s="5" t="n">
        <ns0:v>29.65</ns0:v>
      </ns0:c>
      <ns0:c r="H10" s="5" t="n">
        <ns0:v>37</ns0:v>
      </ns0:c>
      <ns0:c r="I10" s="5" t="n">
        <ns0:v>41.85</ns0:v>
      </ns0:c>
    </ns0:row>
    <ns0:row r="11" customFormat="false" ht="15" hidden="false" customHeight="false" outlineLevel="0" collapsed="false">
      <ns0:c r="A11" s="0" t="n">
        <ns0:v>7</ns0:v>
      </ns0:c>
      <ns0:c r="B11" s="5" t="n">
        <ns0:v>15.55</ns0:v>
      </ns0:c>
      <ns0:c r="C11" s="5" t="n">
        <ns0:v>16.05</ns0:v>
      </ns0:c>
      <ns0:c r="D11" s="5" t="n">
        <ns0:v>17.1</ns0:v>
      </ns0:c>
      <ns0:c r="E11" s="5" t="n">
        <ns0:v>19.05</ns0:v>
      </ns0:c>
      <ns0:c r="F11" s="5" t="n">
        <ns0:v>25.1</ns0:v>
      </ns0:c>
      <ns0:c r="G11" s="5" t="n">
        <ns0:v>32.3</ns0:v>
      </ns0:c>
      <ns0:c r="H11" s="5" t="n">
        <ns0:v>41.15</ns0:v>
      </ns0:c>
      <ns0:c r="I11" s="5" t="n">
        <ns0:v>46.75</ns0:v>
      </ns0:c>
    </ns0:row>
    <ns0:row r="12" customFormat="false" ht="15" hidden="false" customHeight="false" outlineLevel="0" collapsed="false">
      <ns0:c r="A12" s="0" t="n">
        <ns0:v>8</ns0:v>
      </ns0:c>
      <ns0:c r="B12" s="5" t="n">
        <ns0:v>16.25</ns0:v>
      </ns0:c>
      <ns0:c r="C12" s="5" t="n">
        <ns0:v>16.5</ns0:v>
      </ns0:c>
      <ns0:c r="D12" s="5" t="n">
        <ns0:v>17.6</ns0:v>
      </ns0:c>
      <ns0:c r="E12" s="5" t="n">
        <ns0:v>19.7</ns0:v>
      </ns0:c>
      <ns0:c r="F12" s="5" t="n">
        <ns0:v>26.4</ns0:v>
      </ns0:c>
      <ns0:c r="G12" s="5" t="n">
        <ns0:v>35.1</ns0:v>
      </ns0:c>
      <ns0:c r="H12" s="5" t="n">
        <ns0:v>45.35</ns0:v>
      </ns0:c>
      <ns0:c r="I12" s="5" t="n">
        <ns0:v>51.7</ns0:v>
      </ns0:c>
    </ns0:row>
    <ns0:row r="13" customFormat="false" ht="15" hidden="false" customHeight="false" outlineLevel="0" collapsed="false">
      <ns0:c r="A13" s="0" t="n">
        <ns0:v>9</ns0:v>
      </ns0:c>
      <ns0:c r="B13" s="5" t="n">
        <ns0:v>16.85</ns0:v>
      </ns0:c>
      <ns0:c r="C13" s="5" t="n">
        <ns0:v>17.15</ns0:v>
      </ns0:c>
      <ns0:c r="D13" s="5" t="n">
        <ns0:v>18.1</ns0:v>
      </ns0:c>
      <ns0:c r="E13" s="5" t="n">
        <ns0:v>20.85</ns0:v>
      </ns0:c>
      <ns0:c r="F13" s="5" t="n">
        <ns0:v>27.45</ns0:v>
      </ns0:c>
      <ns0:c r="G13" s="5" t="n">
        <ns0:v>37.7</ns0:v>
      </ns0:c>
      <ns0:c r="H13" s="5" t="n">
        <ns0:v>49.45</ns0:v>
      </ns0:c>
      <ns0:c r="I13" s="5" t="n">
        <ns0:v>56.45</ns0:v>
      </ns0:c>
    </ns0:row>
    <ns0:row r="14" customFormat="false" ht="15" hidden="false" customHeight="false" outlineLevel="0" collapsed="false">
      <ns0:c r="A14" s="0" t="n">
        <ns0:v>10</ns0:v>
      </ns0:c>
      <ns0:c r="B14" s="5" t="n">
        <ns0:v>17.8</ns0:v>
      </ns0:c>
      <ns0:c r="C14" s="5" t="n">
        <ns0:v>18.25</ns0:v>
      </ns0:c>
      <ns0:c r="D14" s="5" t="n">
        <ns0:v>19.2</ns0:v>
      </ns0:c>
      <ns0:c r="E14" s="5" t="n">
        <ns0:v>21.75</ns0:v>
      </ns0:c>
      <ns0:c r="F14" s="5" t="n">
        <ns0:v>28.65</ns0:v>
      </ns0:c>
      <ns0:c r="G14" s="5" t="n">
        <ns0:v>40.6</ns0:v>
      </ns0:c>
      <ns0:c r="H14" s="5" t="n">
        <ns0:v>53.55</ns0:v>
      </ns0:c>
      <ns0:c r="I14" s="5" t="n">
        <ns0:v>61.3</ns0:v>
      </ns0:c>
    </ns0:row>
    <ns0:row r="17" customFormat="false" ht="17.35" hidden="false" customHeight="false" outlineLevel="0" collapsed="false">
      <ns0:c r="A17" s="1" t="s">
        <ns0:v>11</ns0:v>
      </ns0:c>
    </ns0:row>
    <ns0:row r="18" customFormat="false" ht="15" hidden="false" customHeight="false" outlineLevel="0" collapsed="false">
      <ns0:c r="A18" s="2" t="s">
        <ns0:v>1</ns0:v>
      </ns0:c>
    </ns0:row>
    <ns0:row r="20" customFormat="false" ht="15" hidden="false" customHeight="false" outlineLevel="0" collapsed="false">
      <ns0:c r="A20" s="3" t="s">
        <ns0:v>12</ns0:v>
      </ns0:c>
      <ns0:c r="B20" s="4" t="s">
        <ns0:v>3</ns0:v>
      </ns0:c>
      <ns0:c r="C20" s="4" t="s">
        <ns0:v>4</ns0:v>
      </ns0:c>
      <ns0:c r="D20" s="4" t="s">
        <ns0:v>5</ns0:v>
      </ns0:c>
      <ns0:c r="E20" s="4" t="s">
        <ns0:v>6</ns0:v>
      </ns0:c>
      <ns0:c r="F20" s="4" t="s">
        <ns0:v>7</ns0:v>
      </ns0:c>
      <ns0:c r="G20" s="4" t="s">
        <ns0:v>8</ns0:v>
      </ns0:c>
      <ns0:c r="H20" s="4" t="s">
        <ns0:v>9</ns0:v>
      </ns0:c>
      <ns0:c r="I20" s="4" t="s">
        <ns0:v>10</ns0:v>
      </ns0:c>
    </ns0:row>
    <ns0:row r="21" customFormat="false" ht="15" hidden="false" customHeight="false" outlineLevel="0" collapsed="false">
      <ns0:c r="A21" s="0" t="s">
        <ns0:v>13</ns0:v>
      </ns0:c>
      <ns0:c r="B21" s="5" t="n">
        <ns0:v>7.9</ns0:v>
      </ns0:c>
      <ns0:c r="C21" s="5" t="n">
        <ns0:v>8.05</ns0:v>
      </ns0:c>
      <ns0:c r="D21" s="5" t="n">
        <ns0:v>8.15</ns0:v>
      </ns0:c>
      <ns0:c r="E21" s="5" t="n">
        <ns0:v>8.3</ns0:v>
      </ns0:c>
      <ns0:c r="F21" s="5" t="n">
        <ns0:v>8.6</ns0:v>
      </ns0:c>
      <ns0:c r="G21" s="5" t="n">
        <ns0:v>8.75</ns0:v>
      </ns0:c>
      <ns0:c r="H21" s="5" t="n">
        <ns0:v>8.95</ns0:v>
      </ns0:c>
      <ns0:c r="I21" s="5" t="n">
        <ns0:v>9.45</ns0:v>
      </ns0:c>
    </ns0:row>
    <ns0:row r="22" customFormat="false" ht="15" hidden="false" customHeight="false" outlineLevel="0" collapsed="false">
      <ns0:c r="A22" s="0" t="s">
        <ns0:v>14</ns0:v>
      </ns0:c>
      <ns0:c r="B22" s="5" t="n">
        <ns0:v>7.9</ns0:v>
      </ns0:c>
      <ns0:c r="C22" s="5" t="n">
        <ns0:v>8.05</ns0:v>
      </ns0:c>
      <ns0:c r="D22" s="5" t="n">
        <ns0:v>8.15</ns0:v>
      </ns0:c>
      <ns0:c r="E22" s="5" t="n">
        <ns0:v>8.3</ns0:v>
      </ns0:c>
      <ns0:c r="F22" s="5" t="n">
        <ns0:v>8.6</ns0:v>
      </ns0:c>
      <ns0:c r="G22" s="5" t="n">
        <ns0:v>8.75</ns0:v>
      </ns0:c>
      <ns0:c r="H22" s="5" t="n">
        <ns0:v>8.95</ns0:v>
      </ns0:c>
      <ns0:c r="I22" s="5" t="n">
        <ns0:v>9.45</ns0:v>
      </ns0:c>
    </ns0:row>
    <ns0:row r="23" customFormat="false" ht="15" hidden="false" customHeight="false" outlineLevel="0" collapsed="false">
      <ns0:c r="A23" s="0" t="s">
        <ns0:v>15</ns0:v>
      </ns0:c>
      <ns0:c r="B23" s="5" t="n">
        <ns0:v>9.55</ns0:v>
      </ns0:c>
      <ns0:c r="C23" s="5" t="n">
        <ns0:v>9.95</ns0:v>
      </ns0:c>
      <ns0:c r="D23" s="5" t="n">
        <ns0:v>10.2</ns0:v>
      </ns0:c>
      <ns0:c r="E23" s="5" t="n">
        <ns0:v>10.6</ns0:v>
      </ns0:c>
      <ns0:c r="F23" s="5" t="n">
        <ns0:v>10.95</ns0:v>
      </ns0:c>
      <ns0:c r="G23" s="5" t="n">
        <ns0:v>11.15</ns0:v>
      </ns0:c>
      <ns0:c r="H23" s="5" t="n">
        <ns0:v>11.95</ns0:v>
      </ns0:c>
      <ns0:c r="I23" s="5" t="n">
        <ns0:v>12.9</ns0:v>
      </ns0:c>
    </ns0:row>
    <ns0:row r="24" customFormat="false" ht="15" hidden="false" customHeight="false" outlineLevel="0" collapsed="false">
      <ns0:c r="A24" s="0" t="s">
        <ns0:v>16</ns0:v>
      </ns0:c>
      <ns0:c r="B24" s="5" t="n">
        <ns0:v>9.55</ns0:v>
      </ns0:c>
      <ns0:c r="C24" s="5" t="n">
        <ns0:v>9.95</ns0:v>
      </ns0:c>
      <ns0:c r="D24" s="5" t="n">
        <ns0:v>10.2</ns0:v>
      </ns0:c>
      <ns0:c r="E24" s="5" t="n">
        <ns0:v>10.6</ns0:v>
      </ns0:c>
      <ns0:c r="F24" s="5" t="n">
        <ns0:v>10.95</ns0:v>
      </ns0:c>
      <ns0:c r="G24" s="5" t="n">
        <ns0:v>11.15</ns0:v>
      </ns0:c>
      <ns0:c r="H24" s="5" t="n">
        <ns0:v>11.95</ns0:v>
      </ns0:c>
      <ns0:c r="I24" s="5" t="n">
        <ns0:v>12.9</ns0:v>
      </ns0:c>
    </ns0:row>
    <ns0:row r="25" customFormat="false" ht="15" hidden="false" customHeight="false" outlineLevel="0" collapsed="false">
      <ns0:c r="A25" s="0" t="s">
        <ns0:v>17</ns0:v>
      </ns0:c>
      <ns0:c r="B25" s="5" t="n">
        <ns0:v>9.55</ns0:v>
      </ns0:c>
      <ns0:c r="C25" s="5" t="n">
        <ns0:v>9.95</ns0:v>
      </ns0:c>
      <ns0:c r="D25" s="5" t="n">
        <ns0:v>10.2</ns0:v>
      </ns0:c>
      <ns0:c r="E25" s="5" t="n">
        <ns0:v>10.6</ns0:v>
      </ns0:c>
      <ns0:c r="F25" s="5" t="n">
        <ns0:v>10.95</ns0:v>
      </ns0:c>
      <ns0:c r="G25" s="5" t="n">
        <ns0:v>11.15</ns0:v>
      </ns0:c>
      <ns0:c r="H25" s="5" t="n">
        <ns0:v>11.95</ns0:v>
      </ns0:c>
      <ns0:c r="I25" s="5" t="n">
        <ns0:v>12.9</ns0:v>
      </ns0:c>
    </ns0:row>
    <ns0:row r="26" customFormat="false" ht="15" hidden="false" customHeight="false" outlineLevel="0" collapsed="false">
      <ns0:c r="A26" s="0" t="s">
        <ns0:v>18</ns0:v>
      </ns0:c>
      <ns0:c r="B26" s="5" t="n">
        <ns0:v>10.8</ns0:v>
      </ns0:c>
      <ns0:c r="C26" s="5" t="n">
        <ns0:v>11.5</ns0:v>
      </ns0:c>
      <ns0:c r="D26" s="5" t="n">
        <ns0:v>12.2</ns0:v>
      </ns0:c>
      <ns0:c r="E26" s="5" t="n">
        <ns0:v>13</ns0:v>
      </ns0:c>
      <ns0:c r="F26" s="5" t="n">
        <ns0:v>14.1</ns0:v>
      </ns0:c>
      <ns0:c r="G26" s="5" t="n">
        <ns0:v>15.1</ns0:v>
      </ns0:c>
      <ns0:c r="H26" s="5" t="n">
        <ns0:v>16.45</ns0:v>
      </ns0:c>
      <ns0:c r="I26" s="5" t="n">
        <ns0:v>19.05</ns0:v>
      </ns0:c>
    </ns0:row>
    <ns0:row r="27" customFormat="false" ht="15" hidden="false" customHeight="false" outlineLevel="0" collapsed="false">
      <ns0:c r="A27" s="0" t="s">
        <ns0:v>19</ns0:v>
      </ns0:c>
      <ns0:c r="B27" s="5" t="n">
        <ns0:v>11.3</ns0:v>
      </ns0:c>
      <ns0:c r="C27" s="5" t="n">
        <ns0:v>12</ns0:v>
      </ns0:c>
      <ns0:c r="D27" s="5" t="n">
        <ns0:v>12.65</ns0:v>
      </ns0:c>
      <ns0:c r="E27" s="5" t="n">
        <ns0:v>13.7</ns0:v>
      </ns0:c>
      <ns0:c r="F27" s="5" t="n">
        <ns0:v>14.95</ns0:v>
      </ns0:c>
      <ns0:c r="G27" s="5" t="n">
        <ns0:v>16.45</ns0:v>
      </ns0:c>
      <ns0:c r="H27" s="5" t="n">
        <ns0:v>18.95</ns0:v>
      </ns0:c>
      <ns0:c r="I27" s="5" t="n">
        <ns0:v>22.4</ns0:v>
      </ns0:c>
    </ns0:row>
    <ns0:row r="28" customFormat="false" ht="15" hidden="false" customHeight="false" outlineLevel="0" collapsed="false">
      <ns0:c r="A28" s="0" t="s">
        <ns0:v>20</ns0:v>
      </ns0:c>
      <ns0:c r="B28" s="5" t="n">
        <ns0:v>12.25</ns0:v>
      </ns0:c>
      <ns0:c r="C28" s="5" t="n">
        <ns0:v>12.75</ns0:v>
      </ns0:c>
      <ns0:c r="D28" s="5" t="n">
        <ns0:v>13.65</ns0:v>
      </ns0:c>
      <ns0:c r="E28" s="5" t="n">
        <ns0:v>14.85</ns0:v>
      </ns0:c>
      <ns0:c r="F28" s="5" t="n">
        <ns0:v>16.4</ns0:v>
      </ns0:c>
      <ns0:c r="G28" s="5" t="n">
        <ns0:v>18.3</ns0:v>
      </ns0:c>
      <ns0:c r="H28" s="5" t="n">
        <ns0:v>20.9</ns0:v>
      </ns0:c>
      <ns0:c r="I28" s="5" t="n">
        <ns0:v>24.25</ns0:v>
      </ns0:c>
    </ns0:row>
    <ns0:row r="29" customFormat="false" ht="15" hidden="false" customHeight="false" outlineLevel="0" collapsed="false">
      <ns0:c r="A29" s="0" t="s">
        <ns0:v>21</ns0:v>
      </ns0:c>
      <ns0:c r="B29" s="5" t="n">
        <ns0:v>12.95</ns0:v>
      </ns0:c>
      <ns0:c r="C29" s="5" t="n">
        <ns0:v>13.5</ns0:v>
      </ns0:c>
      <ns0:c r="D29" s="5" t="n">
        <ns0:v>14.35</ns0:v>
      </ns0:c>
      <ns0:c r="E29" s="5" t="n">
        <ns0:v>16.1</ns0:v>
      </ns0:c>
      <ns0:c r="F29" s="5" t="n">
        <ns0:v>17.9</ns0:v>
      </ns0:c>
      <ns0:c r="G29" s="5" t="n">
        <ns0:v>19.9</ns0:v>
      </ns0:c>
      <ns0:c r="H29" s="5" t="n">
        <ns0:v>22.65</ns0:v>
      </ns0:c>
      <ns0:c r="I29" s="5" t="n">
        <ns0:v>26.25</ns0:v>
      </ns0:c>
    </ns0:row>
    <ns0:row r="30" customFormat="false" ht="15" hidden="false" customHeight="false" outlineLevel="0" collapsed="false">
      <ns0:c r="A30" s="0" t="s">
        <ns0:v>22</ns0:v>
      </ns0:c>
      <ns0:c r="B30" s="5" t="n">
        <ns0:v>13.5</ns0:v>
      </ns0:c>
      <ns0:c r="C30" s="5" t="n">
        <ns0:v>13.9</ns0:v>
      </ns0:c>
      <ns0:c r="D30" s="5" t="n">
        <ns0:v>14.85</ns0:v>
      </ns0:c>
      <ns0:c r="E30" s="5" t="n">
        <ns0:v>16.35</ns0:v>
      </ns0:c>
      <ns0:c r="F30" s="5" t="n">
        <ns0:v>18.4</ns0:v>
      </ns0:c>
      <ns0:c r="G30" s="5" t="n">
        <ns0:v>21.05</ns0:v>
      </ns0:c>
      <ns0:c r="H30" s="5" t="n">
        <ns0:v>24.35</ns0:v>
      </ns0:c>
      <ns0:c r="I30" s="5" t="n">
        <ns0:v>28.35</ns0:v>
      </ns0:c>
    </ns0:row>
    <ns0:row r="31" customFormat="false" ht="15" hidden="false" customHeight="false" outlineLevel="0" collapsed="false">
      <ns0:c r="A31" s="0" t="s">
        <ns0:v>23</ns0:v>
      </ns0:c>
      <ns0:c r="B31" s="5" t="n">
        <ns0:v>14</ns0:v>
      </ns0:c>
      <ns0:c r="C31" s="5" t="n">
        <ns0:v>14.4</ns0:v>
      </ns0:c>
      <ns0:c r="D31" s="5" t="n">
        <ns0:v>15.4</ns0:v>
      </ns0:c>
      <ns0:c r="E31" s="5" t="n">
        <ns0:v>17.1</ns0:v>
      </ns0:c>
      <ns0:c r="F31" s="5" t="n">
        <ns0:v>19.45</ns0:v>
      </ns0:c>
      <ns0:c r="G31" s="5" t="n">
        <ns0:v>22.55</ns0:v>
      </ns0:c>
      <ns0:c r="H31" s="5" t="n">
        <ns0:v>26.25</ns0:v>
      </ns0:c>
      <ns0:c r="I31" s="5" t="n">
        <ns0:v>30.6</ns0:v>
      </ns0:c>
    </ns0:row>
    <ns0:row r="32" customFormat="false" ht="15" hidden="false" customHeight="false" outlineLevel="0" collapsed="false">
      <ns0:c r="A32" s="0" t="s">
        <ns0:v>24</ns0:v>
      </ns0:c>
      <ns0:c r="B32" s="5" t="n">
        <ns0:v>14.6</ns0:v>
      </ns0:c>
      <ns0:c r="C32" s="5" t="n">
        <ns0:v>14.85</ns0:v>
      </ns0:c>
      <ns0:c r="D32" s="5" t="n">
        <ns0:v>15.8</ns0:v>
      </ns0:c>
      <ns0:c r="E32" s="5" t="n">
        <ns0:v>17.65</ns0:v>
      </ns0:c>
      <ns0:c r="F32" s="5" t="n">
        <ns0:v>20.4</ns0:v>
      </ns0:c>
      <ns0:c r="G32" s="5" t="n">
        <ns0:v>24.1</ns0:v>
      </ns0:c>
      <ns0:c r="H32" s="5" t="n">
        <ns0:v>28.45</ns0:v>
      </ns0:c>
      <ns0:c r="I32" s="5" t="n">
        <ns0:v>33.15</ns0:v>
      </ns0:c>
    </ns0:row>
    <ns0:row r="33" customFormat="false" ht="15" hidden="false" customHeight="false" outlineLevel="0" collapsed="false">
      <ns0:c r="A33" s="0" t="s">
        <ns0:v>25</ns0:v>
      </ns0:c>
      <ns0:c r="B33" s="5" t="n">
        <ns0:v>15.1</ns0:v>
      </ns0:c>
      <ns0:c r="C33" s="5" t="n">
        <ns0:v>15.4</ns0:v>
      </ns0:c>
      <ns0:c r="D33" s="5" t="n">
        <ns0:v>16.25</ns0:v>
      </ns0:c>
      <ns0:c r="E33" s="5" t="n">
        <ns0:v>18.3</ns0:v>
      </ns0:c>
      <ns0:c r="F33" s="5" t="n">
        <ns0:v>21.4</ns0:v>
      </ns0:c>
      <ns0:c r="G33" s="5" t="n">
        <ns0:v>25.55</ns0:v>
      </ns0:c>
      <ns0:c r="H33" s="5" t="n">
        <ns0:v>30.75</ns0:v>
      </ns0:c>
      <ns0:c r="I33" s="5" t="n">
        <ns0:v>35.7</ns0:v>
      </ns0:c>
    </ns0:row>
    <ns0:row r="34" customFormat="false" ht="15" hidden="false" customHeight="false" outlineLevel="0" collapsed="false">
      <ns0:c r="A34" s="0" t="s">
        <ns0:v>26</ns0:v>
      </ns0:c>
      <ns0:c r="B34" s="5" t="n">
        <ns0:v>15.65</ns0:v>
      </ns0:c>
      <ns0:c r="C34" s="5" t="n">
        <ns0:v>15.9</ns0:v>
      </ns0:c>
      <ns0:c r="D34" s="5" t="n">
        <ns0:v>16.75</ns0:v>
      </ns0:c>
      <ns0:c r="E34" s="5" t="n">
        <ns0:v>18.9</ns0:v>
      </ns0:c>
      <ns0:c r="F34" s="5" t="n">
        <ns0:v>22.1</ns0:v>
      </ns0:c>
      <ns0:c r="G34" s="5" t="n">
        <ns0:v>26.6</ns0:v>
      </ns0:c>
      <ns0:c r="H34" s="5" t="n">
        <ns0:v>32.5</ns0:v>
      </ns0:c>
      <ns0:c r="I34" s="5" t="n">
        <ns0:v>38.05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false"/>
  </ns0:sheetPr>
  <ns0:dimension ref="A1:J18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0"/>
    <ns0:col collapsed="false" customWidth="true" hidden="false" outlineLevel="0" max="3" min="3" style="0" width="8"/>
    <ns0:col collapsed="false" customWidth="true" hidden="false" outlineLevel="0" max="4" min="4" style="0" width="13"/>
    <ns0:col collapsed="false" customWidth="true" hidden="false" outlineLevel="0" max="5" min="5" style="0" width="8"/>
    <ns0:col collapsed="false" customWidth="true" hidden="false" outlineLevel="0" max="6" min="6" style="0" width="14"/>
    <ns0:col collapsed="false" customWidth="true" hidden="false" outlineLevel="0" max="8" min="7" style="0" width="16"/>
    <ns0:col collapsed="false" customWidth="true" hidden="false" outlineLevel="0" max="9" min="9" style="0" width="14"/>
    <ns0:col collapsed="false" customWidth="true" hidden="false" outlineLevel="0" max="10" min="10" style="0" width="25"/>
  </ns0:cols>
  <ns0:sheetData>
    <ns0:row r="1" customFormat="false" ht="17.35" hidden="false" customHeight="false" outlineLevel="0" collapsed="false">
      <ns0:c r="A1" s="1" t="s">
        <ns0:v>27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26.85" hidden="false" customHeight="false" outlineLevel="0" collapsed="false">
      <ns0:c r="A4" s="6" t="s">
        <ns0:v>28</ns0:v>
      </ns0:c>
      <ns0:c r="B4" s="6" t="s">
        <ns0:v>12</ns0:v>
      </ns0:c>
      <ns0:c r="C4" s="6" t="s">
        <ns0:v>29</ns0:v>
      </ns0:c>
      <ns0:c r="D4" s="6" t="s">
        <ns0:v>2</ns0:v>
      </ns0:c>
      <ns0:c r="E4" s="6" t="s">
        <ns0:v>30</ns0:v>
      </ns0:c>
      <ns0:c r="F4" s="6" t="s">
        <ns0:v>31</ns0:v>
      </ns0:c>
      <ns0:c r="G4" s="6" t="s">
        <ns0:v>32</ns0:v>
      </ns0:c>
      <ns0:c r="H4" s="6" t="s">
        <ns0:v>33</ns0:v>
      </ns0:c>
      <ns0:c r="I4" s="6" t="s">
        <ns0:v>34</ns0:v>
      </ns0:c>
      <ns0:c r="J4" s="6" t="s">
        <ns0:v>35</ns0:v>
      </ns0:c>
    </ns0:row>
    <ns0:row r="5" customFormat="false" ht="15" hidden="false" customHeight="false" outlineLevel="0" collapsed="false">
      <ns0:c r="A5" s="0" t="s">
        <ns0:v>36</ns0:v>
      </ns0:c>
      <ns0:c r="B5" s="0" t="n">
        <ns0:v>4</ns0:v>
      </ns0:c>
      <ns0:c r="C5" s="0" t="s">
        <ns0:v>37</ns0:v>
      </ns0:c>
      <ns0:c r="D5" s="7" t="n">
        <ns0:f aca="false">IF(C5="oz", B5/16, B5)</ns0:f>
      </ns0:c>
      <ns0:c r="E5" s="0" t="n">
        <ns0:v>1</ns0:v>
      </ns0:c>
      <ns0:c r="F5" s="8" t="n">
        <ns0:v>11</ns0:v>
      </ns0:c>
      <ns0:c r="G5" s="8" t="n">
        <ns0:v>7.9</ns0:v>
      </ns0:c>
      <ns0:c r="H5" s="0" t="str">
        <ns0:f aca="false">IF(AND(ISNUMBER(F5), ISNUMBER(G5)), IF(G5&lt;=F5, "Ground Advantage", "Priority Mail"), IF(ISNUMBER(F5), "Priority Mail", IF(ISNUMBER(G5), "Ground Advantage", "N/A")))</ns0:f>
      </ns0:c>
      <ns0:c r="I5" s="9" t="n">
        <ns0:f aca="false">IF(H5="Priority Mail", F5, IF(H5="Ground Advantage", G5, "N/A"))</ns0:f>
      </ns0:c>
    </ns0:row>
    <ns0:row r="6" customFormat="false" ht="15" hidden="false" customHeight="false" outlineLevel="0" collapsed="false">
      <ns0:c r="A6" s="0" t="s">
        <ns0:v>38</ns0:v>
      </ns0:c>
      <ns0:c r="B6" s="0" t="n">
        <ns0:v>4.1</ns0:v>
      </ns0:c>
      <ns0:c r="C6" s="0" t="s">
        <ns0:v>37</ns0:v>
      </ns0:c>
      <ns0:c r="D6" s="7" t="n">
        <ns0:f aca="false">IF(C6="oz", B6/16, B6)</ns0:f>
      </ns0:c>
      <ns0:c r="E6" s="0" t="n">
        <ns0:v>2</ns0:v>
      </ns0:c>
      <ns0:c r="F6" s="8" t="n">
        <ns0:v>11.5</ns0:v>
      </ns0:c>
      <ns0:c r="G6" s="8" t="n">
        <ns0:v>8.05</ns0:v>
      </ns0:c>
      <ns0:c r="H6" s="0" t="str">
        <ns0:f aca="false">IF(AND(ISNUMBER(F6), ISNUMBER(G6)), IF(G6&lt;=F6, "Ground Advantage", "Priority Mail"), IF(ISNUMBER(F6), "Priority Mail", IF(ISNUMBER(G6), "Ground Advantage", "N/A")))</ns0:f>
      </ns0:c>
      <ns0:c r="I6" s="9" t="n">
        <ns0:f aca="false">IF(H6="Priority Mail", F6, IF(H6="Ground Advantage", G6, "N/A"))</ns0:f>
      </ns0:c>
    </ns0:row>
    <ns0:row r="7" customFormat="false" ht="15" hidden="false" customHeight="false" outlineLevel="0" collapsed="false">
      <ns0:c r="A7" s="0" t="s">
        <ns0:v>39</ns0:v>
      </ns0:c>
      <ns0:c r="B7" s="0">
        <ns0:v>8.1</ns0:v>
      </ns0:c>
      <ns0:c r="C7" s="0" t="s">
        <ns0:v>37</ns0:v>
      </ns0:c>
      <ns0:c r="D7" s="7" t="n">
        <ns0:f aca="false">IF(C7="oz", B7/16, B7)</ns0:f>
      </ns0:c>
      <ns0:c r="E7" s="0" t="n">
        <ns0:v>8</ns0:v>
      </ns0:c>
      <ns0:c r="F7" s="8" t="n">
        <ns0:v>16.95</ns0:v>
      </ns0:c>
      <ns0:c r="G7" s="8" t="n">
        <ns0:v>9.45</ns0:v>
      </ns0:c>
      <ns0:c r="H7" s="0" t="str">
        <ns0:f aca="false">IF(AND(ISNUMBER(F7), ISNUMBER(G7)), IF(G7&lt;=F7, "Ground Advantage", "Priority Mail"), IF(ISNUMBER(F7), "Priority Mail", IF(ISNUMBER(G7), "Ground Advantage", "N/A")))</ns0:f>
      </ns0:c>
      <ns0:c r="I7" s="9" t="n">
        <ns0:f aca="false">IF(H7="Priority Mail", F7, IF(H7="Ground Advantage", G7, "N/A"))</ns0:f>
      </ns0:c>
    </ns0:row>
    <ns0:row r="8" customFormat="false" ht="15" hidden="false" customHeight="false" outlineLevel="0" collapsed="false">
      <ns0:c r="A8" s="0" t="s">
        <ns0:v>40</ns0:v>
      </ns0:c>
      <ns0:c r="B8" s="0" t="n">
        <ns0:v>8.1</ns0:v>
      </ns0:c>
      <ns0:c r="C8" s="0" t="s">
        <ns0:v>37</ns0:v>
      </ns0:c>
      <ns0:c r="D8" s="7" t="n">
        <ns0:f aca="false">IF(C8="oz", B8/16, B8)</ns0:f>
      </ns0:c>
      <ns0:c r="E8" s="0" t="n">
        <ns0:v>8</ns0:v>
      </ns0:c>
      <ns0:c r="F8" s="8" t="n">
        <ns0:v>16.95</ns0:v>
      </ns0:c>
      <ns0:c r="G8" s="8" t="n">
        <ns0:v>12.9</ns0:v>
      </ns0:c>
      <ns0:c r="H8" s="0" t="str">
        <ns0:f aca="false">IF(AND(ISNUMBER(F8), ISNUMBER(G8)), IF(G8&lt;=F8, "Ground Advantage", "Priority Mail"), IF(ISNUMBER(F8), "Priority Mail", IF(ISNUMBER(G8), "Ground Advantage", "N/A")))</ns0:f>
      </ns0:c>
      <ns0:c r="I8" s="9" t="n">
        <ns0:f aca="false">IF(H8="Priority Mail", F8, IF(H8="Ground Advantage", G8, "N/A"))</ns0:f>
      </ns0:c>
    </ns0:row>
    <ns0:row r="9" customFormat="false" ht="15" hidden="false" customHeight="false" outlineLevel="0" collapsed="false">
      <ns0:c r="A9" s="0" t="s">
        <ns0:v>41</ns0:v>
      </ns0:c>
      <ns0:c r="B9" s="0" t="n">
        <ns0:v>12</ns0:v>
      </ns0:c>
      <ns0:c r="C9" s="0" t="s">
        <ns0:v>37</ns0:v>
      </ns0:c>
      <ns0:c r="D9" s="7" t="n">
        <ns0:f aca="false">IF(C9="oz", B9/16, B9)</ns0:f>
      </ns0:c>
      <ns0:c r="E9" s="0" t="n">
        <ns0:v>4</ns0:v>
      </ns0:c>
      <ns0:c r="F9" s="8" t="n">
        <ns0:v>11.9</ns0:v>
      </ns0:c>
      <ns0:c r="G9" s="8" t="n">
        <ns0:v>10.6</ns0:v>
      </ns0:c>
      <ns0:c r="H9" s="0" t="str">
        <ns0:f aca="false">IF(AND(ISNUMBER(F9), ISNUMBER(G9)), IF(G9&lt;=F9, "Ground Advantage", "Priority Mail"), IF(ISNUMBER(F9), "Priority Mail", IF(ISNUMBER(G9), "Ground Advantage", "N/A")))</ns0:f>
      </ns0:c>
      <ns0:c r="I9" s="9" t="n">
        <ns0:f aca="false">IF(H9="Priority Mail", F9, IF(H9="Ground Advantage", G9, "N/A"))</ns0:f>
      </ns0:c>
    </ns0:row>
    <ns0:row r="10" customFormat="false" ht="15" hidden="false" customHeight="false" outlineLevel="0" collapsed="false">
      <ns0:c r="A10" s="0" t="s">
        <ns0:v>42</ns0:v>
      </ns0:c>
      <ns0:c r="B10" s="0" t="n">
        <ns0:v>12.1</ns0:v>
      </ns0:c>
      <ns0:c r="C10" s="0" t="s">
        <ns0:v>37</ns0:v>
      </ns0:c>
      <ns0:c r="D10" s="7" t="n">
        <ns0:f aca="false">IF(C10="oz", B10/16, B10)</ns0:f>
      </ns0:c>
      <ns0:c r="E10" s="0" t="n">
        <ns0:v>5</ns0:v>
      </ns0:c>
      <ns0:c r="F10" s="8" t="n">
        <ns0:v>13.05</ns0:v>
      </ns0:c>
      <ns0:c r="G10" s="8" t="n">
        <ns0:v>10.95</ns0:v>
      </ns0:c>
      <ns0:c r="H10" s="0" t="str">
        <ns0:f aca="false">IF(AND(ISNUMBER(F10), ISNUMBER(G10)), IF(G10&lt;=F10, "Ground Advantage", "Priority Mail"), IF(ISNUMBER(F10), "Priority Mail", IF(ISNUMBER(G10), "Ground Advantage", "N/A")))</ns0:f>
      </ns0:c>
      <ns0:c r="I10" s="9" t="n">
        <ns0:f aca="false">IF(H10="Priority Mail", F10, IF(H10="Ground Advantage", G10, "N/A"))</ns0:f>
      </ns0:c>
    </ns0:row>
    <ns0:row r="11" customFormat="false" ht="15" hidden="false" customHeight="false" outlineLevel="0" collapsed="false">
      <ns0:c r="A11" s="0" t="s">
        <ns0:v>43</ns0:v>
      </ns0:c>
      <ns0:c r="B11" s="0" t="n">
        <ns0:v>15.999</ns0:v>
      </ns0:c>
      <ns0:c r="C11" s="0" t="s">
        <ns0:v>37</ns0:v>
      </ns0:c>
      <ns0:c r="D11" s="7" t="n">
        <ns0:f aca="false">IF(C11="oz", B11/16, B11)</ns0:f>
      </ns0:c>
      <ns0:c r="E11" s="0" t="n">
        <ns0:v>6</ns0:v>
      </ns0:c>
      <ns0:c r="F11" s="8" t="n">
        <ns0:v>14.5</ns0:v>
      </ns0:c>
      <ns0:c r="G11" s="8" t="n">
        <ns0:v>11.15</ns0:v>
      </ns0:c>
      <ns0:c r="H11" s="0" t="str">
        <ns0:f aca="false">IF(AND(ISNUMBER(F11), ISNUMBER(G11)), IF(G11&lt;=F11, "Ground Advantage", "Priority Mail"), IF(ISNUMBER(F11), "Priority Mail", IF(ISNUMBER(G11), "Ground Advantage", "N/A")))</ns0:f>
      </ns0:c>
      <ns0:c r="I11" s="9" t="n">
        <ns0:f aca="false">IF(H11="Priority Mail", F11, IF(H11="Ground Advantage", G11, "N/A"))</ns0:f>
      </ns0:c>
    </ns0:row>
    <ns0:row r="12" customFormat="false" ht="15" hidden="false" customHeight="false" outlineLevel="0" collapsed="false">
      <ns0:c r="A12" s="0" t="s">
        <ns0:v>44</ns0:v>
      </ns0:c>
      <ns0:c r="B12" s="0" t="n">
        <ns0:v>1</ns0:v>
      </ns0:c>
      <ns0:c r="C12" s="0" t="s">
        <ns0:v>45</ns0:v>
      </ns0:c>
      <ns0:c r="D12" s="7" t="n">
        <ns0:f aca="false">IF(C12="oz", B12/16, B12)</ns0:f>
      </ns0:c>
      <ns0:c r="E12" s="0" t="n">
        <ns0:v>6</ns0:v>
      </ns0:c>
      <ns0:c r="F12" s="8" t="n">
        <ns0:v>14.5</ns0:v>
      </ns0:c>
      <ns0:c r="G12" s="8" t="n">
        <ns0:v>11.15</ns0:v>
      </ns0:c>
      <ns0:c r="H12" s="0" t="str">
        <ns0:f aca="false">IF(AND(ISNUMBER(F12), ISNUMBER(G12)), IF(G12&lt;=F12, "Ground Advantage", "Priority Mail"), IF(ISNUMBER(F12), "Priority Mail", IF(ISNUMBER(G12), "Ground Advantage", "N/A")))</ns0:f>
      </ns0:c>
      <ns0:c r="I12" s="9" t="n">
        <ns0:f aca="false">IF(H12="Priority Mail", F12, IF(H12="Ground Advantage", G12, "N/A"))</ns0:f>
      </ns0:c>
    </ns0:row>
    <ns0:row r="13" customFormat="false" ht="15" hidden="false" customHeight="false" outlineLevel="0" collapsed="false">
      <ns0:c r="A13" s="0" t="s">
        <ns0:v>46</ns0:v>
      </ns0:c>
      <ns0:c r="B13" s="0" t="n">
        <ns0:v>1.01</ns0:v>
      </ns0:c>
      <ns0:c r="C13" s="0" t="s">
        <ns0:v>45</ns0:v>
      </ns0:c>
      <ns0:c r="D13" s="7" t="n">
        <ns0:f aca="false">IF(C13="oz", B13/16, B13)</ns0:f>
      </ns0:c>
      <ns0:c r="E13" s="0" t="n">
        <ns0:v>7</ns0:v>
      </ns0:c>
      <ns0:c r="F13" s="8" t="n">
        <ns0:v>19.45</ns0:v>
      </ns0:c>
      <ns0:c r="G13" s="8" t="n">
        <ns0:v>16.45</ns0:v>
      </ns0:c>
      <ns0:c r="H13" s="0" t="str">
        <ns0:f aca="false">IF(AND(ISNUMBER(F13), ISNUMBER(G13)), IF(G13&lt;=F13, "Ground Advantage", "Priority Mail"), IF(ISNUMBER(F13), "Priority Mail", IF(ISNUMBER(G13), "Ground Advantage", "N/A")))</ns0:f>
      </ns0:c>
      <ns0:c r="I13" s="9" t="n">
        <ns0:f aca="false">IF(H13="Priority Mail", F13, IF(H13="Ground Advantage", G13, "N/A"))</ns0:f>
      </ns0:c>
    </ns0:row>
    <ns0:row r="14" customFormat="false" ht="15" hidden="false" customHeight="false" outlineLevel="0" collapsed="false">
      <ns0:c r="A14" s="0" t="s">
        <ns0:v>47</ns0:v>
      </ns0:c>
      <ns0:c r="B14" s="0" t="n">
        <ns0:v>2</ns0:v>
      </ns0:c>
      <ns0:c r="C14" s="0" t="s">
        <ns0:v>45</ns0:v>
      </ns0:c>
      <ns0:c r="D14" s="7" t="n">
        <ns0:f aca="false">IF(C14="oz", B14/16, B14)</ns0:f>
      </ns0:c>
      <ns0:c r="E14" s="0" t="n">
        <ns0:v>3</ns0:v>
      </ns0:c>
      <ns0:c r="F14" s="8" t="n">
        <ns0:v>13.45</ns0:v>
      </ns0:c>
      <ns0:c r="G14" s="8" t="n">
        <ns0:v>12.2</ns0:v>
      </ns0:c>
      <ns0:c r="H14" s="0" t="str">
        <ns0:f aca="false">IF(AND(ISNUMBER(F14), ISNUMBER(G14)), IF(G14&lt;=F14, "Ground Advantage", "Priority Mail"), IF(ISNUMBER(F14), "Priority Mail", IF(ISNUMBER(G14), "Ground Advantage", "N/A")))</ns0:f>
      </ns0:c>
      <ns0:c r="I14" s="9" t="n">
        <ns0:f aca="false">IF(H14="Priority Mail", F14, IF(H14="Ground Advantage", G14, "N/A"))</ns0:f>
      </ns0:c>
    </ns0:row>
    <ns0:row r="15" customFormat="false" ht="15" hidden="false" customHeight="false" outlineLevel="0" collapsed="false">
      <ns0:c r="A15" s="0" t="s">
        <ns0:v>48</ns0:v>
      </ns0:c>
      <ns0:c r="B15" s="0" t="n">
        <ns0:v>5.5</ns0:v>
      </ns0:c>
      <ns0:c r="C15" s="0" t="s">
        <ns0:v>45</ns0:v>
      </ns0:c>
      <ns0:c r="D15" s="7" t="n">
        <ns0:f aca="false">IF(C15="oz", B15/16, B15)</ns0:f>
      </ns0:c>
      <ns0:c r="E15" s="0" t="n">
        <ns0:v>2</ns0:v>
      </ns0:c>
      <ns0:c r="F15" s="8" t="n">
        <ns0:v>15.35</ns0:v>
      </ns0:c>
      <ns0:c r="G15" s="8" t="n">
        <ns0:v>13.9</ns0:v>
      </ns0:c>
      <ns0:c r="H15" s="0" t="str">
        <ns0:f aca="false">IF(AND(ISNUMBER(F15), ISNUMBER(G15)), IF(G15&lt;=F15, "Ground Advantage", "Priority Mail"), IF(ISNUMBER(F15), "Priority Mail", IF(ISNUMBER(G15), "Ground Advantage", "N/A")))</ns0:f>
      </ns0:c>
      <ns0:c r="I15" s="9" t="n">
        <ns0:f aca="false">IF(H15="Priority Mail", F15, IF(H15="Ground Advantage", G15, "N/A"))</ns0:f>
      </ns0:c>
    </ns0:row>
    <ns0:row r="16" customFormat="false" ht="15" hidden="false" customHeight="false" outlineLevel="0" collapsed="false">
      <ns0:c r="A16" s="0" t="s">
        <ns0:v>49</ns0:v>
      </ns0:c>
      <ns0:c r="B16" s="0" t="n">
        <ns0:v>10</ns0:v>
      </ns0:c>
      <ns0:c r="C16" s="0" t="s">
        <ns0:v>45</ns0:v>
      </ns0:c>
      <ns0:c r="D16" s="7" t="n">
        <ns0:f aca="false">IF(C16="oz", B16/16, B16)</ns0:f>
      </ns0:c>
      <ns0:c r="E16" s="0" t="n">
        <ns0:v>8</ns0:v>
      </ns0:c>
      <ns0:c r="F16" s="8" t="n">
        <ns0:v>61.3</ns0:v>
      </ns0:c>
      <ns0:c r="G16" s="8" t="n">
        <ns0:v>38.05</ns0:v>
      </ns0:c>
      <ns0:c r="H16" s="0" t="str">
        <ns0:f aca="false">IF(AND(ISNUMBER(F16), ISNUMBER(G16)), IF(G16&lt;=F16, "Ground Advantage", "Priority Mail"), IF(ISNUMBER(F16), "Priority Mail", IF(ISNUMBER(G16), "Ground Advantage", "N/A")))</ns0:f>
      </ns0:c>
      <ns0:c r="I16" s="9" t="n">
        <ns0:f aca="false">IF(H16="Priority Mail", F16, IF(H16="Ground Advantage", G16, "N/A"))</ns0:f>
      </ns0:c>
    </ns0:row>
    <ns0:row r="18" customFormat="false" ht="15" hidden="false" customHeight="false" outlineLevel="0" collapsed="false">
      <ns0:c r="H18" s="10" t="s">
        <ns0:v>50</ns0:v>
      </ns0:c>
      <ns0:c r="I18" s="11" t="n">
        <ns0:f aca="false">SUMIF(I5:I16, "&lt;&gt;N/A", I5:I16)</ns0:f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2026-09-05T14:47:56Z</dcterms:created>
  <dc:creator>openpyxl</dc:creator>
  <dc:description/>
  <dc:language>en-US</dc:language>
  <cp:lastModifiedBy/>
  <dcterms:modified xsi:type="dcterms:W3CDTF">2026-09-05T14:47:56Z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