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f537378fb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8f1a4e41d39848ca"/>
    <x:sheet xmlns:r="http://schemas.openxmlformats.org/officeDocument/2006/relationships" name="Rates" sheetId="2" r:id="Rb14f4009b410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7d7755ae64e0d" /><Relationship Type="http://schemas.openxmlformats.org/officeDocument/2006/relationships/theme" Target="/xl/theme/theme1.xml" Id="R33a5bb59ae6a4dd1" /><Relationship Type="http://schemas.openxmlformats.org/officeDocument/2006/relationships/sharedStrings" Target="/xl/sharedStrings.xml" Id="R10572373296d434c" /><Relationship Type="http://schemas.openxmlformats.org/officeDocument/2006/relationships/worksheet" Target="/xl/worksheets/sheet1.xml" Id="R8f1a4e41d39848ca" /><Relationship Type="http://schemas.openxmlformats.org/officeDocument/2006/relationships/worksheet" Target="/xl/worksheets/sheet2.xml" Id="Rb14f4009b41041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IF(AND(ISNUMBER(B6),B6&gt;0,OR(C6="oz",C6="lb"),E6&lt;=160,D6&gt;=1,D6&lt;=8,D6=INT(D6)),SUMPRODUCT(('Rates'!$A$6:$A$197="priority")*('Rates'!$B$6:$B$197=F6)*('Rates'!$C$6:$C$197="lb")*('Rates'!$E$6:$E$197=D6)*'Rates'!$F$6:$F$197),"out_of_scope")</x:f>
        <x:v>11</x:v>
      </x:c>
      <x:c r="J6" s="7" t="n">
        <x:f>IF(AND(ISNUMBER(B6),B6&gt;0,OR(C6="oz",C6="lb"),E6&lt;=160,D6&gt;=1,D6&lt;=8,D6=INT(D6)),SUMPRODUCT(('Rates'!$A$6:$A$197="ground")*('Rates'!$B$6:$B$197=G6)*('Rates'!$C$6:$C$197=H6)*('Rates'!$E$6:$E$197=D6)*'Rates'!$F$6:$F$197),"out_of_scope")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IF(AND(ISNUMBER(B7),B7&gt;0,OR(C7="oz",C7="lb"),E7&lt;=160,D7&gt;=1,D7&lt;=8,D7=INT(D7)),SUMPRODUCT(('Rates'!$A$6:$A$197="priority")*('Rates'!$B$6:$B$197=F7)*('Rates'!$C$6:$C$197="lb")*('Rates'!$E$6:$E$197=D7)*'Rates'!$F$6:$F$197),"out_of_scope")</x:f>
        <x:v>11.5</x:v>
      </x:c>
      <x:c r="J7" s="7" t="n">
        <x:f>IF(AND(ISNUMBER(B7),B7&gt;0,OR(C7="oz",C7="lb"),E7&lt;=160,D7&gt;=1,D7&lt;=8,D7=INT(D7)),SUMPRODUCT(('Rates'!$A$6:$A$197="ground")*('Rates'!$B$6:$B$197=G7)*('Rates'!$C$6:$C$197=H7)*('Rates'!$E$6:$E$197=D7)*'Rates'!$F$6:$F$197),"out_of_scope")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IF(AND(ISNUMBER(B8),B8&gt;0,OR(C8="oz",C8="lb"),E8&lt;=160,D8&gt;=1,D8&lt;=8,D8=INT(D8)),SUMPRODUCT(('Rates'!$A$6:$A$197="priority")*('Rates'!$B$6:$B$197=F8)*('Rates'!$C$6:$C$197="lb")*('Rates'!$E$6:$E$197=D8)*'Rates'!$F$6:$F$197),"out_of_scope")</x:f>
        <x:v>16.95</x:v>
      </x:c>
      <x:c r="J8" s="7" t="n">
        <x:f>IF(AND(ISNUMBER(B8),B8&gt;0,OR(C8="oz",C8="lb"),E8&lt;=160,D8&gt;=1,D8&lt;=8,D8=INT(D8)),SUMPRODUCT(('Rates'!$A$6:$A$197="ground")*('Rates'!$B$6:$B$197=G8)*('Rates'!$C$6:$C$197=H8)*('Rates'!$E$6:$E$197=D8)*'Rates'!$F$6:$F$197),"out_of_scope")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IF(AND(ISNUMBER(B9),B9&gt;0,OR(C9="oz",C9="lb"),E9&lt;=160,D9&gt;=1,D9&lt;=8,D9=INT(D9)),SUMPRODUCT(('Rates'!$A$6:$A$197="priority")*('Rates'!$B$6:$B$197=F9)*('Rates'!$C$6:$C$197="lb")*('Rates'!$E$6:$E$197=D9)*'Rates'!$F$6:$F$197),"out_of_scope")</x:f>
        <x:v>16.95</x:v>
      </x:c>
      <x:c r="J9" s="7" t="n">
        <x:f>IF(AND(ISNUMBER(B9),B9&gt;0,OR(C9="oz",C9="lb"),E9&lt;=160,D9&gt;=1,D9&lt;=8,D9=INT(D9)),SUMPRODUCT(('Rates'!$A$6:$A$197="ground")*('Rates'!$B$6:$B$197=G9)*('Rates'!$C$6:$C$197=H9)*('Rates'!$E$6:$E$197=D9)*'Rates'!$F$6:$F$197),"out_of_scope")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IF(AND(ISNUMBER(B10),B10&gt;0,OR(C10="oz",C10="lb"),E10&lt;=160,D10&gt;=1,D10&lt;=8,D10=INT(D10)),SUMPRODUCT(('Rates'!$A$6:$A$197="priority")*('Rates'!$B$6:$B$197=F10)*('Rates'!$C$6:$C$197="lb")*('Rates'!$E$6:$E$197=D10)*'Rates'!$F$6:$F$197),"out_of_scope")</x:f>
        <x:v>11.9</x:v>
      </x:c>
      <x:c r="J10" s="7" t="n">
        <x:f>IF(AND(ISNUMBER(B10),B10&gt;0,OR(C10="oz",C10="lb"),E10&lt;=160,D10&gt;=1,D10&lt;=8,D10=INT(D10)),SUMPRODUCT(('Rates'!$A$6:$A$197="ground")*('Rates'!$B$6:$B$197=G10)*('Rates'!$C$6:$C$197=H10)*('Rates'!$E$6:$E$197=D10)*'Rates'!$F$6:$F$197),"out_of_scope")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IF(AND(ISNUMBER(B11),B11&gt;0,OR(C11="oz",C11="lb"),E11&lt;=160,D11&gt;=1,D11&lt;=8,D11=INT(D11)),SUMPRODUCT(('Rates'!$A$6:$A$197="priority")*('Rates'!$B$6:$B$197=F11)*('Rates'!$C$6:$C$197="lb")*('Rates'!$E$6:$E$197=D11)*'Rates'!$F$6:$F$197),"out_of_scope")</x:f>
        <x:v>13.05</x:v>
      </x:c>
      <x:c r="J11" s="7" t="n">
        <x:f>IF(AND(ISNUMBER(B11),B11&gt;0,OR(C11="oz",C11="lb"),E11&lt;=160,D11&gt;=1,D11&lt;=8,D11=INT(D11)),SUMPRODUCT(('Rates'!$A$6:$A$197="ground")*('Rates'!$B$6:$B$197=G11)*('Rates'!$C$6:$C$197=H11)*('Rates'!$E$6:$E$197=D11)*'Rates'!$F$6:$F$197),"out_of_scope")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IF(AND(ISNUMBER(B12),B12&gt;0,OR(C12="oz",C12="lb"),E12&lt;=160,D12&gt;=1,D12&lt;=8,D12=INT(D12)),SUMPRODUCT(('Rates'!$A$6:$A$197="priority")*('Rates'!$B$6:$B$197=F12)*('Rates'!$C$6:$C$197="lb")*('Rates'!$E$6:$E$197=D12)*'Rates'!$F$6:$F$197),"out_of_scope")</x:f>
        <x:v>14.5</x:v>
      </x:c>
      <x:c r="J12" s="7" t="n">
        <x:f>IF(AND(ISNUMBER(B12),B12&gt;0,OR(C12="oz",C12="lb"),E12&lt;=160,D12&gt;=1,D12&lt;=8,D12=INT(D12)),SUMPRODUCT(('Rates'!$A$6:$A$197="ground")*('Rates'!$B$6:$B$197=G12)*('Rates'!$C$6:$C$197=H12)*('Rates'!$E$6:$E$197=D12)*'Rates'!$F$6:$F$197),"out_of_scope")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IF(AND(ISNUMBER(B13),B13&gt;0,OR(C13="oz",C13="lb"),E13&lt;=160,D13&gt;=1,D13&lt;=8,D13=INT(D13)),SUMPRODUCT(('Rates'!$A$6:$A$197="priority")*('Rates'!$B$6:$B$197=F13)*('Rates'!$C$6:$C$197="lb")*('Rates'!$E$6:$E$197=D13)*'Rates'!$F$6:$F$197),"out_of_scope")</x:f>
        <x:v>14.5</x:v>
      </x:c>
      <x:c r="J13" s="7" t="n">
        <x:f>IF(AND(ISNUMBER(B13),B13&gt;0,OR(C13="oz",C13="lb"),E13&lt;=160,D13&gt;=1,D13&lt;=8,D13=INT(D13)),SUMPRODUCT(('Rates'!$A$6:$A$197="ground")*('Rates'!$B$6:$B$197=G13)*('Rates'!$C$6:$C$197=H13)*('Rates'!$E$6:$E$197=D13)*'Rates'!$F$6:$F$197),"out_of_scope")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IF(AND(ISNUMBER(B14),B14&gt;0,OR(C14="oz",C14="lb"),E14&lt;=160,D14&gt;=1,D14&lt;=8,D14=INT(D14)),SUMPRODUCT(('Rates'!$A$6:$A$197="priority")*('Rates'!$B$6:$B$197=F14)*('Rates'!$C$6:$C$197="lb")*('Rates'!$E$6:$E$197=D14)*'Rates'!$F$6:$F$197),"out_of_scope")</x:f>
        <x:v>19.45</x:v>
      </x:c>
      <x:c r="J14" s="7" t="n">
        <x:f>IF(AND(ISNUMBER(B14),B14&gt;0,OR(C14="oz",C14="lb"),E14&lt;=160,D14&gt;=1,D14&lt;=8,D14=INT(D14)),SUMPRODUCT(('Rates'!$A$6:$A$197="ground")*('Rates'!$B$6:$B$197=G14)*('Rates'!$C$6:$C$197=H14)*('Rates'!$E$6:$E$197=D14)*'Rates'!$F$6:$F$197),"out_of_scope")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IF(AND(ISNUMBER(B15),B15&gt;0,OR(C15="oz",C15="lb"),E15&lt;=160,D15&gt;=1,D15&lt;=8,D15=INT(D15)),SUMPRODUCT(('Rates'!$A$6:$A$197="priority")*('Rates'!$B$6:$B$197=F15)*('Rates'!$C$6:$C$197="lb")*('Rates'!$E$6:$E$197=D15)*'Rates'!$F$6:$F$197),"out_of_scope")</x:f>
        <x:v>13.45</x:v>
      </x:c>
      <x:c r="J15" s="7" t="n">
        <x:f>IF(AND(ISNUMBER(B15),B15&gt;0,OR(C15="oz",C15="lb"),E15&lt;=160,D15&gt;=1,D15&lt;=8,D15=INT(D15)),SUMPRODUCT(('Rates'!$A$6:$A$197="ground")*('Rates'!$B$6:$B$197=G15)*('Rates'!$C$6:$C$197=H15)*('Rates'!$E$6:$E$197=D15)*'Rates'!$F$6:$F$197),"out_of_scope")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IF(AND(ISNUMBER(B16),B16&gt;0,OR(C16="oz",C16="lb"),E16&lt;=160,D16&gt;=1,D16&lt;=8,D16=INT(D16)),SUMPRODUCT(('Rates'!$A$6:$A$197="priority")*('Rates'!$B$6:$B$197=F16)*('Rates'!$C$6:$C$197="lb")*('Rates'!$E$6:$E$197=D16)*'Rates'!$F$6:$F$197),"out_of_scope")</x:f>
        <x:v>15.35</x:v>
      </x:c>
      <x:c r="J16" s="7" t="n">
        <x:f>IF(AND(ISNUMBER(B16),B16&gt;0,OR(C16="oz",C16="lb"),E16&lt;=160,D16&gt;=1,D16&lt;=8,D16=INT(D16)),SUMPRODUCT(('Rates'!$A$6:$A$197="ground")*('Rates'!$B$6:$B$197=G16)*('Rates'!$C$6:$C$197=H16)*('Rates'!$E$6:$E$197=D16)*'Rates'!$F$6:$F$197),"out_of_scope")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IF(AND(ISNUMBER(B17),B17&gt;0,OR(C17="oz",C17="lb"),E17&lt;=160,D17&gt;=1,D17&lt;=8,D17=INT(D17)),SUMPRODUCT(('Rates'!$A$6:$A$197="priority")*('Rates'!$B$6:$B$197=F17)*('Rates'!$C$6:$C$197="lb")*('Rates'!$E$6:$E$197=D17)*'Rates'!$F$6:$F$197),"out_of_scope")</x:f>
        <x:v>61.3</x:v>
      </x:c>
      <x:c r="J17" s="7" t="n">
        <x:f>IF(AND(ISNUMBER(B17),B17&gt;0,OR(C17="oz",C17="lb"),E17&lt;=160,D17&gt;=1,D17&lt;=8,D17=INT(D17)),SUMPRODUCT(('Rates'!$A$6:$A$197="ground")*('Rates'!$B$6:$B$197=G17)*('Rates'!$C$6:$C$197=H17)*('Rates'!$E$6:$E$197=D17)*'Rates'!$F$6:$F$197),"out_of_scope")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164.55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