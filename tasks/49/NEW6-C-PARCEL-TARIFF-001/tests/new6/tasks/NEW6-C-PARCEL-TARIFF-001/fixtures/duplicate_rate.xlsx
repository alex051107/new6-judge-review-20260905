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d9d909980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11ea5854271d435a"/>
    <x:sheet xmlns:r="http://schemas.openxmlformats.org/officeDocument/2006/relationships" name="Rates" sheetId="2" r:id="R6b8e56e0ab8d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a72824cd347a3" /><Relationship Type="http://schemas.openxmlformats.org/officeDocument/2006/relationships/theme" Target="/xl/theme/theme1.xml" Id="R04b7fc3d9e504452" /><Relationship Type="http://schemas.openxmlformats.org/officeDocument/2006/relationships/sharedStrings" Target="/xl/sharedStrings.xml" Id="R218a98a47c3e480d" /><Relationship Type="http://schemas.openxmlformats.org/officeDocument/2006/relationships/worksheet" Target="/xl/worksheets/sheet1.xml" Id="R11ea5854271d435a" /><Relationship Type="http://schemas.openxmlformats.org/officeDocument/2006/relationships/worksheet" Target="/xl/worksheets/sheet2.xml" Id="R6b8e56e0ab8d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IF(AND(ISNUMBER(B6),B6&gt;0,OR(C6="oz",C6="lb"),E6&lt;=160,D6&gt;=1,D6&lt;=8,D6=INT(D6)),SUMIFS('Rates'!$F$6:$F$198,'Rates'!$A$6:$A$198,"priority",'Rates'!$B$6:$B$198,F6,'Rates'!$C$6:$C$198,"lb",'Rates'!$E$6:$E$198,D6),"out_of_scope")</x:f>
        <x:v>22</x:v>
      </x:c>
      <x:c r="J6" s="7" t="n">
        <x:f>IF(AND(ISNUMBER(B6),B6&gt;0,OR(C6="oz",C6="lb"),E6&lt;=160,D6&gt;=1,D6&lt;=8,D6=INT(D6)),SUMIFS('Rates'!$F$6:$F$198,'Rates'!$A$6:$A$198,"ground",'Rates'!$B$6:$B$198,G6,'Rates'!$C$6:$C$198,H6,'Rates'!$E$6:$E$198,D6),"out_of_scope")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IF(AND(ISNUMBER(B7),B7&gt;0,OR(C7="oz",C7="lb"),E7&lt;=160,D7&gt;=1,D7&lt;=8,D7=INT(D7)),SUMIFS('Rates'!$F$6:$F$198,'Rates'!$A$6:$A$198,"priority",'Rates'!$B$6:$B$198,F7,'Rates'!$C$6:$C$198,"lb",'Rates'!$E$6:$E$198,D7),"out_of_scope")</x:f>
        <x:v>11.5</x:v>
      </x:c>
      <x:c r="J7" s="7" t="n">
        <x:f>IF(AND(ISNUMBER(B7),B7&gt;0,OR(C7="oz",C7="lb"),E7&lt;=160,D7&gt;=1,D7&lt;=8,D7=INT(D7)),SUMIFS('Rates'!$F$6:$F$198,'Rates'!$A$6:$A$198,"ground",'Rates'!$B$6:$B$198,G7,'Rates'!$C$6:$C$198,H7,'Rates'!$E$6:$E$198,D7),"out_of_scope")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IF(AND(ISNUMBER(B8),B8&gt;0,OR(C8="oz",C8="lb"),E8&lt;=160,D8&gt;=1,D8&lt;=8,D8=INT(D8)),SUMIFS('Rates'!$F$6:$F$198,'Rates'!$A$6:$A$198,"priority",'Rates'!$B$6:$B$198,F8,'Rates'!$C$6:$C$198,"lb",'Rates'!$E$6:$E$198,D8),"out_of_scope")</x:f>
        <x:v>16.95</x:v>
      </x:c>
      <x:c r="J8" s="7" t="n">
        <x:f>IF(AND(ISNUMBER(B8),B8&gt;0,OR(C8="oz",C8="lb"),E8&lt;=160,D8&gt;=1,D8&lt;=8,D8=INT(D8)),SUMIFS('Rates'!$F$6:$F$198,'Rates'!$A$6:$A$198,"ground",'Rates'!$B$6:$B$198,G8,'Rates'!$C$6:$C$198,H8,'Rates'!$E$6:$E$198,D8),"out_of_scope")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IF(AND(ISNUMBER(B9),B9&gt;0,OR(C9="oz",C9="lb"),E9&lt;=160,D9&gt;=1,D9&lt;=8,D9=INT(D9)),SUMIFS('Rates'!$F$6:$F$198,'Rates'!$A$6:$A$198,"priority",'Rates'!$B$6:$B$198,F9,'Rates'!$C$6:$C$198,"lb",'Rates'!$E$6:$E$198,D9),"out_of_scope")</x:f>
        <x:v>16.95</x:v>
      </x:c>
      <x:c r="J9" s="7" t="n">
        <x:f>IF(AND(ISNUMBER(B9),B9&gt;0,OR(C9="oz",C9="lb"),E9&lt;=160,D9&gt;=1,D9&lt;=8,D9=INT(D9)),SUMIFS('Rates'!$F$6:$F$198,'Rates'!$A$6:$A$198,"ground",'Rates'!$B$6:$B$198,G9,'Rates'!$C$6:$C$198,H9,'Rates'!$E$6:$E$198,D9),"out_of_scope")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IF(AND(ISNUMBER(B10),B10&gt;0,OR(C10="oz",C10="lb"),E10&lt;=160,D10&gt;=1,D10&lt;=8,D10=INT(D10)),SUMIFS('Rates'!$F$6:$F$198,'Rates'!$A$6:$A$198,"priority",'Rates'!$B$6:$B$198,F10,'Rates'!$C$6:$C$198,"lb",'Rates'!$E$6:$E$198,D10),"out_of_scope")</x:f>
        <x:v>11.9</x:v>
      </x:c>
      <x:c r="J10" s="7" t="n">
        <x:f>IF(AND(ISNUMBER(B10),B10&gt;0,OR(C10="oz",C10="lb"),E10&lt;=160,D10&gt;=1,D10&lt;=8,D10=INT(D10)),SUMIFS('Rates'!$F$6:$F$198,'Rates'!$A$6:$A$198,"ground",'Rates'!$B$6:$B$198,G10,'Rates'!$C$6:$C$198,H10,'Rates'!$E$6:$E$198,D10),"out_of_scope")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IF(AND(ISNUMBER(B11),B11&gt;0,OR(C11="oz",C11="lb"),E11&lt;=160,D11&gt;=1,D11&lt;=8,D11=INT(D11)),SUMIFS('Rates'!$F$6:$F$198,'Rates'!$A$6:$A$198,"priority",'Rates'!$B$6:$B$198,F11,'Rates'!$C$6:$C$198,"lb",'Rates'!$E$6:$E$198,D11),"out_of_scope")</x:f>
        <x:v>13.05</x:v>
      </x:c>
      <x:c r="J11" s="7" t="n">
        <x:f>IF(AND(ISNUMBER(B11),B11&gt;0,OR(C11="oz",C11="lb"),E11&lt;=160,D11&gt;=1,D11&lt;=8,D11=INT(D11)),SUMIFS('Rates'!$F$6:$F$198,'Rates'!$A$6:$A$198,"ground",'Rates'!$B$6:$B$198,G11,'Rates'!$C$6:$C$198,H11,'Rates'!$E$6:$E$198,D11),"out_of_scope")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IF(AND(ISNUMBER(B12),B12&gt;0,OR(C12="oz",C12="lb"),E12&lt;=160,D12&gt;=1,D12&lt;=8,D12=INT(D12)),SUMIFS('Rates'!$F$6:$F$198,'Rates'!$A$6:$A$198,"priority",'Rates'!$B$6:$B$198,F12,'Rates'!$C$6:$C$198,"lb",'Rates'!$E$6:$E$198,D12),"out_of_scope")</x:f>
        <x:v>14.5</x:v>
      </x:c>
      <x:c r="J12" s="7" t="n">
        <x:f>IF(AND(ISNUMBER(B12),B12&gt;0,OR(C12="oz",C12="lb"),E12&lt;=160,D12&gt;=1,D12&lt;=8,D12=INT(D12)),SUMIFS('Rates'!$F$6:$F$198,'Rates'!$A$6:$A$198,"ground",'Rates'!$B$6:$B$198,G12,'Rates'!$C$6:$C$198,H12,'Rates'!$E$6:$E$198,D12),"out_of_scope")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IF(AND(ISNUMBER(B13),B13&gt;0,OR(C13="oz",C13="lb"),E13&lt;=160,D13&gt;=1,D13&lt;=8,D13=INT(D13)),SUMIFS('Rates'!$F$6:$F$198,'Rates'!$A$6:$A$198,"priority",'Rates'!$B$6:$B$198,F13,'Rates'!$C$6:$C$198,"lb",'Rates'!$E$6:$E$198,D13),"out_of_scope")</x:f>
        <x:v>14.5</x:v>
      </x:c>
      <x:c r="J13" s="7" t="n">
        <x:f>IF(AND(ISNUMBER(B13),B13&gt;0,OR(C13="oz",C13="lb"),E13&lt;=160,D13&gt;=1,D13&lt;=8,D13=INT(D13)),SUMIFS('Rates'!$F$6:$F$198,'Rates'!$A$6:$A$198,"ground",'Rates'!$B$6:$B$198,G13,'Rates'!$C$6:$C$198,H13,'Rates'!$E$6:$E$198,D13),"out_of_scope")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IF(AND(ISNUMBER(B14),B14&gt;0,OR(C14="oz",C14="lb"),E14&lt;=160,D14&gt;=1,D14&lt;=8,D14=INT(D14)),SUMIFS('Rates'!$F$6:$F$198,'Rates'!$A$6:$A$198,"priority",'Rates'!$B$6:$B$198,F14,'Rates'!$C$6:$C$198,"lb",'Rates'!$E$6:$E$198,D14),"out_of_scope")</x:f>
        <x:v>19.45</x:v>
      </x:c>
      <x:c r="J14" s="7" t="n">
        <x:f>IF(AND(ISNUMBER(B14),B14&gt;0,OR(C14="oz",C14="lb"),E14&lt;=160,D14&gt;=1,D14&lt;=8,D14=INT(D14)),SUMIFS('Rates'!$F$6:$F$198,'Rates'!$A$6:$A$198,"ground",'Rates'!$B$6:$B$198,G14,'Rates'!$C$6:$C$198,H14,'Rates'!$E$6:$E$198,D14),"out_of_scope")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IF(AND(ISNUMBER(B15),B15&gt;0,OR(C15="oz",C15="lb"),E15&lt;=160,D15&gt;=1,D15&lt;=8,D15=INT(D15)),SUMIFS('Rates'!$F$6:$F$198,'Rates'!$A$6:$A$198,"priority",'Rates'!$B$6:$B$198,F15,'Rates'!$C$6:$C$198,"lb",'Rates'!$E$6:$E$198,D15),"out_of_scope")</x:f>
        <x:v>13.45</x:v>
      </x:c>
      <x:c r="J15" s="7" t="n">
        <x:f>IF(AND(ISNUMBER(B15),B15&gt;0,OR(C15="oz",C15="lb"),E15&lt;=160,D15&gt;=1,D15&lt;=8,D15=INT(D15)),SUMIFS('Rates'!$F$6:$F$198,'Rates'!$A$6:$A$198,"ground",'Rates'!$B$6:$B$198,G15,'Rates'!$C$6:$C$198,H15,'Rates'!$E$6:$E$198,D15),"out_of_scope")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IF(AND(ISNUMBER(B16),B16&gt;0,OR(C16="oz",C16="lb"),E16&lt;=160,D16&gt;=1,D16&lt;=8,D16=INT(D16)),SUMIFS('Rates'!$F$6:$F$198,'Rates'!$A$6:$A$198,"priority",'Rates'!$B$6:$B$198,F16,'Rates'!$C$6:$C$198,"lb",'Rates'!$E$6:$E$198,D16),"out_of_scope")</x:f>
        <x:v>15.35</x:v>
      </x:c>
      <x:c r="J16" s="7" t="n">
        <x:f>IF(AND(ISNUMBER(B16),B16&gt;0,OR(C16="oz",C16="lb"),E16&lt;=160,D16&gt;=1,D16&lt;=8,D16=INT(D16)),SUMIFS('Rates'!$F$6:$F$198,'Rates'!$A$6:$A$198,"ground",'Rates'!$B$6:$B$198,G16,'Rates'!$C$6:$C$198,H16,'Rates'!$E$6:$E$198,D16),"out_of_scope")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IF(AND(ISNUMBER(B17),B17&gt;0,OR(C17="oz",C17="lb"),E17&lt;=160,D17&gt;=1,D17&lt;=8,D17=INT(D17)),SUMIFS('Rates'!$F$6:$F$198,'Rates'!$A$6:$A$198,"priority",'Rates'!$B$6:$B$198,F17,'Rates'!$C$6:$C$198,"lb",'Rates'!$E$6:$E$198,D17),"out_of_scope")</x:f>
        <x:v>61.3</x:v>
      </x:c>
      <x:c r="J17" s="7" t="n">
        <x:f>IF(AND(ISNUMBER(B17),B17&gt;0,OR(C17="oz",C17="lb"),E17&lt;=160,D17&gt;=1,D17&lt;=8,D17=INT(D17)),SUMIFS('Rates'!$F$6:$F$198,'Rates'!$A$6:$A$198,"ground",'Rates'!$B$6:$B$198,G17,'Rates'!$C$6:$C$198,H17,'Rates'!$E$6:$E$198,D17),"out_of_scope")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  <x:row r="198">
      <x:c r="A198" s="1" t="str">
        <x:v>priority</x:v>
      </x:c>
      <x:c r="B198" s="1" t="n">
        <x:v>1</x:v>
      </x:c>
      <x:c r="C198" s="1" t="str">
        <x:v>lb</x:v>
      </x:c>
      <x:c r="D198" s="1" t="n">
        <x:v>16</x:v>
      </x:c>
      <x:c r="E198" s="1" t="n">
        <x:v>1</x:v>
      </x:c>
      <x:c r="F198" s="7" t="n">
        <x:v>11</x:v>
      </x:c>
      <x:c r="G198" s="1" t="str">
        <x:v>2026-07-12</x:v>
      </x:c>
      <x:c r="H198" s="1" t="n">
        <x:v>5</x:v>
      </x:c>
    </x:row>
  </x:sheetData>
  <x:pageMargins left="0.7" right="0.7" top="0.75" bottom="0.75" header="0.3" footer="0.3"/>
</x:worksheet>
</file>