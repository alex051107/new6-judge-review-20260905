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9fc953df0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7cb6e4fafcf24869"/>
    <x:sheet xmlns:r="http://schemas.openxmlformats.org/officeDocument/2006/relationships" name="Rates" sheetId="2" r:id="R318cad78c7df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d92179dcb4016" /><Relationship Type="http://schemas.openxmlformats.org/officeDocument/2006/relationships/theme" Target="/xl/theme/theme1.xml" Id="R888cd2c42acf4e34" /><Relationship Type="http://schemas.openxmlformats.org/officeDocument/2006/relationships/sharedStrings" Target="/xl/sharedStrings.xml" Id="R20bb5e64aead4e6f" /><Relationship Type="http://schemas.openxmlformats.org/officeDocument/2006/relationships/worksheet" Target="/xl/worksheets/sheet1.xml" Id="R7cb6e4fafcf24869" /><Relationship Type="http://schemas.openxmlformats.org/officeDocument/2006/relationships/worksheet" Target="/xl/worksheets/sheet2.xml" Id="R318cad78c7df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IF(AND(ISNUMBER(B6),B6&gt;0,OR(C6="oz",C6="lb"),E6&lt;=160,D6&gt;=1,D6&lt;=8,D6=INT(D6)),SUMIFS('Rates'!$F$6:$F$197,'Rates'!$A$6:$A$197,"priority",'Rates'!$B$6:$B$197,F6,'Rates'!$C$6:$C$197,"lb",'Rates'!$E$6:$E$197,D6)+1,"out_of_scope")</x:f>
        <x:v>12</x:v>
      </x:c>
      <x:c r="J6" s="7" t="n">
        <x:f>IF(AND(ISNUMBER(B6),B6&gt;0,OR(C6="oz",C6="lb"),E6&lt;=160,D6&gt;=1,D6&lt;=8,D6=INT(D6)),SUMIFS('Rates'!$F$6:$F$197,'Rates'!$A$6:$A$197,"ground",'Rates'!$B$6:$B$197,G6,'Rates'!$C$6:$C$197,H6,'Rates'!$E$6:$E$197,D6)+1,"out_of_scope")</x:f>
        <x:v>8.9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8.9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IF(AND(ISNUMBER(B7),B7&gt;0,OR(C7="oz",C7="lb"),E7&lt;=160,D7&gt;=1,D7&lt;=8,D7=INT(D7)),SUMIFS('Rates'!$F$6:$F$197,'Rates'!$A$6:$A$197,"priority",'Rates'!$B$6:$B$197,F7,'Rates'!$C$6:$C$197,"lb",'Rates'!$E$6:$E$197,D7)+1,"out_of_scope")</x:f>
        <x:v>12.5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IF(AND(ISNUMBER(B7),B7&gt;0,OR(C7="oz",C7="lb"),E7&lt;=160,D7&gt;=1,D7&lt;=8,D7=INT(D7)),SUMIFS('Rates'!$F$6:$F$197,'Rates'!$A$6:$A$197,"ground",'Rates'!$B$6:$B$197,G7,'Rates'!$C$6:$C$197,H7,'Rates'!$E$6:$E$197,D7)+1,"out_of_scope")</x:f>
        <x:v>9.05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9.05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IF(AND(ISNUMBER(B8),B8&gt;0,OR(C8="oz",C8="lb"),E8&lt;=160,D8&gt;=1,D8&lt;=8,D8=INT(D8)),SUMIFS('Rates'!$F$6:$F$197,'Rates'!$A$6:$A$197,"priority",'Rates'!$B$6:$B$197,F8,'Rates'!$C$6:$C$197,"lb",'Rates'!$E$6:$E$197,D8)+1,"out_of_scope")</x:f>
        <x:v>17.95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IF(AND(ISNUMBER(B8),B8&gt;0,OR(C8="oz",C8="lb"),E8&lt;=160,D8&gt;=1,D8&lt;=8,D8=INT(D8)),SUMIFS('Rates'!$F$6:$F$197,'Rates'!$A$6:$A$197,"ground",'Rates'!$B$6:$B$197,G8,'Rates'!$C$6:$C$197,H8,'Rates'!$E$6:$E$197,D8)+1,"out_of_scope")</x:f>
        <x:v>10.45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10.45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IF(AND(ISNUMBER(B9),B9&gt;0,OR(C9="oz",C9="lb"),E9&lt;=160,D9&gt;=1,D9&lt;=8,D9=INT(D9)),SUMIFS('Rates'!$F$6:$F$197,'Rates'!$A$6:$A$197,"priority",'Rates'!$B$6:$B$197,F9,'Rates'!$C$6:$C$197,"lb",'Rates'!$E$6:$E$197,D9)+1,"out_of_scope")</x:f>
        <x:v>17.95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IF(AND(ISNUMBER(B9),B9&gt;0,OR(C9="oz",C9="lb"),E9&lt;=160,D9&gt;=1,D9&lt;=8,D9=INT(D9)),SUMIFS('Rates'!$F$6:$F$197,'Rates'!$A$6:$A$197,"ground",'Rates'!$B$6:$B$197,G9,'Rates'!$C$6:$C$197,H9,'Rates'!$E$6:$E$197,D9)+1,"out_of_scope")</x:f>
        <x:v>13.9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13.9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IF(AND(ISNUMBER(B10),B10&gt;0,OR(C10="oz",C10="lb"),E10&lt;=160,D10&gt;=1,D10&lt;=8,D10=INT(D10)),SUMIFS('Rates'!$F$6:$F$197,'Rates'!$A$6:$A$197,"priority",'Rates'!$B$6:$B$197,F10,'Rates'!$C$6:$C$197,"lb",'Rates'!$E$6:$E$197,D10)+1,"out_of_scope")</x:f>
        <x:v>12.9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IF(AND(ISNUMBER(B10),B10&gt;0,OR(C10="oz",C10="lb"),E10&lt;=160,D10&gt;=1,D10&lt;=8,D10=INT(D10)),SUMIFS('Rates'!$F$6:$F$197,'Rates'!$A$6:$A$197,"ground",'Rates'!$B$6:$B$197,G10,'Rates'!$C$6:$C$197,H10,'Rates'!$E$6:$E$197,D10)+1,"out_of_scope")</x:f>
        <x:v>11.6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11.6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IF(AND(ISNUMBER(B11),B11&gt;0,OR(C11="oz",C11="lb"),E11&lt;=160,D11&gt;=1,D11&lt;=8,D11=INT(D11)),SUMIFS('Rates'!$F$6:$F$197,'Rates'!$A$6:$A$197,"priority",'Rates'!$B$6:$B$197,F11,'Rates'!$C$6:$C$197,"lb",'Rates'!$E$6:$E$197,D11)+1,"out_of_scope")</x:f>
        <x:v>14.05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IF(AND(ISNUMBER(B11),B11&gt;0,OR(C11="oz",C11="lb"),E11&lt;=160,D11&gt;=1,D11&lt;=8,D11=INT(D11)),SUMIFS('Rates'!$F$6:$F$197,'Rates'!$A$6:$A$197,"ground",'Rates'!$B$6:$B$197,G11,'Rates'!$C$6:$C$197,H11,'Rates'!$E$6:$E$197,D11)+1,"out_of_scope")</x:f>
        <x:v>11.95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11.95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IF(AND(ISNUMBER(B12),B12&gt;0,OR(C12="oz",C12="lb"),E12&lt;=160,D12&gt;=1,D12&lt;=8,D12=INT(D12)),SUMIFS('Rates'!$F$6:$F$197,'Rates'!$A$6:$A$197,"priority",'Rates'!$B$6:$B$197,F12,'Rates'!$C$6:$C$197,"lb",'Rates'!$E$6:$E$197,D12)+1,"out_of_scope")</x:f>
        <x:v>15.5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IF(AND(ISNUMBER(B12),B12&gt;0,OR(C12="oz",C12="lb"),E12&lt;=160,D12&gt;=1,D12&lt;=8,D12=INT(D12)),SUMIFS('Rates'!$F$6:$F$197,'Rates'!$A$6:$A$197,"ground",'Rates'!$B$6:$B$197,G12,'Rates'!$C$6:$C$197,H12,'Rates'!$E$6:$E$197,D12)+1,"out_of_scope")</x:f>
        <x:v>12.35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12.35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IF(AND(ISNUMBER(B13),B13&gt;0,OR(C13="oz",C13="lb"),E13&lt;=160,D13&gt;=1,D13&lt;=8,D13=INT(D13)),SUMIFS('Rates'!$F$6:$F$197,'Rates'!$A$6:$A$197,"priority",'Rates'!$B$6:$B$197,F13,'Rates'!$C$6:$C$197,"lb",'Rates'!$E$6:$E$197,D13)+1,"out_of_scope")</x:f>
        <x:v>15.5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IF(AND(ISNUMBER(B13),B13&gt;0,OR(C13="oz",C13="lb"),E13&lt;=160,D13&gt;=1,D13&lt;=8,D13=INT(D13)),SUMIFS('Rates'!$F$6:$F$197,'Rates'!$A$6:$A$197,"ground",'Rates'!$B$6:$B$197,G13,'Rates'!$C$6:$C$197,H13,'Rates'!$E$6:$E$197,D13)+1,"out_of_scope")</x:f>
        <x:v>12.35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12.35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IF(AND(ISNUMBER(B14),B14&gt;0,OR(C14="oz",C14="lb"),E14&lt;=160,D14&gt;=1,D14&lt;=8,D14=INT(D14)),SUMIFS('Rates'!$F$6:$F$197,'Rates'!$A$6:$A$197,"priority",'Rates'!$B$6:$B$197,F14,'Rates'!$C$6:$C$197,"lb",'Rates'!$E$6:$E$197,D14)+1,"out_of_scope")</x:f>
        <x:v>20.45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IF(AND(ISNUMBER(B14),B14&gt;0,OR(C14="oz",C14="lb"),E14&lt;=160,D14&gt;=1,D14&lt;=8,D14=INT(D14)),SUMIFS('Rates'!$F$6:$F$197,'Rates'!$A$6:$A$197,"ground",'Rates'!$B$6:$B$197,G14,'Rates'!$C$6:$C$197,H14,'Rates'!$E$6:$E$197,D14)+1,"out_of_scope")</x:f>
        <x:v>17.45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17.45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IF(AND(ISNUMBER(B15),B15&gt;0,OR(C15="oz",C15="lb"),E15&lt;=160,D15&gt;=1,D15&lt;=8,D15=INT(D15)),SUMIFS('Rates'!$F$6:$F$197,'Rates'!$A$6:$A$197,"priority",'Rates'!$B$6:$B$197,F15,'Rates'!$C$6:$C$197,"lb",'Rates'!$E$6:$E$197,D15)+1,"out_of_scope")</x:f>
        <x:v>14.45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IF(AND(ISNUMBER(B15),B15&gt;0,OR(C15="oz",C15="lb"),E15&lt;=160,D15&gt;=1,D15&lt;=8,D15=INT(D15)),SUMIFS('Rates'!$F$6:$F$197,'Rates'!$A$6:$A$197,"ground",'Rates'!$B$6:$B$197,G15,'Rates'!$C$6:$C$197,H15,'Rates'!$E$6:$E$197,D15)+1,"out_of_scope")</x:f>
        <x:v>13.2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13.2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IF(AND(ISNUMBER(B16),B16&gt;0,OR(C16="oz",C16="lb"),E16&lt;=160,D16&gt;=1,D16&lt;=8,D16=INT(D16)),SUMIFS('Rates'!$F$6:$F$197,'Rates'!$A$6:$A$197,"priority",'Rates'!$B$6:$B$197,F16,'Rates'!$C$6:$C$197,"lb",'Rates'!$E$6:$E$197,D16)+1,"out_of_scope")</x:f>
        <x:v>16.35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IF(AND(ISNUMBER(B16),B16&gt;0,OR(C16="oz",C16="lb"),E16&lt;=160,D16&gt;=1,D16&lt;=8,D16=INT(D16)),SUMIFS('Rates'!$F$6:$F$197,'Rates'!$A$6:$A$197,"ground",'Rates'!$B$6:$B$197,G16,'Rates'!$C$6:$C$197,H16,'Rates'!$E$6:$E$197,D16)+1,"out_of_scope")</x:f>
        <x:v>14.9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14.9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IF(AND(ISNUMBER(B17),B17&gt;0,OR(C17="oz",C17="lb"),E17&lt;=160,D17&gt;=1,D17&lt;=8,D17=INT(D17)),SUMIFS('Rates'!$F$6:$F$197,'Rates'!$A$6:$A$197,"priority",'Rates'!$B$6:$B$197,F17,'Rates'!$C$6:$C$197,"lb",'Rates'!$E$6:$E$197,D17)+1,"out_of_scope")</x:f>
        <x:v>62.3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IF(AND(ISNUMBER(B17),B17&gt;0,OR(C17="oz",C17="lb"),E17&lt;=160,D17&gt;=1,D17&lt;=8,D17=INT(D17)),SUMIFS('Rates'!$F$6:$F$197,'Rates'!$A$6:$A$197,"ground",'Rates'!$B$6:$B$197,G17,'Rates'!$C$6:$C$197,H17,'Rates'!$E$6:$E$197,D17)+1,"out_of_scope")</x:f>
        <x:v>40.45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40.45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176.55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