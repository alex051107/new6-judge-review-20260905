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new6sheet7.xml" ContentType="application/vnd.openxmlformats-officedocument.spreadsheetml.worksheet+xml"/>
  <Override PartName="/xl/worksheets/new6sheet8.xml" ContentType="application/vnd.openxmlformats-officedocument.spreadsheetml.worksheet+xml"/>
  <Override PartName="/xl/worksheets/new6sheet9.xml" ContentType="application/vnd.openxmlformats-officedocument.spreadsheetml.worksheet+xml"/>
  <Override PartName="/xl/worksheets/new6sheet10.xml" ContentType="application/vnd.openxmlformats-officedocument.spreadsheetml.worksheet+xml"/>
  <Override PartName="/xl/worksheets/new6sheet11.xml" ContentType="application/vnd.openxmlformats-officedocument.spreadsheetml.worksheet+xml"/>
  <Override PartName="/xl/worksheets/new6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207c2b1b3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65edfd65af4f94"/>
    <x:sheet xmlns:r="http://schemas.openxmlformats.org/officeDocument/2006/relationships" name="Elements" sheetId="2" r:id="R68fa28388f00431f"/>
    <x:sheet xmlns:r="http://schemas.openxmlformats.org/officeDocument/2006/relationships" name="Provisional sums" sheetId="3" r:id="R84aab373210d435d"/>
    <x:sheet xmlns:r="http://schemas.openxmlformats.org/officeDocument/2006/relationships" name="Exclusions" sheetId="4" r:id="R82f3387677374b50"/>
    <x:sheet xmlns:r="http://schemas.openxmlformats.org/officeDocument/2006/relationships" name="Qualifications" sheetId="5" r:id="Ra3f0273f7c094448"/>
    <x:sheet xmlns:r="http://schemas.openxmlformats.org/officeDocument/2006/relationships" name="Review decisions" sheetId="6" r:id="R555456f6a36d4dc5"/>
    <x:sheet xmlns:r="http://schemas.openxmlformats.org/officeDocument/2006/relationships" name="View 1" sheetId="7" r:id="rIdNEW67"/>
    <x:sheet xmlns:r="http://schemas.openxmlformats.org/officeDocument/2006/relationships" name="View 2" sheetId="8" r:id="rIdNEW68"/>
    <x:sheet xmlns:r="http://schemas.openxmlformats.org/officeDocument/2006/relationships" name="View 3" sheetId="9" r:id="rIdNEW69"/>
    <x:sheet xmlns:r="http://schemas.openxmlformats.org/officeDocument/2006/relationships" name="View 4" sheetId="10" r:id="rIdNEW610"/>
    <x:sheet xmlns:r="http://schemas.openxmlformats.org/officeDocument/2006/relationships" name="View 5" sheetId="11" r:id="rIdNEW611"/>
    <x:sheet xmlns:r="http://schemas.openxmlformats.org/officeDocument/2006/relationships" name="View 6" sheetId="12" r:id="rIdNEW6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1bbd5965fb1b4c7f"/><Relationship Type="http://schemas.openxmlformats.org/officeDocument/2006/relationships/theme" Target="/xl/theme/theme1.xml" Id="Ra57edc81d15147d7"/><Relationship Type="http://schemas.openxmlformats.org/officeDocument/2006/relationships/sharedStrings" Target="/xl/sharedStrings.xml" Id="Rea024affa6ae47ac"/><Relationship Type="http://schemas.openxmlformats.org/officeDocument/2006/relationships/worksheet" Target="/xl/worksheets/sheet1.xml" Id="Rb565edfd65af4f94"/><Relationship Type="http://schemas.openxmlformats.org/officeDocument/2006/relationships/worksheet" Target="/xl/worksheets/sheet2.xml" Id="R68fa28388f00431f"/><Relationship Type="http://schemas.openxmlformats.org/officeDocument/2006/relationships/worksheet" Target="/xl/worksheets/sheet3.xml" Id="R84aab373210d435d"/><Relationship Type="http://schemas.openxmlformats.org/officeDocument/2006/relationships/worksheet" Target="/xl/worksheets/sheet4.xml" Id="R82f3387677374b50"/><Relationship Type="http://schemas.openxmlformats.org/officeDocument/2006/relationships/worksheet" Target="/xl/worksheets/sheet5.xml" Id="Ra3f0273f7c094448"/><Relationship Type="http://schemas.openxmlformats.org/officeDocument/2006/relationships/worksheet" Target="/xl/worksheets/sheet6.xml" Id="R555456f6a36d4dc5"/><Relationship Id="rIdNEW67" Type="http://schemas.openxmlformats.org/officeDocument/2006/relationships/worksheet" Target="worksheets/new6sheet7.xml"/><Relationship Id="rIdNEW68" Type="http://schemas.openxmlformats.org/officeDocument/2006/relationships/worksheet" Target="worksheets/new6sheet8.xml"/><Relationship Id="rIdNEW69" Type="http://schemas.openxmlformats.org/officeDocument/2006/relationships/worksheet" Target="worksheets/new6sheet9.xml"/><Relationship Id="rIdNEW610" Type="http://schemas.openxmlformats.org/officeDocument/2006/relationships/worksheet" Target="worksheets/new6sheet10.xml"/><Relationship Id="rIdNEW611" Type="http://schemas.openxmlformats.org/officeDocument/2006/relationships/worksheet" Target="worksheets/new6sheet11.xml"/><Relationship Id="rIdNEW612" Type="http://schemas.openxmlformats.org/officeDocument/2006/relationships/worksheet" Target="worksheets/new6sheet1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new6sheet7.xml><?xml version="1.0" encoding="utf-8"?>
<worksheet xmlns="http://schemas.openxmlformats.org/spreadsheetml/2006/main">
  <sheetData>
    <row r="5">
      <c r="B5" t="inlineStr">
        <is>
          <t>Falmouth Municipal Building - Cost estimate Revision A</t>
        </is>
      </c>
    </row>
    <row r="6">
      <c r="B6" t="inlineStr">
        <is>
          <t>October 2024 | GBP | Job 3959 | Falmouth Town Council</t>
        </is>
      </c>
    </row>
    <row r="7">
      <c r="B7" t="inlineStr">
        <is>
          <t>Working stages retain full precision. Difference = working minus printed; printed source values remain unchanged.</t>
        </is>
      </c>
    </row>
    <row r="8">
      <c r="B8" t="inlineStr">
        <is>
          <t>Stage</t>
        </is>
      </c>
      <c r="C8" t="inlineStr">
        <is>
          <t>Printed amount</t>
        </is>
      </c>
      <c r="D8" t="inlineStr">
        <is>
          <t>Printed rate</t>
        </is>
      </c>
      <c r="E8" t="inlineStr">
        <is>
          <t>Working rate</t>
        </is>
      </c>
      <c r="F8" t="inlineStr">
        <is>
          <t>Working amount</t>
        </is>
      </c>
      <c r="G8" t="inlineStr">
        <is>
          <t>Difference</t>
        </is>
      </c>
      <c r="H8" t="inlineStr">
        <is>
          <t>Source</t>
        </is>
      </c>
      <c r="I8" t="inlineStr">
        <is>
          <t>Page</t>
        </is>
      </c>
      <c r="J8" t="inlineStr">
        <is>
          <t>Scope</t>
        </is>
      </c>
    </row>
    <row r="9">
      <c r="B9" t="inlineStr">
        <is>
          <t>Building Works</t>
        </is>
      </c>
      <c r="C9">
        <v>1430225</v>
      </c>
      <c r="F9">
        <f>SUM('View 2'!E9:E23)</f>
      </c>
      <c r="G9">
        <f>F9-C9</f>
      </c>
      <c r="H9" t="inlineStr">
        <is>
          <t>Falmouth_OCE_October2024_RevA.pdf</t>
        </is>
      </c>
      <c r="I9">
        <v>2</v>
      </c>
    </row>
    <row r="10">
      <c r="B10" t="inlineStr">
        <is>
          <t>Main Contractors Preliminaries</t>
        </is>
      </c>
      <c r="C10">
        <v>182800</v>
      </c>
      <c r="F10">
        <f>182800</f>
      </c>
      <c r="G10">
        <f>F10-C10</f>
      </c>
      <c r="H10" t="inlineStr">
        <is>
          <t>Falmouth_OCE_October2024_RevA.pdf</t>
        </is>
      </c>
      <c r="I10">
        <v>2</v>
      </c>
    </row>
    <row r="11">
      <c r="B11" t="inlineStr">
        <is>
          <t>Main Contractors Overheads &amp; Profit</t>
        </is>
      </c>
      <c r="C11">
        <v>161303</v>
      </c>
      <c r="D11">
        <v>0.1</v>
      </c>
      <c r="E11">
        <v>0.1</v>
      </c>
      <c r="F11">
        <f>(F9+F10)*E11</f>
      </c>
      <c r="G11">
        <f>F11-C11</f>
      </c>
      <c r="H11" t="inlineStr">
        <is>
          <t>Falmouth_OCE_October2024_RevA.pdf</t>
        </is>
      </c>
      <c r="I11">
        <v>2</v>
      </c>
    </row>
    <row r="12">
      <c r="B12" t="inlineStr">
        <is>
          <t>Building Works Estimate</t>
        </is>
      </c>
      <c r="C12">
        <v>1774328</v>
      </c>
      <c r="F12">
        <f>SUM(F9:F11)</f>
      </c>
      <c r="G12">
        <f>F12-C12</f>
      </c>
      <c r="H12" t="inlineStr">
        <is>
          <t>Falmouth_OCE_October2024_RevA.pdf</t>
        </is>
      </c>
      <c r="I12">
        <v>2</v>
      </c>
    </row>
    <row r="13">
      <c r="B13" t="inlineStr">
        <is>
          <t>Project Consultants Fees</t>
        </is>
      </c>
      <c r="C13" t="inlineStr">
        <is>
          <t>Excluded</t>
        </is>
      </c>
      <c r="H13" t="inlineStr">
        <is>
          <t>Falmouth_OCE_October2024_RevA.pdf</t>
        </is>
      </c>
      <c r="I13">
        <v>2</v>
      </c>
      <c r="J13" t="inlineStr">
        <is>
          <t>Excluded</t>
        </is>
      </c>
    </row>
    <row r="14">
      <c r="B14" t="inlineStr">
        <is>
          <t>Base Cost Estimate</t>
        </is>
      </c>
      <c r="C14">
        <v>1774328</v>
      </c>
      <c r="F14">
        <f>F12</f>
      </c>
      <c r="G14">
        <f>F14-C14</f>
      </c>
      <c r="H14" t="inlineStr">
        <is>
          <t>Falmouth_OCE_October2024_RevA.pdf</t>
        </is>
      </c>
      <c r="I14">
        <v>2</v>
      </c>
    </row>
    <row r="15">
      <c r="B15" t="inlineStr">
        <is>
          <t>Design Development Risks</t>
        </is>
      </c>
      <c r="C15">
        <v>177433</v>
      </c>
      <c r="D15">
        <v>0.1</v>
      </c>
      <c r="E15">
        <v>0.12</v>
      </c>
      <c r="F15">
        <f>F14*E15</f>
      </c>
      <c r="G15">
        <f>F15-C15</f>
      </c>
      <c r="H15" t="inlineStr">
        <is>
          <t>Falmouth_OCE_October2024_RevA.pdf</t>
        </is>
      </c>
      <c r="I15">
        <v>2</v>
      </c>
    </row>
    <row r="16">
      <c r="B16" t="inlineStr">
        <is>
          <t>Construction Risks</t>
        </is>
      </c>
      <c r="C16" t="inlineStr">
        <is>
          <t>-</t>
        </is>
      </c>
      <c r="H16" t="inlineStr">
        <is>
          <t>Falmouth_OCE_October2024_RevA.pdf</t>
        </is>
      </c>
      <c r="I16">
        <v>2</v>
      </c>
      <c r="J16" t="inlineStr">
        <is>
          <t>Source dash; no separate priced allowance</t>
        </is>
      </c>
    </row>
    <row r="17">
      <c r="B17" t="inlineStr">
        <is>
          <t>Employer Change Risks</t>
        </is>
      </c>
      <c r="C17" t="inlineStr">
        <is>
          <t>-</t>
        </is>
      </c>
      <c r="H17" t="inlineStr">
        <is>
          <t>Falmouth_OCE_October2024_RevA.pdf</t>
        </is>
      </c>
      <c r="I17">
        <v>2</v>
      </c>
      <c r="J17" t="inlineStr">
        <is>
          <t>Source dash; no separate priced allowance</t>
        </is>
      </c>
    </row>
    <row r="18">
      <c r="B18" t="inlineStr">
        <is>
          <t>COST LIMIT (Inflation Excluded)</t>
        </is>
      </c>
      <c r="C18">
        <v>1951760</v>
      </c>
      <c r="F18">
        <f>SUM(F14:F15)</f>
      </c>
      <c r="G18">
        <f>F18-C18</f>
      </c>
      <c r="H18" t="inlineStr">
        <is>
          <t>Falmouth_OCE_October2024_RevA.pdf</t>
        </is>
      </c>
      <c r="I18">
        <v>2</v>
      </c>
    </row>
    <row r="19">
      <c r="B19" t="inlineStr">
        <is>
          <t>Inflation Allowance - 4Q24 to 1Q25</t>
        </is>
      </c>
      <c r="C19">
        <v>19518</v>
      </c>
      <c r="D19">
        <v>0.01</v>
      </c>
      <c r="E19">
        <v>0.01</v>
      </c>
      <c r="F19">
        <f>F18*E19</f>
      </c>
      <c r="G19">
        <f>F19-C19</f>
      </c>
      <c r="H19" t="inlineStr">
        <is>
          <t>Falmouth_OCE_October2024_RevA.pdf</t>
        </is>
      </c>
      <c r="I19">
        <v>2</v>
      </c>
    </row>
    <row r="20">
      <c r="B20" t="inlineStr">
        <is>
          <t>COST LIMIT (VAT Excluded)</t>
        </is>
      </c>
      <c r="C20">
        <v>1971278</v>
      </c>
      <c r="F20">
        <f>SUM(F18:F19)</f>
      </c>
      <c r="G20">
        <f>F20-C20</f>
      </c>
      <c r="H20" t="inlineStr">
        <is>
          <t>Falmouth_OCE_October2024_RevA.pdf</t>
        </is>
      </c>
      <c r="I20">
        <v>2</v>
      </c>
    </row>
    <row r="23">
      <c r="B23" t="inlineStr">
        <is>
          <t>Heating/ASHP replaces the included original package. Design risk is now 12%; other bases and rates are unchanged. Differences retain full precision, including source rounding.</t>
        </is>
      </c>
    </row>
    <row r="24">
      <c r="B24" t="inlineStr">
        <is>
          <t>The current heating quotation supersedes the earlier quotation. Asbestos remains an unapproved option outside the current cost limit. No consultant fees or VAT are added.</t>
        </is>
      </c>
    </row>
  </sheetData>
</worksheet>
</file>

<file path=xl/worksheets/new6sheet8.xml><?xml version="1.0" encoding="utf-8"?>
<worksheet xmlns="http://schemas.openxmlformats.org/spreadsheetml/2006/main">
  <sheetData>
    <row r="5">
      <c r="B5" t="inlineStr">
        <is>
          <t>Falmouth Municipal Building - Cost estimate Revision A</t>
        </is>
      </c>
    </row>
    <row r="6">
      <c r="B6" t="inlineStr">
        <is>
          <t>October 2024 | GBP | Job 3959 | Falmouth Town Council</t>
        </is>
      </c>
    </row>
    <row r="7">
      <c r="B7" t="inlineStr">
        <is>
          <t>Elemental analysis, PDF page 5. Source dashes remain unpriced; working zero is a summation convention.</t>
        </is>
      </c>
    </row>
    <row r="8">
      <c r="B8" t="inlineStr">
        <is>
          <t>Item</t>
        </is>
      </c>
      <c r="C8" t="inlineStr">
        <is>
          <t>Printed amount</t>
        </is>
      </c>
      <c r="D8" t="inlineStr">
        <is>
          <t>Printed rate</t>
        </is>
      </c>
      <c r="E8" t="inlineStr">
        <is>
          <t>Working amount</t>
        </is>
      </c>
      <c r="F8" t="inlineStr">
        <is>
          <t>Scope</t>
        </is>
      </c>
      <c r="G8" t="inlineStr">
        <is>
          <t>Source</t>
        </is>
      </c>
      <c r="H8" t="inlineStr">
        <is>
          <t>Page</t>
        </is>
      </c>
    </row>
    <row r="9">
      <c r="B9" t="inlineStr">
        <is>
          <t>Grade 2 Listing</t>
        </is>
      </c>
      <c r="C9" t="inlineStr">
        <is>
          <t>-</t>
        </is>
      </c>
      <c r="D9">
        <v>0</v>
      </c>
      <c r="E9">
        <v>0</v>
      </c>
      <c r="F9" t="inlineStr">
        <is>
          <t>Source dash; not separately priced</t>
        </is>
      </c>
      <c r="G9" t="inlineStr">
        <is>
          <t>Falmouth_OCE_October2024_RevA.pdf</t>
        </is>
      </c>
      <c r="H9">
        <v>5</v>
      </c>
    </row>
    <row r="10">
      <c r="B10" t="inlineStr">
        <is>
          <t>Pitched Roof</t>
        </is>
      </c>
      <c r="C10">
        <v>418900</v>
      </c>
      <c r="D10">
        <v>0.2929</v>
      </c>
      <c r="E10">
        <f>C10</f>
      </c>
      <c r="F10" t="inlineStr">
        <is>
          <t>Elemental cost</t>
        </is>
      </c>
      <c r="G10" t="inlineStr">
        <is>
          <t>Falmouth_OCE_October2024_RevA.pdf</t>
        </is>
      </c>
      <c r="H10">
        <v>5</v>
      </c>
    </row>
    <row r="11">
      <c r="B11" t="inlineStr">
        <is>
          <t>Central Lantern Feature</t>
        </is>
      </c>
      <c r="C11">
        <v>9600</v>
      </c>
      <c r="D11">
        <v>0.0067</v>
      </c>
      <c r="E11">
        <f>C11</f>
      </c>
      <c r="F11" t="inlineStr">
        <is>
          <t>Elemental cost</t>
        </is>
      </c>
      <c r="G11" t="inlineStr">
        <is>
          <t>Falmouth_OCE_October2024_RevA.pdf</t>
        </is>
      </c>
      <c r="H11">
        <v>5</v>
      </c>
    </row>
    <row r="12">
      <c r="B12" t="inlineStr">
        <is>
          <t>Rear Roof (refer to Pitched Roof for costs)</t>
        </is>
      </c>
      <c r="C12">
        <v>400</v>
      </c>
      <c r="D12">
        <v>0.0003</v>
      </c>
      <c r="E12">
        <f>C12</f>
      </c>
      <c r="F12" t="inlineStr">
        <is>
          <t>Elemental cost</t>
        </is>
      </c>
      <c r="G12" t="inlineStr">
        <is>
          <t>Falmouth_OCE_October2024_RevA.pdf</t>
        </is>
      </c>
      <c r="H12">
        <v>5</v>
      </c>
    </row>
    <row r="13">
      <c r="B13" t="inlineStr">
        <is>
          <t>Valley and Parapet Gutters</t>
        </is>
      </c>
      <c r="C13">
        <v>16700</v>
      </c>
      <c r="D13">
        <v>0.0117</v>
      </c>
      <c r="E13">
        <f>C13</f>
      </c>
      <c r="F13" t="inlineStr">
        <is>
          <t>Elemental cost</t>
        </is>
      </c>
      <c r="G13" t="inlineStr">
        <is>
          <t>Falmouth_OCE_October2024_RevA.pdf</t>
        </is>
      </c>
      <c r="H13">
        <v>5</v>
      </c>
    </row>
    <row r="14">
      <c r="B14" t="inlineStr">
        <is>
          <t>Parapet Walls</t>
        </is>
      </c>
      <c r="C14">
        <v>13800</v>
      </c>
      <c r="D14">
        <v>0.0096</v>
      </c>
      <c r="E14">
        <f>C14</f>
      </c>
      <c r="F14" t="inlineStr">
        <is>
          <t>Elemental cost</t>
        </is>
      </c>
      <c r="G14" t="inlineStr">
        <is>
          <t>Falmouth_OCE_October2024_RevA.pdf</t>
        </is>
      </c>
      <c r="H14">
        <v>5</v>
      </c>
    </row>
    <row r="15">
      <c r="B15" t="inlineStr">
        <is>
          <t>Rainwater Goods</t>
        </is>
      </c>
      <c r="C15">
        <v>47950</v>
      </c>
      <c r="D15">
        <v>0.0335</v>
      </c>
      <c r="E15">
        <f>C15</f>
      </c>
      <c r="F15" t="inlineStr">
        <is>
          <t>Elemental cost</t>
        </is>
      </c>
      <c r="G15" t="inlineStr">
        <is>
          <t>Falmouth_OCE_October2024_RevA.pdf</t>
        </is>
      </c>
      <c r="H15">
        <v>5</v>
      </c>
    </row>
    <row r="16">
      <c r="B16" t="inlineStr">
        <is>
          <t>Masonry</t>
        </is>
      </c>
      <c r="C16">
        <v>110725</v>
      </c>
      <c r="D16">
        <v>0.0774</v>
      </c>
      <c r="E16">
        <f>C16</f>
      </c>
      <c r="F16" t="inlineStr">
        <is>
          <t>Elemental cost</t>
        </is>
      </c>
      <c r="G16" t="inlineStr">
        <is>
          <t>Falmouth_OCE_October2024_RevA.pdf</t>
        </is>
      </c>
      <c r="H16">
        <v>5</v>
      </c>
    </row>
    <row r="17">
      <c r="B17" t="inlineStr">
        <is>
          <t>Rendered Masonry</t>
        </is>
      </c>
      <c r="C17">
        <v>7200</v>
      </c>
      <c r="D17">
        <v>0.005</v>
      </c>
      <c r="E17">
        <f>C17</f>
      </c>
      <c r="F17" t="inlineStr">
        <is>
          <t>Elemental cost</t>
        </is>
      </c>
      <c r="G17" t="inlineStr">
        <is>
          <t>Falmouth_OCE_October2024_RevA.pdf</t>
        </is>
      </c>
      <c r="H17">
        <v>5</v>
      </c>
    </row>
    <row r="18">
      <c r="B18" t="inlineStr">
        <is>
          <t>Windows</t>
        </is>
      </c>
      <c r="C18">
        <v>89450</v>
      </c>
      <c r="D18">
        <v>0.0625</v>
      </c>
      <c r="E18">
        <f>C18</f>
      </c>
      <c r="F18" t="inlineStr">
        <is>
          <t>Elemental cost</t>
        </is>
      </c>
      <c r="G18" t="inlineStr">
        <is>
          <t>Falmouth_OCE_October2024_RevA.pdf</t>
        </is>
      </c>
      <c r="H18">
        <v>5</v>
      </c>
    </row>
    <row r="19">
      <c r="B19" t="inlineStr">
        <is>
          <t>Rooflights</t>
        </is>
      </c>
      <c r="C19">
        <v>16100</v>
      </c>
      <c r="D19">
        <v>0.0113</v>
      </c>
      <c r="E19">
        <f>C19</f>
      </c>
      <c r="F19" t="inlineStr">
        <is>
          <t>Elemental cost</t>
        </is>
      </c>
      <c r="G19" t="inlineStr">
        <is>
          <t>Falmouth_OCE_October2024_RevA.pdf</t>
        </is>
      </c>
      <c r="H19">
        <v>5</v>
      </c>
    </row>
    <row r="20">
      <c r="B20" t="inlineStr">
        <is>
          <t>Lantern Light and Skylight</t>
        </is>
      </c>
      <c r="C20">
        <v>46950</v>
      </c>
      <c r="D20">
        <v>0.0328</v>
      </c>
      <c r="E20">
        <f>C20</f>
      </c>
      <c r="F20" t="inlineStr">
        <is>
          <t>Elemental cost</t>
        </is>
      </c>
      <c r="G20" t="inlineStr">
        <is>
          <t>Falmouth_OCE_October2024_RevA.pdf</t>
        </is>
      </c>
      <c r="H20">
        <v>5</v>
      </c>
    </row>
    <row r="21">
      <c r="B21" t="inlineStr">
        <is>
          <t>Doors</t>
        </is>
      </c>
      <c r="C21">
        <v>15000</v>
      </c>
      <c r="D21">
        <v>0.0105</v>
      </c>
      <c r="E21">
        <f>C21</f>
      </c>
      <c r="F21" t="inlineStr">
        <is>
          <t>Elemental cost</t>
        </is>
      </c>
      <c r="G21" t="inlineStr">
        <is>
          <t>Falmouth_OCE_October2024_RevA.pdf</t>
        </is>
      </c>
      <c r="H21">
        <v>5</v>
      </c>
    </row>
    <row r="22">
      <c r="B22" t="inlineStr">
        <is>
          <t>Walls</t>
        </is>
      </c>
      <c r="C22">
        <v>18200</v>
      </c>
      <c r="D22">
        <v>0.0127</v>
      </c>
      <c r="E22">
        <f>C22</f>
      </c>
      <c r="F22" t="inlineStr">
        <is>
          <t>Elemental cost</t>
        </is>
      </c>
      <c r="G22" t="inlineStr">
        <is>
          <t>Falmouth_OCE_October2024_RevA.pdf</t>
        </is>
      </c>
      <c r="H22">
        <v>5</v>
      </c>
    </row>
    <row r="23">
      <c r="B23" t="inlineStr">
        <is>
          <t>Mechanical and Electrical Services</t>
        </is>
      </c>
      <c r="C23">
        <v>619250</v>
      </c>
      <c r="D23">
        <v>0.433</v>
      </c>
      <c r="E23">
        <f>C23-'View 3'!C19+'View 6'!D9</f>
      </c>
      <c r="F23" t="inlineStr">
        <is>
          <t>Elemental cost</t>
        </is>
      </c>
      <c r="G23" t="inlineStr">
        <is>
          <t>Falmouth_OCE_October2024_RevA.pdf</t>
        </is>
      </c>
      <c r="H23">
        <v>5</v>
      </c>
    </row>
  </sheetData>
</worksheet>
</file>

<file path=xl/worksheets/new6sheet9.xml><?xml version="1.0" encoding="utf-8"?>
<worksheet xmlns="http://schemas.openxmlformats.org/spreadsheetml/2006/main">
  <sheetData>
    <row r="5">
      <c r="B5" t="inlineStr">
        <is>
          <t>Falmouth Municipal Building - Cost estimate Revision A</t>
        </is>
      </c>
    </row>
    <row r="6">
      <c r="B6" t="inlineStr">
        <is>
          <t>October 2024 | GBP | Job 3959 | Falmouth Town Council</t>
        </is>
      </c>
    </row>
    <row r="7">
      <c r="B7" t="inlineStr">
        <is>
          <t>Basis of estimate, PDF page 4. These amounts are already within elemental costs.</t>
        </is>
      </c>
    </row>
    <row r="8">
      <c r="B8" t="inlineStr">
        <is>
          <t>Item</t>
        </is>
      </c>
      <c r="C8" t="inlineStr">
        <is>
          <t>Printed amount</t>
        </is>
      </c>
      <c r="D8" t="inlineStr">
        <is>
          <t>Scope</t>
        </is>
      </c>
      <c r="E8" t="inlineStr">
        <is>
          <t>Source</t>
        </is>
      </c>
      <c r="F8" t="inlineStr">
        <is>
          <t>Page</t>
        </is>
      </c>
    </row>
    <row r="9">
      <c r="B9" t="inlineStr">
        <is>
          <t>Structural appraisal of existing timbers</t>
        </is>
      </c>
      <c r="C9">
        <v>2000</v>
      </c>
      <c r="D9" t="inlineStr">
        <is>
          <t>Included within elemental costs; memorandum only</t>
        </is>
      </c>
      <c r="E9" t="inlineStr">
        <is>
          <t>Falmouth_OCE_October2024_RevA.pdf</t>
        </is>
      </c>
      <c r="F9">
        <v>4</v>
      </c>
    </row>
    <row r="10">
      <c r="B10" t="inlineStr">
        <is>
          <t>Improve ventilation to opening vents on central lantern</t>
        </is>
      </c>
      <c r="C10">
        <v>1000</v>
      </c>
      <c r="D10" t="inlineStr">
        <is>
          <t>Included within elemental costs; memorandum only</t>
        </is>
      </c>
      <c r="E10" t="inlineStr">
        <is>
          <t>Falmouth_OCE_October2024_RevA.pdf</t>
        </is>
      </c>
      <c r="F10">
        <v>4</v>
      </c>
    </row>
    <row r="11">
      <c r="B11" t="inlineStr">
        <is>
          <t>General repairs to central lantern</t>
        </is>
      </c>
      <c r="C11">
        <v>2000</v>
      </c>
      <c r="D11" t="inlineStr">
        <is>
          <t>Included within elemental costs; memorandum only</t>
        </is>
      </c>
      <c r="E11" t="inlineStr">
        <is>
          <t>Falmouth_OCE_October2024_RevA.pdf</t>
        </is>
      </c>
      <c r="F11">
        <v>4</v>
      </c>
    </row>
    <row r="12">
      <c r="B12" t="inlineStr">
        <is>
          <t>Venturi System</t>
        </is>
      </c>
      <c r="C12">
        <v>10000</v>
      </c>
      <c r="D12" t="inlineStr">
        <is>
          <t>Included within elemental costs; memorandum only</t>
        </is>
      </c>
      <c r="E12" t="inlineStr">
        <is>
          <t>Falmouth_OCE_October2024_RevA.pdf</t>
        </is>
      </c>
      <c r="F12">
        <v>4</v>
      </c>
    </row>
    <row r="13">
      <c r="B13" t="inlineStr">
        <is>
          <t>Bird deterrent measures</t>
        </is>
      </c>
      <c r="C13">
        <v>25000</v>
      </c>
      <c r="D13" t="inlineStr">
        <is>
          <t>Included within elemental costs; memorandum only</t>
        </is>
      </c>
      <c r="E13" t="inlineStr">
        <is>
          <t>Falmouth_OCE_October2024_RevA.pdf</t>
        </is>
      </c>
      <c r="F13">
        <v>4</v>
      </c>
    </row>
    <row r="14">
      <c r="B14" t="inlineStr">
        <is>
          <t>Repairs to external cills</t>
        </is>
      </c>
      <c r="C14">
        <v>1500</v>
      </c>
      <c r="D14" t="inlineStr">
        <is>
          <t>Included within elemental costs; memorandum only</t>
        </is>
      </c>
      <c r="E14" t="inlineStr">
        <is>
          <t>Falmouth_OCE_October2024_RevA.pdf</t>
        </is>
      </c>
      <c r="F14">
        <v>4</v>
      </c>
    </row>
    <row r="15">
      <c r="B15" t="inlineStr">
        <is>
          <t>External doors (pair of) - 3nr</t>
        </is>
      </c>
      <c r="C15">
        <v>15000</v>
      </c>
      <c r="D15" t="inlineStr">
        <is>
          <t>Included within elemental costs; memorandum only</t>
        </is>
      </c>
      <c r="E15" t="inlineStr">
        <is>
          <t>Falmouth_OCE_October2024_RevA.pdf</t>
        </is>
      </c>
      <c r="F15">
        <v>4</v>
      </c>
    </row>
    <row r="16">
      <c r="B16" t="inlineStr">
        <is>
          <t>External area for heating plant</t>
        </is>
      </c>
      <c r="C16">
        <v>2500</v>
      </c>
      <c r="D16" t="inlineStr">
        <is>
          <t>Included within elemental costs; memorandum only</t>
        </is>
      </c>
      <c r="E16" t="inlineStr">
        <is>
          <t>Falmouth_OCE_October2024_RevA.pdf</t>
        </is>
      </c>
      <c r="F16">
        <v>4</v>
      </c>
    </row>
    <row r="17">
      <c r="B17" t="inlineStr">
        <is>
          <t>Electrical Power and Lighting</t>
        </is>
      </c>
      <c r="C17">
        <v>85750</v>
      </c>
      <c r="D17" t="inlineStr">
        <is>
          <t>Included within elemental costs; memorandum only</t>
        </is>
      </c>
      <c r="E17" t="inlineStr">
        <is>
          <t>Falmouth_OCE_October2024_RevA.pdf</t>
        </is>
      </c>
      <c r="F17">
        <v>4</v>
      </c>
    </row>
    <row r="18">
      <c r="B18" t="inlineStr">
        <is>
          <t>Water Services</t>
        </is>
      </c>
      <c r="C18">
        <v>43500</v>
      </c>
      <c r="D18" t="inlineStr">
        <is>
          <t>Included within elemental costs; memorandum only</t>
        </is>
      </c>
      <c r="E18" t="inlineStr">
        <is>
          <t>Falmouth_OCE_October2024_RevA.pdf</t>
        </is>
      </c>
      <c r="F18">
        <v>4</v>
      </c>
    </row>
    <row r="19">
      <c r="B19" t="inlineStr">
        <is>
          <t>Heating</t>
        </is>
      </c>
      <c r="C19">
        <v>432000</v>
      </c>
      <c r="D19" t="inlineStr">
        <is>
          <t>Included within elemental costs; memorandum only</t>
        </is>
      </c>
      <c r="E19" t="inlineStr">
        <is>
          <t>Falmouth_OCE_October2024_RevA.pdf</t>
        </is>
      </c>
      <c r="F19">
        <v>4</v>
      </c>
    </row>
    <row r="20">
      <c r="B20" t="inlineStr">
        <is>
          <t>Ventilation</t>
        </is>
      </c>
      <c r="C20">
        <v>55000</v>
      </c>
      <c r="D20" t="inlineStr">
        <is>
          <t>Included within elemental costs; memorandum only</t>
        </is>
      </c>
      <c r="E20" t="inlineStr">
        <is>
          <t>Falmouth_OCE_October2024_RevA.pdf</t>
        </is>
      </c>
      <c r="F20">
        <v>4</v>
      </c>
    </row>
    <row r="21">
      <c r="B21" t="inlineStr">
        <is>
          <t>Scaffolding (enclosed)</t>
        </is>
      </c>
      <c r="C21">
        <v>160000</v>
      </c>
      <c r="D21" t="inlineStr">
        <is>
          <t>Included within elemental costs; memorandum only</t>
        </is>
      </c>
      <c r="E21" t="inlineStr">
        <is>
          <t>Falmouth_OCE_October2024_RevA.pdf</t>
        </is>
      </c>
      <c r="F21">
        <v>4</v>
      </c>
    </row>
  </sheetData>
</worksheet>
</file>

<file path=xl/worksheets/new6sheet10.xml><?xml version="1.0" encoding="utf-8"?>
<worksheet xmlns="http://schemas.openxmlformats.org/spreadsheetml/2006/main">
  <sheetData>
    <row r="5">
      <c r="B5" t="inlineStr">
        <is>
          <t>Falmouth Municipal Building - Cost estimate Revision A</t>
        </is>
      </c>
    </row>
    <row r="6">
      <c r="B6" t="inlineStr">
        <is>
          <t>October 2024 | GBP | Job 3959 | Falmouth Town Council</t>
        </is>
      </c>
    </row>
    <row r="7">
      <c r="B7" t="inlineStr">
        <is>
          <t>Explicit exclusions, PDF pages 3 and 4. No zero-priced offers are implied.</t>
        </is>
      </c>
    </row>
    <row r="8">
      <c r="B8" t="inlineStr">
        <is>
          <t>Item</t>
        </is>
      </c>
      <c r="C8" t="inlineStr">
        <is>
          <t>Printed amount</t>
        </is>
      </c>
      <c r="D8" t="inlineStr">
        <is>
          <t>Scope</t>
        </is>
      </c>
      <c r="E8" t="inlineStr">
        <is>
          <t>Source</t>
        </is>
      </c>
      <c r="F8" t="inlineStr">
        <is>
          <t>Page</t>
        </is>
      </c>
    </row>
    <row r="9">
      <c r="B9" t="inlineStr">
        <is>
          <t>Objets d'art &amp; all other art/decorative installations</t>
        </is>
      </c>
      <c r="C9" t="inlineStr">
        <is>
          <t>Excluded</t>
        </is>
      </c>
      <c r="D9" t="inlineStr">
        <is>
          <t>Excluded</t>
        </is>
      </c>
      <c r="E9" t="inlineStr">
        <is>
          <t>Falmouth_OCE_October2024_RevA.pdf</t>
        </is>
      </c>
      <c r="F9">
        <v>3</v>
      </c>
    </row>
    <row r="10">
      <c r="B10" t="inlineStr">
        <is>
          <t>Additional fit out items including specialist joinery</t>
        </is>
      </c>
      <c r="C10" t="inlineStr">
        <is>
          <t>Excluded</t>
        </is>
      </c>
      <c r="D10" t="inlineStr">
        <is>
          <t>Excluded</t>
        </is>
      </c>
      <c r="E10" t="inlineStr">
        <is>
          <t>Falmouth_OCE_October2024_RevA.pdf</t>
        </is>
      </c>
      <c r="F10">
        <v>3</v>
      </c>
    </row>
    <row r="11">
      <c r="B11" t="inlineStr">
        <is>
          <t>CCTV, smart systems</t>
        </is>
      </c>
      <c r="C11" t="inlineStr">
        <is>
          <t>Excluded</t>
        </is>
      </c>
      <c r="D11" t="inlineStr">
        <is>
          <t>Excluded</t>
        </is>
      </c>
      <c r="E11" t="inlineStr">
        <is>
          <t>Falmouth_OCE_October2024_RevA.pdf</t>
        </is>
      </c>
      <c r="F11">
        <v>3</v>
      </c>
    </row>
    <row r="12">
      <c r="B12" t="inlineStr">
        <is>
          <t>Specialist lighting installations and light fittings above standard</t>
        </is>
      </c>
      <c r="C12" t="inlineStr">
        <is>
          <t>Excluded</t>
        </is>
      </c>
      <c r="D12" t="inlineStr">
        <is>
          <t>Excluded</t>
        </is>
      </c>
      <c r="E12" t="inlineStr">
        <is>
          <t>Falmouth_OCE_October2024_RevA.pdf</t>
        </is>
      </c>
      <c r="F12">
        <v>3</v>
      </c>
    </row>
    <row r="13">
      <c r="B13" t="inlineStr">
        <is>
          <t>Soil investigation/contamination reports and resulting requirements</t>
        </is>
      </c>
      <c r="C13" t="inlineStr">
        <is>
          <t>Excluded</t>
        </is>
      </c>
      <c r="D13" t="inlineStr">
        <is>
          <t>Excluded</t>
        </is>
      </c>
      <c r="E13" t="inlineStr">
        <is>
          <t>Falmouth_OCE_October2024_RevA.pdf</t>
        </is>
      </c>
      <c r="F13">
        <v>3</v>
      </c>
    </row>
    <row r="14">
      <c r="B14" t="inlineStr">
        <is>
          <t>De-canting of building/rooms and re-install</t>
        </is>
      </c>
      <c r="C14" t="inlineStr">
        <is>
          <t>Excluded</t>
        </is>
      </c>
      <c r="D14" t="inlineStr">
        <is>
          <t>Excluded</t>
        </is>
      </c>
      <c r="E14" t="inlineStr">
        <is>
          <t>Falmouth_OCE_October2024_RevA.pdf</t>
        </is>
      </c>
      <c r="F14">
        <v>3</v>
      </c>
    </row>
    <row r="15">
      <c r="B15" t="inlineStr">
        <is>
          <t>M &amp; E consultants or structural engineer design/specification/reports</t>
        </is>
      </c>
      <c r="C15" t="inlineStr">
        <is>
          <t>Excluded</t>
        </is>
      </c>
      <c r="D15" t="inlineStr">
        <is>
          <t>Excluded</t>
        </is>
      </c>
      <c r="E15" t="inlineStr">
        <is>
          <t>Falmouth_OCE_October2024_RevA.pdf</t>
        </is>
      </c>
      <c r="F15">
        <v>3</v>
      </c>
    </row>
    <row r="16">
      <c r="B16" t="inlineStr">
        <is>
          <t>Works/costs with onerous planning conditions particularly material specification</t>
        </is>
      </c>
      <c r="C16" t="inlineStr">
        <is>
          <t>Excluded</t>
        </is>
      </c>
      <c r="D16" t="inlineStr">
        <is>
          <t>Excluded</t>
        </is>
      </c>
      <c r="E16" t="inlineStr">
        <is>
          <t>Falmouth_OCE_October2024_RevA.pdf</t>
        </is>
      </c>
      <c r="F16">
        <v>3</v>
      </c>
    </row>
    <row r="17">
      <c r="B17" t="inlineStr">
        <is>
          <t>Professional Fees: Architect, Structural Engineer, Quantity Surveyor</t>
        </is>
      </c>
      <c r="C17" t="inlineStr">
        <is>
          <t>Excluded</t>
        </is>
      </c>
      <c r="D17" t="inlineStr">
        <is>
          <t>Excluded</t>
        </is>
      </c>
      <c r="E17" t="inlineStr">
        <is>
          <t>Falmouth_OCE_October2024_RevA.pdf</t>
        </is>
      </c>
      <c r="F17">
        <v>3</v>
      </c>
    </row>
    <row r="18">
      <c r="B18" t="inlineStr">
        <is>
          <t>Ecologist fees</t>
        </is>
      </c>
      <c r="C18" t="inlineStr">
        <is>
          <t>Excluded</t>
        </is>
      </c>
      <c r="D18" t="inlineStr">
        <is>
          <t>Excluded</t>
        </is>
      </c>
      <c r="E18" t="inlineStr">
        <is>
          <t>Falmouth_OCE_October2024_RevA.pdf</t>
        </is>
      </c>
      <c r="F18">
        <v>3</v>
      </c>
    </row>
    <row r="19">
      <c r="B19" t="inlineStr">
        <is>
          <t>CC Planning/Building Regulations Application/Inspection Fees</t>
        </is>
      </c>
      <c r="C19" t="inlineStr">
        <is>
          <t>Excluded</t>
        </is>
      </c>
      <c r="D19" t="inlineStr">
        <is>
          <t>Excluded</t>
        </is>
      </c>
      <c r="E19" t="inlineStr">
        <is>
          <t>Falmouth_OCE_October2024_RevA.pdf</t>
        </is>
      </c>
      <c r="F19">
        <v>3</v>
      </c>
    </row>
    <row r="20">
      <c r="B20" t="inlineStr">
        <is>
          <t>Legal fees</t>
        </is>
      </c>
      <c r="C20" t="inlineStr">
        <is>
          <t>Excluded</t>
        </is>
      </c>
      <c r="D20" t="inlineStr">
        <is>
          <t>Excluded</t>
        </is>
      </c>
      <c r="E20" t="inlineStr">
        <is>
          <t>Falmouth_OCE_October2024_RevA.pdf</t>
        </is>
      </c>
      <c r="F20">
        <v>3</v>
      </c>
    </row>
    <row r="21">
      <c r="B21" t="inlineStr">
        <is>
          <t>Interest and other financing costs</t>
        </is>
      </c>
      <c r="C21" t="inlineStr">
        <is>
          <t>Excluded</t>
        </is>
      </c>
      <c r="D21" t="inlineStr">
        <is>
          <t>Excluded</t>
        </is>
      </c>
      <c r="E21" t="inlineStr">
        <is>
          <t>Falmouth_OCE_October2024_RevA.pdf</t>
        </is>
      </c>
      <c r="F21">
        <v>3</v>
      </c>
    </row>
    <row r="22">
      <c r="B22" t="inlineStr">
        <is>
          <t>Increased foreign trade tariff costs surrounding UK withdrawal from EU</t>
        </is>
      </c>
      <c r="C22" t="inlineStr">
        <is>
          <t>Excluded</t>
        </is>
      </c>
      <c r="D22" t="inlineStr">
        <is>
          <t>Excluded</t>
        </is>
      </c>
      <c r="E22" t="inlineStr">
        <is>
          <t>Falmouth_OCE_October2024_RevA.pdf</t>
        </is>
      </c>
      <c r="F22">
        <v>3</v>
      </c>
    </row>
    <row r="23">
      <c r="B23" t="inlineStr">
        <is>
          <t>Increased costs from conflict in Ukraine and Middle East</t>
        </is>
      </c>
      <c r="C23" t="inlineStr">
        <is>
          <t>Excluded</t>
        </is>
      </c>
      <c r="D23" t="inlineStr">
        <is>
          <t>Excluded</t>
        </is>
      </c>
      <c r="E23" t="inlineStr">
        <is>
          <t>Falmouth_OCE_October2024_RevA.pdf</t>
        </is>
      </c>
      <c r="F23">
        <v>3</v>
      </c>
    </row>
    <row r="24">
      <c r="B24" t="inlineStr">
        <is>
          <t>Value Added Tax where applicable</t>
        </is>
      </c>
      <c r="C24" t="inlineStr">
        <is>
          <t>Excluded</t>
        </is>
      </c>
      <c r="D24" t="inlineStr">
        <is>
          <t>Excluded</t>
        </is>
      </c>
      <c r="E24" t="inlineStr">
        <is>
          <t>Falmouth_OCE_October2024_RevA.pdf</t>
        </is>
      </c>
      <c r="F24">
        <v>3</v>
      </c>
    </row>
    <row r="25">
      <c r="B25" t="inlineStr">
        <is>
          <t>Dry rot treatment</t>
        </is>
      </c>
      <c r="C25" t="inlineStr">
        <is>
          <t>Excluded</t>
        </is>
      </c>
      <c r="D25" t="inlineStr">
        <is>
          <t>Excluded</t>
        </is>
      </c>
      <c r="E25" t="inlineStr">
        <is>
          <t>Falmouth_OCE_October2024_RevA.pdf</t>
        </is>
      </c>
      <c r="F25">
        <v>3</v>
      </c>
    </row>
    <row r="26">
      <c r="B26" t="inlineStr">
        <is>
          <t>Asbestos removal</t>
        </is>
      </c>
      <c r="C26" t="inlineStr">
        <is>
          <t>Excluded</t>
        </is>
      </c>
      <c r="D26" t="inlineStr">
        <is>
          <t>Excluded</t>
        </is>
      </c>
      <c r="E26" t="inlineStr">
        <is>
          <t>Falmouth_OCE_October2024_RevA.pdf</t>
        </is>
      </c>
      <c r="F26">
        <v>3</v>
      </c>
    </row>
    <row r="27">
      <c r="B27" t="inlineStr">
        <is>
          <t>Above ground drainage</t>
        </is>
      </c>
      <c r="C27" t="inlineStr">
        <is>
          <t>Excluded</t>
        </is>
      </c>
      <c r="D27" t="inlineStr">
        <is>
          <t>Excluded</t>
        </is>
      </c>
      <c r="E27" t="inlineStr">
        <is>
          <t>Falmouth_OCE_October2024_RevA.pdf</t>
        </is>
      </c>
      <c r="F27">
        <v>4</v>
      </c>
    </row>
    <row r="28">
      <c r="B28" t="inlineStr">
        <is>
          <t>Fire Safety</t>
        </is>
      </c>
      <c r="C28" t="inlineStr">
        <is>
          <t>Excluded</t>
        </is>
      </c>
      <c r="D28" t="inlineStr">
        <is>
          <t>Excluded</t>
        </is>
      </c>
      <c r="E28" t="inlineStr">
        <is>
          <t>Falmouth_OCE_October2024_RevA.pdf</t>
        </is>
      </c>
      <c r="F28">
        <v>4</v>
      </c>
    </row>
    <row r="29">
      <c r="B29" t="inlineStr">
        <is>
          <t>Security/Access Control</t>
        </is>
      </c>
      <c r="C29" t="inlineStr">
        <is>
          <t>Excluded</t>
        </is>
      </c>
      <c r="D29" t="inlineStr">
        <is>
          <t>Excluded</t>
        </is>
      </c>
      <c r="E29" t="inlineStr">
        <is>
          <t>Falmouth_OCE_October2024_RevA.pdf</t>
        </is>
      </c>
      <c r="F29">
        <v>4</v>
      </c>
    </row>
    <row r="30">
      <c r="B30" t="inlineStr">
        <is>
          <t>AWC Call Alarms</t>
        </is>
      </c>
      <c r="C30" t="inlineStr">
        <is>
          <t>Excluded</t>
        </is>
      </c>
      <c r="D30" t="inlineStr">
        <is>
          <t>Excluded</t>
        </is>
      </c>
      <c r="E30" t="inlineStr">
        <is>
          <t>Falmouth_OCE_October2024_RevA.pdf</t>
        </is>
      </c>
      <c r="F30">
        <v>4</v>
      </c>
    </row>
    <row r="31">
      <c r="B31" t="inlineStr">
        <is>
          <t>Lightning Protection</t>
        </is>
      </c>
      <c r="C31" t="inlineStr">
        <is>
          <t>Excluded</t>
        </is>
      </c>
      <c r="D31" t="inlineStr">
        <is>
          <t>Excluded</t>
        </is>
      </c>
      <c r="E31" t="inlineStr">
        <is>
          <t>Falmouth_OCE_October2024_RevA.pdf</t>
        </is>
      </c>
      <c r="F31">
        <v>4</v>
      </c>
    </row>
    <row r="32">
      <c r="B32" t="inlineStr">
        <is>
          <t>Lift Works</t>
        </is>
      </c>
      <c r="C32" t="inlineStr">
        <is>
          <t>Excluded</t>
        </is>
      </c>
      <c r="D32" t="inlineStr">
        <is>
          <t>Excluded</t>
        </is>
      </c>
      <c r="E32" t="inlineStr">
        <is>
          <t>Falmouth_OCE_October2024_RevA.pdf</t>
        </is>
      </c>
      <c r="F32">
        <v>4</v>
      </c>
    </row>
  </sheetData>
</worksheet>
</file>

<file path=xl/worksheets/new6sheet11.xml><?xml version="1.0" encoding="utf-8"?>
<worksheet xmlns="http://schemas.openxmlformats.org/spreadsheetml/2006/main">
  <sheetData>
    <row r="5">
      <c r="B5" t="inlineStr">
        <is>
          <t>Falmouth Municipal Building - Cost estimate Revision A</t>
        </is>
      </c>
    </row>
    <row r="6">
      <c r="B6" t="inlineStr">
        <is>
          <t>October 2024 | GBP | Job 3959 | Falmouth Town Council</t>
        </is>
      </c>
    </row>
    <row r="7">
      <c r="B7" t="inlineStr">
        <is>
          <t>Notes and qualifications, PDF page 3.</t>
        </is>
      </c>
    </row>
    <row r="8">
      <c r="B8" t="inlineStr">
        <is>
          <t>Item</t>
        </is>
      </c>
      <c r="C8" t="inlineStr">
        <is>
          <t>Printed amount</t>
        </is>
      </c>
      <c r="D8" t="inlineStr">
        <is>
          <t>Scope</t>
        </is>
      </c>
      <c r="E8" t="inlineStr">
        <is>
          <t>Source</t>
        </is>
      </c>
      <c r="F8" t="inlineStr">
        <is>
          <t>Page</t>
        </is>
      </c>
    </row>
    <row r="9">
      <c r="B9" t="inlineStr">
        <is>
          <t>Guide to probable current cost</t>
        </is>
      </c>
      <c r="D9" t="inlineStr">
        <is>
          <t>Estimate is a guide only to probable current cost</t>
        </is>
      </c>
      <c r="E9" t="inlineStr">
        <is>
          <t>Falmouth_OCE_October2024_RevA.pdf</t>
        </is>
      </c>
      <c r="F9">
        <v>3</v>
      </c>
    </row>
    <row r="10">
      <c r="B10" t="inlineStr">
        <is>
          <t>Consultation with the Quantity Surveyor</t>
        </is>
      </c>
      <c r="D10" t="inlineStr">
        <is>
          <t>Study in consultation with the Quantity Surveyor</t>
        </is>
      </c>
      <c r="E10" t="inlineStr">
        <is>
          <t>Falmouth_OCE_October2024_RevA.pdf</t>
        </is>
      </c>
      <c r="F10">
        <v>3</v>
      </c>
    </row>
    <row r="11">
      <c r="B11" t="inlineStr">
        <is>
          <t>Pre-planning drawings</t>
        </is>
      </c>
      <c r="D11" t="inlineStr">
        <is>
          <t>Based on RTP pre-planning drawings; no input from another designer</t>
        </is>
      </c>
      <c r="E11" t="inlineStr">
        <is>
          <t>Falmouth_OCE_October2024_RevA.pdf</t>
        </is>
      </c>
      <c r="F11">
        <v>3</v>
      </c>
    </row>
    <row r="12">
      <c r="B12" t="inlineStr">
        <is>
          <t>Works as envisaged</t>
        </is>
      </c>
      <c r="D12" t="inlineStr">
        <is>
          <t>Works as envisaged in drawings and specifications in Basis of Estimate</t>
        </is>
      </c>
      <c r="E12" t="inlineStr">
        <is>
          <t>Falmouth_OCE_October2024_RevA.pdf</t>
        </is>
      </c>
      <c r="F12">
        <v>3</v>
      </c>
    </row>
    <row r="13">
      <c r="B13" t="inlineStr">
        <is>
          <t>Single phase contractor</t>
        </is>
      </c>
      <c r="D13" t="inlineStr">
        <is>
          <t>Single phase; local medium sized proficient contractor</t>
        </is>
      </c>
      <c r="E13" t="inlineStr">
        <is>
          <t>Falmouth_OCE_October2024_RevA.pdf</t>
        </is>
      </c>
      <c r="F13">
        <v>3</v>
      </c>
    </row>
    <row r="14">
      <c r="B14" t="inlineStr">
        <is>
          <t>Contract duration</t>
        </is>
      </c>
      <c r="D14" t="inlineStr">
        <is>
          <t>Contract duration not to exceed 45 weeks</t>
        </is>
      </c>
      <c r="E14" t="inlineStr">
        <is>
          <t>Falmouth_OCE_October2024_RevA.pdf</t>
        </is>
      </c>
      <c r="F14">
        <v>3</v>
      </c>
    </row>
    <row r="15">
      <c r="B15" t="inlineStr">
        <is>
          <t>Price basis and inflation period</t>
        </is>
      </c>
      <c r="D15" t="inlineStr">
        <is>
          <t>Rates at 4Q24 with inflation to 1Q25; BCIS indices not representative of Cornwall cost increases</t>
        </is>
      </c>
      <c r="E15" t="inlineStr">
        <is>
          <t>Falmouth_OCE_October2024_RevA.pdf</t>
        </is>
      </c>
      <c r="F15">
        <v>3</v>
      </c>
    </row>
  </sheetData>
</worksheet>
</file>

<file path=xl/worksheets/new6sheet12.xml><?xml version="1.0" encoding="utf-8"?>
<worksheet xmlns="http://schemas.openxmlformats.org/spreadsheetml/2006/main">
  <sheetData>
    <row r="5">
      <c r="B5" t="inlineStr">
        <is>
          <t>Falmouth Municipal Building - Cost estimate Revision A</t>
        </is>
      </c>
    </row>
    <row r="6">
      <c r="B6" t="inlineStr">
        <is>
          <t>October 2024 | GBP | Job 3959 | Falmouth Town Council</t>
        </is>
      </c>
    </row>
    <row r="7">
      <c r="B7" t="inlineStr">
        <is>
          <t>Project-authored review scenario. Prices share the estimate price date and exclude VAT and subsequent fee/allowance additions.</t>
        </is>
      </c>
    </row>
    <row r="8">
      <c r="B8" t="inlineStr">
        <is>
          <t>Item</t>
        </is>
      </c>
      <c r="C8" t="inlineStr">
        <is>
          <t>Printed amount</t>
        </is>
      </c>
      <c r="D8" t="inlineStr">
        <is>
          <t>Working amount</t>
        </is>
      </c>
      <c r="E8" t="inlineStr">
        <is>
          <t>Scope</t>
        </is>
      </c>
      <c r="F8" t="inlineStr">
        <is>
          <t>Source</t>
        </is>
      </c>
    </row>
    <row r="9">
      <c r="B9" t="inlineStr">
        <is>
          <t>Current heating / ASHP quotation</t>
        </is>
      </c>
      <c r="D9">
        <v>458000</v>
      </c>
      <c r="E9" t="inlineStr">
        <is>
          <t>Current same-scope replacement of the included original heating allowance; ventilation and all other works unchanged.</t>
        </is>
      </c>
      <c r="F9" t="inlineStr">
        <is>
          <t>review_correspondence.md</t>
        </is>
      </c>
    </row>
    <row r="10">
      <c r="B10" t="inlineStr">
        <is>
          <t>Earlier heating / ASHP quotation</t>
        </is>
      </c>
      <c r="C10">
        <v>472000</v>
      </c>
      <c r="E10" t="inlineStr">
        <is>
          <t>Superseded by the current quotation; not an additional charge.</t>
        </is>
      </c>
      <c r="F10" t="inlineStr">
        <is>
          <t>review_correspondence.md</t>
        </is>
      </c>
    </row>
    <row r="11">
      <c r="B11" t="inlineStr">
        <is>
          <t>Asbestos removal option</t>
        </is>
      </c>
      <c r="D11">
        <v>18000</v>
      </c>
      <c r="E11" t="inlineStr">
        <is>
          <t>Not approved; excluded from current cost limit. Option price is shown separately.</t>
        </is>
      </c>
      <c r="F11" t="inlineStr">
        <is>
          <t>review_correspondence.md</t>
        </is>
      </c>
    </row>
  </sheetData>
</worksheet>
</file>

<file path=xl/worksheets/sheet1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/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>
      <x:c r="A5" s="1"/>
      <x:c r="B5" s="5"/>
      <x:c r="C5" s="6"/>
      <x:c r="D5" s="6"/>
      <x:c r="E5" s="5"/>
      <x:c r="F5" s="8"/>
      <x:c r="G5" s="1"/>
      <x:c r="H5" s="1"/>
      <x:c r="I5" s="1" t="str"/>
    </x:row>
    <x:row r="6">
      <x:c r="A6" s="1"/>
      <x:c r="B6" s="5"/>
      <x:c r="C6" s="6"/>
      <x:c r="D6" s="6"/>
      <x:c r="E6" s="5"/>
      <x:c r="F6" s="8"/>
      <x:c r="G6" s="1"/>
      <x:c r="H6" s="1"/>
      <x:c r="I6" s="1" t="str"/>
    </x:row>
    <x:row r="7">
      <x:c r="A7" s="1"/>
      <x:c r="B7" s="5"/>
      <x:c r="C7" s="6"/>
      <x:c r="D7" s="9"/>
      <x:c r="E7" s="5"/>
      <x:c r="F7" s="8"/>
      <x:c r="G7" s="1"/>
      <x:c r="H7" s="1"/>
      <x:c r="I7" s="1" t="str"/>
    </x:row>
    <x:row r="8">
      <x:c r="A8" s="1"/>
      <x:c r="B8" s="5"/>
      <x:c r="C8" s="6"/>
      <x:c r="D8" s="6"/>
      <x:c r="E8" s="5"/>
      <x:c r="F8" s="8"/>
      <x:c r="G8" s="1"/>
      <x:c r="H8" s="1"/>
      <x:c r="I8" s="1" t="str"/>
    </x:row>
    <x:row r="9">
      <x:c r="A9" s="1"/>
      <x:c r="B9" s="5"/>
      <x:c r="C9" s="6"/>
      <x:c r="D9" s="6"/>
      <x:c r="E9" s="5"/>
      <x:c r="F9" s="8"/>
      <x:c r="G9" s="1"/>
      <x:c r="H9" s="1"/>
      <x:c r="I9" s="1"/>
    </x:row>
    <x:row r="10">
      <x:c r="A10" s="1"/>
      <x:c r="B10" s="5"/>
      <x:c r="C10" s="6"/>
      <x:c r="D10" s="6"/>
      <x:c r="E10" s="5"/>
      <x:c r="F10" s="8"/>
      <x:c r="G10" s="1"/>
      <x:c r="H10" s="1"/>
      <x:c r="I10" s="1" t="str"/>
    </x:row>
    <x:row r="11">
      <x:c r="A11" s="1"/>
      <x:c r="B11" s="5"/>
      <x:c r="C11" s="6"/>
      <x:c r="D11" s="9"/>
      <x:c r="E11" s="5"/>
      <x:c r="F11" s="8"/>
      <x:c r="G11" s="1"/>
      <x:c r="H11" s="1"/>
      <x:c r="I11" s="1" t="str"/>
    </x:row>
    <x:row r="12">
      <x:c r="A12" s="1"/>
      <x:c r="B12" s="5"/>
      <x:c r="C12" s="6"/>
      <x:c r="D12" s="6"/>
      <x:c r="E12" s="5"/>
      <x:c r="F12" s="8"/>
      <x:c r="G12" s="1"/>
      <x:c r="H12" s="1"/>
      <x:c r="I12" s="1"/>
    </x:row>
    <x:row r="13">
      <x:c r="A13" s="1"/>
      <x:c r="B13" s="5"/>
      <x:c r="C13" s="6"/>
      <x:c r="D13" s="6"/>
      <x:c r="E13" s="5"/>
      <x:c r="F13" s="8"/>
      <x:c r="G13" s="1"/>
      <x:c r="H13" s="1"/>
      <x:c r="I13" s="1"/>
    </x:row>
    <x:row r="14">
      <x:c r="A14" s="1"/>
      <x:c r="B14" s="5"/>
      <x:c r="C14" s="6"/>
      <x:c r="D14" s="6"/>
      <x:c r="E14" s="5"/>
      <x:c r="F14" s="8"/>
      <x:c r="G14" s="1"/>
      <x:c r="H14" s="1"/>
      <x:c r="I14" s="1" t="str"/>
    </x:row>
    <x:row r="15">
      <x:c r="A15" s="1"/>
      <x:c r="B15" s="5"/>
      <x:c r="C15" s="6"/>
      <x:c r="D15" s="9"/>
      <x:c r="E15" s="5"/>
      <x:c r="F15" s="8"/>
      <x:c r="G15" s="1"/>
      <x:c r="H15" s="1"/>
      <x:c r="I15" s="1" t="str"/>
    </x:row>
    <x:row r="16">
      <x:c r="A16" s="1"/>
      <x:c r="B16" s="5"/>
      <x:c r="C16" s="6"/>
      <x:c r="D16" s="6"/>
      <x:c r="E16" s="5"/>
      <x:c r="F16" s="8"/>
      <x:c r="G16" s="1"/>
      <x:c r="H16" s="1"/>
      <x:c r="I16" s="1" t="str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45" hidden="0" customWidth="1"/>
    <x:col min="6" max="6" width="45" hidden="0" customWidth="1"/>
    <x:col min="7" max="7" width="9" hidden="0" customWidth="1"/>
    <x:col min="8" max="8" width="9" hidden="0" customWidth="1"/>
    <x:col min="9" max="9" width="55" hidden="0" customWidth="1"/>
  </x:cols>
  <x:sheetData>
    <x:row r="1" ht="20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/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>
      <x:c r="A5" s="1"/>
      <x:c r="B5" s="5"/>
      <x:c r="C5" s="6"/>
      <x:c r="D5" s="7"/>
      <x:c r="E5" s="1"/>
      <x:c r="F5" s="1"/>
      <x:c r="G5" s="1"/>
      <x:c r="H5" s="1"/>
      <x:c r="I5" s="1"/>
    </x:row>
    <x:row r="6">
      <x:c r="A6" s="1"/>
      <x:c r="B6" s="5"/>
      <x:c r="C6" s="6"/>
      <x:c r="D6" s="7"/>
      <x:c r="E6" s="1"/>
      <x:c r="F6" s="1"/>
      <x:c r="G6" s="1"/>
      <x:c r="H6" s="1"/>
      <x:c r="I6" s="1"/>
    </x:row>
    <x:row r="7">
      <x:c r="A7" s="1"/>
      <x:c r="B7" s="5"/>
      <x:c r="C7" s="6"/>
      <x:c r="D7" s="7"/>
      <x:c r="E7" s="1"/>
      <x:c r="F7" s="1"/>
      <x:c r="G7" s="1"/>
      <x:c r="H7" s="1"/>
      <x:c r="I7" s="1"/>
    </x:row>
    <x:row r="8">
      <x:c r="A8" s="1"/>
      <x:c r="B8" s="5"/>
      <x:c r="C8" s="6"/>
      <x:c r="D8" s="7"/>
      <x:c r="E8" s="1"/>
      <x:c r="F8" s="1"/>
      <x:c r="G8" s="1"/>
      <x:c r="H8" s="1"/>
      <x:c r="I8" s="1"/>
    </x:row>
    <x:row r="9">
      <x:c r="A9" s="1"/>
      <x:c r="B9" s="5"/>
      <x:c r="C9" s="6"/>
      <x:c r="D9" s="7"/>
      <x:c r="E9" s="1"/>
      <x:c r="F9" s="1"/>
      <x:c r="G9" s="1"/>
      <x:c r="H9" s="1"/>
      <x:c r="I9" s="1"/>
    </x:row>
    <x:row r="10">
      <x:c r="A10" s="1"/>
      <x:c r="B10" s="5"/>
      <x:c r="C10" s="6"/>
      <x:c r="D10" s="7"/>
      <x:c r="E10" s="1"/>
      <x:c r="F10" s="1"/>
      <x:c r="G10" s="1"/>
      <x:c r="H10" s="1"/>
      <x:c r="I10" s="1"/>
    </x:row>
    <x:row r="11">
      <x:c r="A11" s="1"/>
      <x:c r="B11" s="5"/>
      <x:c r="C11" s="6"/>
      <x:c r="D11" s="7"/>
      <x:c r="E11" s="1"/>
      <x:c r="F11" s="1"/>
      <x:c r="G11" s="1"/>
      <x:c r="H11" s="1"/>
      <x:c r="I11" s="1"/>
    </x:row>
    <x:row r="12">
      <x:c r="A12" s="1"/>
      <x:c r="B12" s="5"/>
      <x:c r="C12" s="6"/>
      <x:c r="D12" s="7"/>
      <x:c r="E12" s="1"/>
      <x:c r="F12" s="1"/>
      <x:c r="G12" s="1"/>
      <x:c r="H12" s="1"/>
      <x:c r="I12" s="1"/>
    </x:row>
    <x:row r="13">
      <x:c r="A13" s="1"/>
      <x:c r="B13" s="5"/>
      <x:c r="C13" s="6"/>
      <x:c r="D13" s="7"/>
      <x:c r="E13" s="1"/>
      <x:c r="F13" s="1"/>
      <x:c r="G13" s="1"/>
      <x:c r="H13" s="1"/>
      <x:c r="I13" s="1"/>
    </x:row>
    <x:row r="14">
      <x:c r="A14" s="1"/>
      <x:c r="B14" s="5"/>
      <x:c r="C14" s="6"/>
      <x:c r="D14" s="7"/>
      <x:c r="E14" s="1"/>
      <x:c r="F14" s="1"/>
      <x:c r="G14" s="1"/>
      <x:c r="H14" s="1"/>
      <x:c r="I14" s="1"/>
    </x:row>
    <x:row r="15">
      <x:c r="A15" s="1"/>
      <x:c r="B15" s="5"/>
      <x:c r="C15" s="6"/>
      <x:c r="D15" s="7"/>
      <x:c r="E15" s="1"/>
      <x:c r="F15" s="1"/>
      <x:c r="G15" s="1"/>
      <x:c r="H15" s="1"/>
      <x:c r="I15" s="1"/>
    </x:row>
    <x:row r="16">
      <x:c r="A16" s="1"/>
      <x:c r="B16" s="5"/>
      <x:c r="C16" s="6"/>
      <x:c r="D16" s="7"/>
      <x:c r="E16" s="1"/>
      <x:c r="F16" s="1"/>
      <x:c r="G16" s="1"/>
      <x:c r="H16" s="1"/>
      <x:c r="I16" s="1"/>
    </x:row>
    <x:row r="17">
      <x:c r="A17" s="1"/>
      <x:c r="B17" s="5"/>
      <x:c r="C17" s="6"/>
      <x:c r="D17" s="7"/>
      <x:c r="E17" s="1"/>
      <x:c r="F17" s="1"/>
      <x:c r="G17" s="1"/>
      <x:c r="H17" s="1"/>
      <x:c r="I17" s="1"/>
    </x:row>
    <x:row r="18">
      <x:c r="A18" s="1"/>
      <x:c r="B18" s="5"/>
      <x:c r="C18" s="6"/>
      <x:c r="D18" s="7"/>
      <x:c r="E18" s="1"/>
      <x:c r="F18" s="1"/>
      <x:c r="G18" s="1"/>
      <x:c r="H18" s="1"/>
      <x:c r="I18" s="1"/>
    </x:row>
    <x:row r="19">
      <x:c r="A19" s="1"/>
      <x:c r="B19" s="5"/>
      <x:c r="C19" s="6"/>
      <x:c r="D19" s="7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/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 ht="32" customHeight="1">
      <x:c r="A5" s="10"/>
      <x:c r="B5" s="11"/>
      <x:c r="C5" s="10"/>
      <x:c r="D5" s="10"/>
      <x:c r="E5" s="10"/>
      <x:c r="F5" s="1"/>
      <x:c r="G5" s="1"/>
      <x:c r="H5" s="1"/>
      <x:c r="I5" s="1"/>
    </x:row>
    <x:row r="6" ht="32" customHeight="1">
      <x:c r="A6" s="10"/>
      <x:c r="B6" s="11"/>
      <x:c r="C6" s="10"/>
      <x:c r="D6" s="10"/>
      <x:c r="E6" s="10"/>
      <x:c r="F6" s="1"/>
      <x:c r="G6" s="1"/>
      <x:c r="H6" s="1"/>
      <x:c r="I6" s="1"/>
    </x:row>
    <x:row r="7" ht="32" customHeight="1">
      <x:c r="A7" s="10"/>
      <x:c r="B7" s="11"/>
      <x:c r="C7" s="10"/>
      <x:c r="D7" s="10"/>
      <x:c r="E7" s="10"/>
      <x:c r="F7" s="1"/>
      <x:c r="G7" s="1"/>
      <x:c r="H7" s="1"/>
      <x:c r="I7" s="1"/>
    </x:row>
    <x:row r="8" ht="32" customHeight="1">
      <x:c r="A8" s="10"/>
      <x:c r="B8" s="11"/>
      <x:c r="C8" s="10"/>
      <x:c r="D8" s="10"/>
      <x:c r="E8" s="10"/>
      <x:c r="F8" s="1"/>
      <x:c r="G8" s="1"/>
      <x:c r="H8" s="1"/>
      <x:c r="I8" s="1"/>
    </x:row>
    <x:row r="9" ht="32" customHeight="1">
      <x:c r="A9" s="10"/>
      <x:c r="B9" s="11"/>
      <x:c r="C9" s="10"/>
      <x:c r="D9" s="10"/>
      <x:c r="E9" s="10"/>
      <x:c r="F9" s="1"/>
      <x:c r="G9" s="1"/>
      <x:c r="H9" s="1"/>
      <x:c r="I9" s="1"/>
    </x:row>
    <x:row r="10" ht="32" customHeight="1">
      <x:c r="A10" s="10"/>
      <x:c r="B10" s="11"/>
      <x:c r="C10" s="10"/>
      <x:c r="D10" s="10"/>
      <x:c r="E10" s="10"/>
      <x:c r="F10" s="1"/>
      <x:c r="G10" s="1"/>
      <x:c r="H10" s="1"/>
      <x:c r="I10" s="1"/>
    </x:row>
    <x:row r="11" ht="32" customHeight="1">
      <x:c r="A11" s="10"/>
      <x:c r="B11" s="11"/>
      <x:c r="C11" s="10"/>
      <x:c r="D11" s="10"/>
      <x:c r="E11" s="10"/>
      <x:c r="F11" s="1"/>
      <x:c r="G11" s="1"/>
      <x:c r="H11" s="1"/>
      <x:c r="I11" s="1"/>
    </x:row>
    <x:row r="12" ht="32" customHeight="1">
      <x:c r="A12" s="10"/>
      <x:c r="B12" s="11"/>
      <x:c r="C12" s="10"/>
      <x:c r="D12" s="10"/>
      <x:c r="E12" s="10"/>
      <x:c r="F12" s="1"/>
      <x:c r="G12" s="1"/>
      <x:c r="H12" s="1"/>
      <x:c r="I12" s="1"/>
    </x:row>
    <x:row r="13" ht="32" customHeight="1">
      <x:c r="A13" s="10"/>
      <x:c r="B13" s="11"/>
      <x:c r="C13" s="10"/>
      <x:c r="D13" s="10"/>
      <x:c r="E13" s="10"/>
      <x:c r="F13" s="1"/>
      <x:c r="G13" s="1"/>
      <x:c r="H13" s="1"/>
      <x:c r="I13" s="1"/>
    </x:row>
    <x:row r="14" ht="32" customHeight="1">
      <x:c r="A14" s="10"/>
      <x:c r="B14" s="11"/>
      <x:c r="C14" s="10"/>
      <x:c r="D14" s="10"/>
      <x:c r="E14" s="10"/>
      <x:c r="F14" s="1"/>
      <x:c r="G14" s="1"/>
      <x:c r="H14" s="1"/>
      <x:c r="I14" s="1"/>
    </x:row>
    <x:row r="15" ht="32" customHeight="1">
      <x:c r="A15" s="10"/>
      <x:c r="B15" s="11"/>
      <x:c r="C15" s="10"/>
      <x:c r="D15" s="10"/>
      <x:c r="E15" s="10"/>
      <x:c r="F15" s="1"/>
      <x:c r="G15" s="1"/>
      <x:c r="H15" s="1"/>
      <x:c r="I15" s="1"/>
    </x:row>
    <x:row r="16" ht="32" customHeight="1">
      <x:c r="A16" s="10"/>
      <x:c r="B16" s="11"/>
      <x:c r="C16" s="10"/>
      <x:c r="D16" s="10"/>
      <x:c r="E16" s="10"/>
      <x:c r="F16" s="1"/>
      <x:c r="G16" s="1"/>
      <x:c r="H16" s="1"/>
      <x:c r="I16" s="1"/>
    </x:row>
    <x:row r="17" ht="32" customHeight="1">
      <x:c r="A17" s="10"/>
      <x:c r="B17" s="11"/>
      <x:c r="C17" s="10"/>
      <x:c r="D17" s="10"/>
      <x:c r="E17" s="10"/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/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 ht="32" customHeight="1">
      <x:c r="A5" s="10"/>
      <x:c r="B5" s="11"/>
      <x:c r="C5" s="10"/>
      <x:c r="D5" s="10"/>
      <x:c r="E5" s="10"/>
      <x:c r="F5" s="1"/>
      <x:c r="G5" s="1"/>
      <x:c r="H5" s="1"/>
      <x:c r="I5" s="1"/>
    </x:row>
    <x:row r="6" ht="32" customHeight="1">
      <x:c r="A6" s="10"/>
      <x:c r="B6" s="11"/>
      <x:c r="C6" s="10"/>
      <x:c r="D6" s="10"/>
      <x:c r="E6" s="10"/>
      <x:c r="F6" s="1"/>
      <x:c r="G6" s="1"/>
      <x:c r="H6" s="1"/>
      <x:c r="I6" s="1"/>
    </x:row>
    <x:row r="7" ht="32" customHeight="1">
      <x:c r="A7" s="10"/>
      <x:c r="B7" s="11"/>
      <x:c r="C7" s="10"/>
      <x:c r="D7" s="10"/>
      <x:c r="E7" s="10"/>
      <x:c r="F7" s="1"/>
      <x:c r="G7" s="1"/>
      <x:c r="H7" s="1"/>
      <x:c r="I7" s="1"/>
    </x:row>
    <x:row r="8" ht="32" customHeight="1">
      <x:c r="A8" s="10"/>
      <x:c r="B8" s="11"/>
      <x:c r="C8" s="10"/>
      <x:c r="D8" s="10"/>
      <x:c r="E8" s="10"/>
      <x:c r="F8" s="1"/>
      <x:c r="G8" s="1"/>
      <x:c r="H8" s="1"/>
      <x:c r="I8" s="1"/>
    </x:row>
    <x:row r="9" ht="32" customHeight="1">
      <x:c r="A9" s="10"/>
      <x:c r="B9" s="11"/>
      <x:c r="C9" s="10"/>
      <x:c r="D9" s="10"/>
      <x:c r="E9" s="10"/>
      <x:c r="F9" s="1"/>
      <x:c r="G9" s="1"/>
      <x:c r="H9" s="1"/>
      <x:c r="I9" s="1"/>
    </x:row>
    <x:row r="10" ht="32" customHeight="1">
      <x:c r="A10" s="10"/>
      <x:c r="B10" s="11"/>
      <x:c r="C10" s="10"/>
      <x:c r="D10" s="10"/>
      <x:c r="E10" s="10"/>
      <x:c r="F10" s="1"/>
      <x:c r="G10" s="1"/>
      <x:c r="H10" s="1"/>
      <x:c r="I10" s="1"/>
    </x:row>
    <x:row r="11" ht="32" customHeight="1">
      <x:c r="A11" s="10"/>
      <x:c r="B11" s="11"/>
      <x:c r="C11" s="10"/>
      <x:c r="D11" s="10"/>
      <x:c r="E11" s="10"/>
      <x:c r="F11" s="1"/>
      <x:c r="G11" s="1"/>
      <x:c r="H11" s="1"/>
      <x:c r="I11" s="1"/>
    </x:row>
    <x:row r="12" ht="32" customHeight="1">
      <x:c r="A12" s="10"/>
      <x:c r="B12" s="11"/>
      <x:c r="C12" s="10"/>
      <x:c r="D12" s="10"/>
      <x:c r="E12" s="10"/>
      <x:c r="F12" s="1"/>
      <x:c r="G12" s="1"/>
      <x:c r="H12" s="1"/>
      <x:c r="I12" s="1"/>
    </x:row>
    <x:row r="13" ht="32" customHeight="1">
      <x:c r="A13" s="10"/>
      <x:c r="B13" s="11"/>
      <x:c r="C13" s="10"/>
      <x:c r="D13" s="10"/>
      <x:c r="E13" s="10"/>
      <x:c r="F13" s="1"/>
      <x:c r="G13" s="1"/>
      <x:c r="H13" s="1"/>
      <x:c r="I13" s="1"/>
    </x:row>
    <x:row r="14" ht="32" customHeight="1">
      <x:c r="A14" s="10"/>
      <x:c r="B14" s="11"/>
      <x:c r="C14" s="10"/>
      <x:c r="D14" s="10"/>
      <x:c r="E14" s="10"/>
      <x:c r="F14" s="1"/>
      <x:c r="G14" s="1"/>
      <x:c r="H14" s="1"/>
      <x:c r="I14" s="1"/>
    </x:row>
    <x:row r="15" ht="32" customHeight="1">
      <x:c r="A15" s="10"/>
      <x:c r="B15" s="11"/>
      <x:c r="C15" s="10"/>
      <x:c r="D15" s="10"/>
      <x:c r="E15" s="10"/>
      <x:c r="F15" s="1"/>
      <x:c r="G15" s="1"/>
      <x:c r="H15" s="1"/>
      <x:c r="I15" s="1"/>
    </x:row>
    <x:row r="16" ht="32" customHeight="1">
      <x:c r="A16" s="10"/>
      <x:c r="B16" s="11"/>
      <x:c r="C16" s="10"/>
      <x:c r="D16" s="10"/>
      <x:c r="E16" s="10"/>
      <x:c r="F16" s="1"/>
      <x:c r="G16" s="1"/>
      <x:c r="H16" s="1"/>
      <x:c r="I16" s="1"/>
    </x:row>
    <x:row r="17" ht="32" customHeight="1">
      <x:c r="A17" s="10"/>
      <x:c r="B17" s="11"/>
      <x:c r="C17" s="10"/>
      <x:c r="D17" s="10"/>
      <x:c r="E17" s="10"/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/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 ht="32" customHeight="1">
      <x:c r="A5" s="10"/>
      <x:c r="B5" s="11"/>
      <x:c r="C5" s="10"/>
      <x:c r="D5" s="10"/>
      <x:c r="E5" s="10"/>
      <x:c r="F5" s="1"/>
      <x:c r="G5" s="1"/>
      <x:c r="H5" s="1"/>
      <x:c r="I5" s="1"/>
    </x:row>
    <x:row r="6" ht="32" customHeight="1">
      <x:c r="A6" s="10"/>
      <x:c r="B6" s="11"/>
      <x:c r="C6" s="10"/>
      <x:c r="D6" s="10"/>
      <x:c r="E6" s="10"/>
      <x:c r="F6" s="1"/>
      <x:c r="G6" s="1"/>
      <x:c r="H6" s="1"/>
      <x:c r="I6" s="1"/>
    </x:row>
    <x:row r="7" ht="32" customHeight="1">
      <x:c r="A7" s="10"/>
      <x:c r="B7" s="11"/>
      <x:c r="C7" s="10"/>
      <x:c r="D7" s="10"/>
      <x:c r="E7" s="10"/>
      <x:c r="F7" s="1"/>
      <x:c r="G7" s="1"/>
      <x:c r="H7" s="1"/>
      <x:c r="I7" s="1"/>
    </x:row>
    <x:row r="8" ht="32" customHeight="1">
      <x:c r="A8" s="10"/>
      <x:c r="B8" s="11"/>
      <x:c r="C8" s="10"/>
      <x:c r="D8" s="10"/>
      <x:c r="E8" s="10"/>
      <x:c r="F8" s="1"/>
      <x:c r="G8" s="1"/>
      <x:c r="H8" s="1"/>
      <x:c r="I8" s="1"/>
    </x:row>
    <x:row r="9" ht="32" customHeight="1">
      <x:c r="A9" s="10"/>
      <x:c r="B9" s="11"/>
      <x:c r="C9" s="10"/>
      <x:c r="D9" s="10"/>
      <x:c r="E9" s="10"/>
      <x:c r="F9" s="1"/>
      <x:c r="G9" s="1"/>
      <x:c r="H9" s="1"/>
      <x:c r="I9" s="1"/>
    </x:row>
    <x:row r="10" ht="32" customHeight="1">
      <x:c r="A10" s="10"/>
      <x:c r="B10" s="11"/>
      <x:c r="C10" s="10"/>
      <x:c r="D10" s="10"/>
      <x:c r="E10" s="10"/>
      <x:c r="F10" s="1"/>
      <x:c r="G10" s="1"/>
      <x:c r="H10" s="1"/>
      <x:c r="I10" s="1"/>
    </x:row>
    <x:row r="11" ht="32" customHeight="1">
      <x:c r="A11" s="10"/>
      <x:c r="B11" s="11"/>
      <x:c r="C11" s="10"/>
      <x:c r="D11" s="10"/>
      <x:c r="E11" s="10"/>
      <x:c r="F11" s="1"/>
      <x:c r="G11" s="1"/>
      <x:c r="H11" s="1"/>
      <x:c r="I11" s="1"/>
    </x:row>
    <x:row r="12" ht="32" customHeight="1">
      <x:c r="A12" s="10"/>
      <x:c r="B12" s="11"/>
      <x:c r="C12" s="10"/>
      <x:c r="D12" s="10"/>
      <x:c r="E12" s="10"/>
      <x:c r="F12" s="1"/>
      <x:c r="G12" s="1"/>
      <x:c r="H12" s="1"/>
      <x:c r="I12" s="1"/>
    </x:row>
    <x:row r="13" ht="32" customHeight="1">
      <x:c r="A13" s="10"/>
      <x:c r="B13" s="11"/>
      <x:c r="C13" s="10"/>
      <x:c r="D13" s="10"/>
      <x:c r="E13" s="10"/>
      <x:c r="F13" s="1"/>
      <x:c r="G13" s="1"/>
      <x:c r="H13" s="1"/>
      <x:c r="I13" s="1"/>
    </x:row>
    <x:row r="14" ht="32" customHeight="1">
      <x:c r="A14" s="10"/>
      <x:c r="B14" s="11"/>
      <x:c r="C14" s="10"/>
      <x:c r="D14" s="10"/>
      <x:c r="E14" s="10"/>
      <x:c r="F14" s="1"/>
      <x:c r="G14" s="1"/>
      <x:c r="H14" s="1"/>
      <x:c r="I14" s="1"/>
    </x:row>
    <x:row r="15" ht="32" customHeight="1">
      <x:c r="A15" s="10"/>
      <x:c r="B15" s="11"/>
      <x:c r="C15" s="10"/>
      <x:c r="D15" s="10"/>
      <x:c r="E15" s="10"/>
      <x:c r="F15" s="1"/>
      <x:c r="G15" s="1"/>
      <x:c r="H15" s="1"/>
      <x:c r="I15" s="1"/>
    </x:row>
    <x:row r="16" ht="32" customHeight="1">
      <x:c r="A16" s="10"/>
      <x:c r="B16" s="11"/>
      <x:c r="C16" s="10"/>
      <x:c r="D16" s="10"/>
      <x:c r="E16" s="10"/>
      <x:c r="F16" s="1"/>
      <x:c r="G16" s="1"/>
      <x:c r="H16" s="1"/>
      <x:c r="I16" s="1"/>
    </x:row>
    <x:row r="17" ht="32" customHeight="1">
      <x:c r="A17" s="10"/>
      <x:c r="B17" s="11"/>
      <x:c r="C17" s="10"/>
      <x:c r="D17" s="10"/>
      <x:c r="E17" s="10"/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82" hidden="0" customWidth="1"/>
    <x:col min="5" max="5" width="40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/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 ht="54" customHeight="1">
      <x:c r="A5" s="10"/>
      <x:c r="B5" s="11"/>
      <x:c r="C5" s="12"/>
      <x:c r="D5" s="10"/>
      <x:c r="E5" s="10"/>
      <x:c r="F5" s="1"/>
      <x:c r="G5" s="1"/>
      <x:c r="H5" s="1"/>
      <x:c r="I5" s="1"/>
    </x:row>
    <x:row r="6" ht="54" customHeight="1">
      <x:c r="A6" s="10"/>
      <x:c r="B6" s="11"/>
      <x:c r="C6" s="11"/>
      <x:c r="D6" s="10"/>
      <x:c r="E6" s="10"/>
      <x:c r="F6" s="1"/>
      <x:c r="G6" s="1"/>
      <x:c r="H6" s="1"/>
      <x:c r="I6" s="1"/>
    </x:row>
    <x:row r="7" ht="54" customHeight="1">
      <x:c r="A7" s="10"/>
      <x:c r="B7" s="11"/>
      <x:c r="C7" s="12"/>
      <x:c r="D7" s="10"/>
      <x:c r="E7" s="10"/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